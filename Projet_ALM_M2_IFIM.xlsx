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ykass\Downloads\"/>
    </mc:Choice>
  </mc:AlternateContent>
  <xr:revisionPtr revIDLastSave="0" documentId="13_ncr:1_{AE762BA5-5093-4C4A-88F0-B965EAE8D913}" xr6:coauthVersionLast="47" xr6:coauthVersionMax="47" xr10:uidLastSave="{00000000-0000-0000-0000-000000000000}"/>
  <bookViews>
    <workbookView xWindow="-108" yWindow="-108" windowWidth="23256" windowHeight="12456" xr2:uid="{2F7B60CB-9E28-490A-A13B-A4E4A2CEE96C}"/>
  </bookViews>
  <sheets>
    <sheet name="Instruction pour le projet" sheetId="8" r:id="rId1"/>
    <sheet name="Bilan au 31_12_2025 " sheetId="1" r:id="rId2"/>
    <sheet name="Loi d'écoulement " sheetId="2" r:id="rId3"/>
    <sheet name="Plan Moyen Terme (PMT)" sheetId="3" r:id="rId4"/>
    <sheet name="Courbe des taux" sheetId="5" r:id="rId5"/>
    <sheet name="Stress test de liquidité" sheetId="6" r:id="rId6"/>
    <sheet name="stress test de taux"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I7" i="4" l="1"/>
  <c r="IH7" i="4"/>
  <c r="IG7" i="4"/>
  <c r="IF7" i="4"/>
  <c r="IE7" i="4"/>
  <c r="ID7" i="4"/>
  <c r="IC7" i="4"/>
  <c r="IB7" i="4"/>
  <c r="IA7" i="4"/>
  <c r="HZ7" i="4"/>
  <c r="HY7" i="4"/>
  <c r="HX7" i="4"/>
  <c r="HW7" i="4"/>
  <c r="HV7" i="4"/>
  <c r="HU7" i="4"/>
  <c r="HT7" i="4"/>
  <c r="HS7" i="4"/>
  <c r="HR7" i="4"/>
  <c r="HQ7" i="4"/>
  <c r="HP7" i="4"/>
  <c r="HO7" i="4"/>
  <c r="HN7" i="4"/>
  <c r="HM7" i="4"/>
  <c r="HL7" i="4"/>
  <c r="HK7" i="4"/>
  <c r="HJ7" i="4"/>
  <c r="HI7" i="4"/>
  <c r="HH7" i="4"/>
  <c r="HG7" i="4"/>
  <c r="HF7" i="4"/>
  <c r="HE7" i="4"/>
  <c r="HD7" i="4"/>
  <c r="HC7" i="4"/>
  <c r="HB7" i="4"/>
  <c r="HA7" i="4"/>
  <c r="GZ7" i="4"/>
  <c r="GY7" i="4"/>
  <c r="GX7" i="4"/>
  <c r="GW7" i="4"/>
  <c r="GV7" i="4"/>
  <c r="GU7" i="4"/>
  <c r="GT7" i="4"/>
  <c r="GS7" i="4"/>
  <c r="GR7" i="4"/>
  <c r="GQ7" i="4"/>
  <c r="GP7" i="4"/>
  <c r="GO7" i="4"/>
  <c r="GN7" i="4"/>
  <c r="GM7" i="4"/>
  <c r="GL7" i="4"/>
  <c r="GK7" i="4"/>
  <c r="GJ7" i="4"/>
  <c r="GI7" i="4"/>
  <c r="GH7" i="4"/>
  <c r="GG7" i="4"/>
  <c r="GF7" i="4"/>
  <c r="GE7" i="4"/>
  <c r="GD7" i="4"/>
  <c r="GC7" i="4"/>
  <c r="GB7" i="4"/>
  <c r="GA7" i="4"/>
  <c r="FZ7" i="4"/>
  <c r="FY7" i="4"/>
  <c r="FX7" i="4"/>
  <c r="FW7" i="4"/>
  <c r="FV7" i="4"/>
  <c r="FU7" i="4"/>
  <c r="FT7" i="4"/>
  <c r="FS7" i="4"/>
  <c r="FR7" i="4"/>
  <c r="FQ7" i="4"/>
  <c r="FP7" i="4"/>
  <c r="FO7" i="4"/>
  <c r="FN7" i="4"/>
  <c r="FM7" i="4"/>
  <c r="FL7" i="4"/>
  <c r="FK7" i="4"/>
  <c r="FJ7" i="4"/>
  <c r="FI7" i="4"/>
  <c r="FH7" i="4"/>
  <c r="FG7" i="4"/>
  <c r="FF7" i="4"/>
  <c r="FE7" i="4"/>
  <c r="FD7" i="4"/>
  <c r="FC7" i="4"/>
  <c r="FB7" i="4"/>
  <c r="FA7" i="4"/>
  <c r="EZ7" i="4"/>
  <c r="EY7" i="4"/>
  <c r="EX7" i="4"/>
  <c r="EW7" i="4"/>
  <c r="EV7" i="4"/>
  <c r="EU7" i="4"/>
  <c r="ET7" i="4"/>
  <c r="ES7" i="4"/>
  <c r="ER7" i="4"/>
  <c r="EQ7" i="4"/>
  <c r="EP7" i="4"/>
  <c r="EO7" i="4"/>
  <c r="EN7" i="4"/>
  <c r="EM7" i="4"/>
  <c r="EL7" i="4"/>
  <c r="EK7" i="4"/>
  <c r="EJ7" i="4"/>
  <c r="EI7" i="4"/>
  <c r="EH7" i="4"/>
  <c r="EG7" i="4"/>
  <c r="EF7" i="4"/>
  <c r="EE7" i="4"/>
  <c r="ED7" i="4"/>
  <c r="EC7" i="4"/>
  <c r="EB7" i="4"/>
  <c r="EA7" i="4"/>
  <c r="DZ7" i="4"/>
  <c r="DY7" i="4"/>
  <c r="DX7" i="4"/>
  <c r="DW7" i="4"/>
  <c r="DV7" i="4"/>
  <c r="DU7" i="4"/>
  <c r="DT7" i="4"/>
  <c r="DS7" i="4"/>
  <c r="DR7" i="4"/>
  <c r="DQ7" i="4"/>
  <c r="DP7" i="4"/>
  <c r="DO7" i="4"/>
  <c r="DN7" i="4"/>
  <c r="DM7" i="4"/>
  <c r="DL7" i="4"/>
  <c r="DK7" i="4"/>
  <c r="DJ7" i="4"/>
  <c r="DI7" i="4"/>
  <c r="DH7" i="4"/>
  <c r="DG7" i="4"/>
  <c r="DF7" i="4"/>
  <c r="DE7" i="4"/>
  <c r="DD7" i="4"/>
  <c r="DC7" i="4"/>
  <c r="DB7" i="4"/>
  <c r="DA7" i="4"/>
  <c r="CZ7" i="4"/>
  <c r="CY7" i="4"/>
  <c r="CX7" i="4"/>
  <c r="CW7" i="4"/>
  <c r="CV7" i="4"/>
  <c r="CU7" i="4"/>
  <c r="CT7" i="4"/>
  <c r="CS7" i="4"/>
  <c r="CR7" i="4"/>
  <c r="CQ7" i="4"/>
  <c r="CP7" i="4"/>
  <c r="CO7" i="4"/>
  <c r="CN7" i="4"/>
  <c r="CM7" i="4"/>
  <c r="CL7" i="4"/>
  <c r="CK7" i="4"/>
  <c r="CJ7" i="4"/>
  <c r="CI7" i="4"/>
  <c r="CH7" i="4"/>
  <c r="CG7" i="4"/>
  <c r="CF7" i="4"/>
  <c r="CE7" i="4"/>
  <c r="CD7" i="4"/>
  <c r="CC7" i="4"/>
  <c r="CB7" i="4"/>
  <c r="CA7" i="4"/>
  <c r="BZ7" i="4"/>
  <c r="BY7" i="4"/>
  <c r="BX7" i="4"/>
  <c r="BW7" i="4"/>
  <c r="BV7" i="4"/>
  <c r="BU7" i="4"/>
  <c r="BT7" i="4"/>
  <c r="BS7" i="4"/>
  <c r="BR7" i="4"/>
  <c r="BQ7" i="4"/>
  <c r="BP7" i="4"/>
  <c r="BO7" i="4"/>
  <c r="BN7" i="4"/>
  <c r="BM7" i="4"/>
  <c r="BL7" i="4"/>
  <c r="BK7" i="4"/>
  <c r="BJ7" i="4"/>
  <c r="BI7" i="4"/>
  <c r="BH7" i="4"/>
  <c r="BG7" i="4"/>
  <c r="BF7" i="4"/>
  <c r="BE7" i="4"/>
  <c r="BD7" i="4"/>
  <c r="BC7" i="4"/>
  <c r="BB7" i="4"/>
  <c r="BA7" i="4"/>
  <c r="AZ7" i="4"/>
  <c r="AY7" i="4"/>
  <c r="AX7"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II6" i="4"/>
  <c r="IH6" i="4"/>
  <c r="IG6" i="4"/>
  <c r="IF6" i="4"/>
  <c r="IE6" i="4"/>
  <c r="ID6" i="4"/>
  <c r="IC6" i="4"/>
  <c r="IB6" i="4"/>
  <c r="IA6" i="4"/>
  <c r="HZ6" i="4"/>
  <c r="HY6" i="4"/>
  <c r="HX6" i="4"/>
  <c r="HW6" i="4"/>
  <c r="HV6" i="4"/>
  <c r="HU6" i="4"/>
  <c r="HT6" i="4"/>
  <c r="HS6" i="4"/>
  <c r="HR6" i="4"/>
  <c r="HQ6" i="4"/>
  <c r="HP6" i="4"/>
  <c r="HO6" i="4"/>
  <c r="HN6" i="4"/>
  <c r="HM6" i="4"/>
  <c r="HL6" i="4"/>
  <c r="HK6" i="4"/>
  <c r="HJ6" i="4"/>
  <c r="HI6" i="4"/>
  <c r="HH6" i="4"/>
  <c r="HG6" i="4"/>
  <c r="HF6" i="4"/>
  <c r="HE6" i="4"/>
  <c r="HD6" i="4"/>
  <c r="HC6" i="4"/>
  <c r="HB6" i="4"/>
  <c r="HA6" i="4"/>
  <c r="GZ6" i="4"/>
  <c r="GY6" i="4"/>
  <c r="GX6" i="4"/>
  <c r="GW6" i="4"/>
  <c r="GV6" i="4"/>
  <c r="GU6" i="4"/>
  <c r="GT6" i="4"/>
  <c r="GS6" i="4"/>
  <c r="GR6" i="4"/>
  <c r="GQ6" i="4"/>
  <c r="GP6" i="4"/>
  <c r="GO6" i="4"/>
  <c r="GN6" i="4"/>
  <c r="GM6" i="4"/>
  <c r="GL6" i="4"/>
  <c r="GK6" i="4"/>
  <c r="GJ6" i="4"/>
  <c r="GI6" i="4"/>
  <c r="GH6" i="4"/>
  <c r="GG6" i="4"/>
  <c r="GF6" i="4"/>
  <c r="GE6" i="4"/>
  <c r="GD6" i="4"/>
  <c r="GC6" i="4"/>
  <c r="GB6" i="4"/>
  <c r="GA6" i="4"/>
  <c r="FZ6" i="4"/>
  <c r="FY6" i="4"/>
  <c r="FX6" i="4"/>
  <c r="FW6" i="4"/>
  <c r="FV6" i="4"/>
  <c r="FU6" i="4"/>
  <c r="FT6" i="4"/>
  <c r="FS6" i="4"/>
  <c r="FR6" i="4"/>
  <c r="FQ6" i="4"/>
  <c r="FP6" i="4"/>
  <c r="FO6" i="4"/>
  <c r="FN6" i="4"/>
  <c r="FM6" i="4"/>
  <c r="FL6" i="4"/>
  <c r="FK6" i="4"/>
  <c r="FJ6" i="4"/>
  <c r="FI6" i="4"/>
  <c r="FH6" i="4"/>
  <c r="FG6" i="4"/>
  <c r="FF6" i="4"/>
  <c r="FE6" i="4"/>
  <c r="FD6" i="4"/>
  <c r="FC6" i="4"/>
  <c r="FB6" i="4"/>
  <c r="FA6" i="4"/>
  <c r="EZ6" i="4"/>
  <c r="EY6" i="4"/>
  <c r="EX6" i="4"/>
  <c r="EW6" i="4"/>
  <c r="EV6" i="4"/>
  <c r="EU6" i="4"/>
  <c r="ET6" i="4"/>
  <c r="ES6" i="4"/>
  <c r="ER6" i="4"/>
  <c r="EQ6" i="4"/>
  <c r="EP6" i="4"/>
  <c r="EO6" i="4"/>
  <c r="EN6" i="4"/>
  <c r="EM6" i="4"/>
  <c r="EL6" i="4"/>
  <c r="EK6" i="4"/>
  <c r="EJ6" i="4"/>
  <c r="EI6" i="4"/>
  <c r="EH6" i="4"/>
  <c r="EG6" i="4"/>
  <c r="EF6" i="4"/>
  <c r="EE6" i="4"/>
  <c r="ED6" i="4"/>
  <c r="EC6" i="4"/>
  <c r="EB6" i="4"/>
  <c r="EA6" i="4"/>
  <c r="DZ6" i="4"/>
  <c r="DY6" i="4"/>
  <c r="DX6" i="4"/>
  <c r="DW6" i="4"/>
  <c r="DV6" i="4"/>
  <c r="DU6" i="4"/>
  <c r="DT6" i="4"/>
  <c r="DS6" i="4"/>
  <c r="DR6" i="4"/>
  <c r="DQ6" i="4"/>
  <c r="DP6" i="4"/>
  <c r="DO6" i="4"/>
  <c r="DN6" i="4"/>
  <c r="DM6" i="4"/>
  <c r="DL6" i="4"/>
  <c r="DK6" i="4"/>
  <c r="DJ6" i="4"/>
  <c r="DI6" i="4"/>
  <c r="DH6" i="4"/>
  <c r="DG6" i="4"/>
  <c r="DF6" i="4"/>
  <c r="DE6" i="4"/>
  <c r="DD6" i="4"/>
  <c r="DC6" i="4"/>
  <c r="DB6" i="4"/>
  <c r="DA6" i="4"/>
  <c r="CZ6" i="4"/>
  <c r="CY6" i="4"/>
  <c r="CX6" i="4"/>
  <c r="CW6" i="4"/>
  <c r="CV6" i="4"/>
  <c r="CU6" i="4"/>
  <c r="CT6" i="4"/>
  <c r="CS6" i="4"/>
  <c r="CR6" i="4"/>
  <c r="CQ6" i="4"/>
  <c r="CP6" i="4"/>
  <c r="CO6" i="4"/>
  <c r="CN6" i="4"/>
  <c r="CM6" i="4"/>
  <c r="CL6" i="4"/>
  <c r="CK6" i="4"/>
  <c r="CJ6" i="4"/>
  <c r="CI6" i="4"/>
  <c r="CH6" i="4"/>
  <c r="CG6" i="4"/>
  <c r="CF6" i="4"/>
  <c r="CE6" i="4"/>
  <c r="CD6" i="4"/>
  <c r="CC6" i="4"/>
  <c r="CB6" i="4"/>
  <c r="CA6" i="4"/>
  <c r="BZ6" i="4"/>
  <c r="BY6" i="4"/>
  <c r="BX6" i="4"/>
  <c r="BW6" i="4"/>
  <c r="BV6" i="4"/>
  <c r="BU6" i="4"/>
  <c r="BT6" i="4"/>
  <c r="BS6" i="4"/>
  <c r="BR6" i="4"/>
  <c r="BQ6" i="4"/>
  <c r="BP6" i="4"/>
  <c r="BO6" i="4"/>
  <c r="BN6" i="4"/>
  <c r="BM6" i="4"/>
  <c r="BL6" i="4"/>
  <c r="BK6" i="4"/>
  <c r="BJ6" i="4"/>
  <c r="BI6" i="4"/>
  <c r="BH6" i="4"/>
  <c r="BG6" i="4"/>
  <c r="BF6" i="4"/>
  <c r="BE6" i="4"/>
  <c r="BD6" i="4"/>
  <c r="BC6" i="4"/>
  <c r="BB6" i="4"/>
  <c r="BA6" i="4"/>
  <c r="AZ6" i="4"/>
  <c r="AY6" i="4"/>
  <c r="AX6"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II4" i="4"/>
  <c r="II5" i="4" s="1"/>
  <c r="IH4" i="4"/>
  <c r="IH5" i="4" s="1"/>
  <c r="IG4" i="4"/>
  <c r="IG5" i="4" s="1"/>
  <c r="IF4" i="4"/>
  <c r="IF5" i="4" s="1"/>
  <c r="IE4" i="4"/>
  <c r="IE5" i="4" s="1"/>
  <c r="ID4" i="4"/>
  <c r="ID5" i="4" s="1"/>
  <c r="IC4" i="4"/>
  <c r="IC5" i="4" s="1"/>
  <c r="IB4" i="4"/>
  <c r="IB5" i="4" s="1"/>
  <c r="IA4" i="4"/>
  <c r="IA5" i="4" s="1"/>
  <c r="HZ4" i="4"/>
  <c r="HZ5" i="4" s="1"/>
  <c r="HY4" i="4"/>
  <c r="HY5" i="4" s="1"/>
  <c r="HX4" i="4"/>
  <c r="HX5" i="4" s="1"/>
  <c r="HW4" i="4"/>
  <c r="HW5" i="4" s="1"/>
  <c r="HV4" i="4"/>
  <c r="HV5" i="4" s="1"/>
  <c r="HU4" i="4"/>
  <c r="HU5" i="4" s="1"/>
  <c r="HT4" i="4"/>
  <c r="HT5" i="4" s="1"/>
  <c r="HS4" i="4"/>
  <c r="HS5" i="4" s="1"/>
  <c r="HR4" i="4"/>
  <c r="HR5" i="4" s="1"/>
  <c r="HQ4" i="4"/>
  <c r="HQ5" i="4" s="1"/>
  <c r="HP4" i="4"/>
  <c r="HP5" i="4" s="1"/>
  <c r="HO4" i="4"/>
  <c r="HO5" i="4" s="1"/>
  <c r="HN4" i="4"/>
  <c r="HN5" i="4" s="1"/>
  <c r="HM4" i="4"/>
  <c r="HM5" i="4" s="1"/>
  <c r="HL4" i="4"/>
  <c r="HL5" i="4" s="1"/>
  <c r="HK4" i="4"/>
  <c r="HK5" i="4" s="1"/>
  <c r="HJ4" i="4"/>
  <c r="HJ5" i="4" s="1"/>
  <c r="HI4" i="4"/>
  <c r="HI5" i="4" s="1"/>
  <c r="HH4" i="4"/>
  <c r="HH5" i="4" s="1"/>
  <c r="HG4" i="4"/>
  <c r="HG5" i="4" s="1"/>
  <c r="HF4" i="4"/>
  <c r="HF5" i="4" s="1"/>
  <c r="HE4" i="4"/>
  <c r="HE5" i="4" s="1"/>
  <c r="HD4" i="4"/>
  <c r="HD5" i="4" s="1"/>
  <c r="HC4" i="4"/>
  <c r="HC5" i="4" s="1"/>
  <c r="HB4" i="4"/>
  <c r="HB5" i="4" s="1"/>
  <c r="HA4" i="4"/>
  <c r="HA5" i="4" s="1"/>
  <c r="GZ4" i="4"/>
  <c r="GZ5" i="4" s="1"/>
  <c r="GY4" i="4"/>
  <c r="GY5" i="4" s="1"/>
  <c r="GX4" i="4"/>
  <c r="GX5" i="4" s="1"/>
  <c r="GW4" i="4"/>
  <c r="GW5" i="4" s="1"/>
  <c r="GV4" i="4"/>
  <c r="GV5" i="4" s="1"/>
  <c r="GU4" i="4"/>
  <c r="GU5" i="4" s="1"/>
  <c r="GT4" i="4"/>
  <c r="GT5" i="4" s="1"/>
  <c r="GS4" i="4"/>
  <c r="GS5" i="4" s="1"/>
  <c r="GR4" i="4"/>
  <c r="GR5" i="4" s="1"/>
  <c r="GQ4" i="4"/>
  <c r="GQ5" i="4" s="1"/>
  <c r="GP4" i="4"/>
  <c r="GP5" i="4" s="1"/>
  <c r="GO4" i="4"/>
  <c r="GO5" i="4" s="1"/>
  <c r="GN4" i="4"/>
  <c r="GN5" i="4" s="1"/>
  <c r="GM4" i="4"/>
  <c r="GM5" i="4" s="1"/>
  <c r="GL4" i="4"/>
  <c r="GL5" i="4" s="1"/>
  <c r="GK4" i="4"/>
  <c r="GK5" i="4" s="1"/>
  <c r="GJ4" i="4"/>
  <c r="GJ5" i="4" s="1"/>
  <c r="GI4" i="4"/>
  <c r="GI5" i="4" s="1"/>
  <c r="GH4" i="4"/>
  <c r="GH5" i="4" s="1"/>
  <c r="GG4" i="4"/>
  <c r="GG5" i="4" s="1"/>
  <c r="GF4" i="4"/>
  <c r="GF5" i="4" s="1"/>
  <c r="GE4" i="4"/>
  <c r="GE5" i="4" s="1"/>
  <c r="GD4" i="4"/>
  <c r="GD5" i="4" s="1"/>
  <c r="GC4" i="4"/>
  <c r="GC5" i="4" s="1"/>
  <c r="GB4" i="4"/>
  <c r="GB5" i="4" s="1"/>
  <c r="GA4" i="4"/>
  <c r="GA5" i="4" s="1"/>
  <c r="FZ4" i="4"/>
  <c r="FZ5" i="4" s="1"/>
  <c r="FY4" i="4"/>
  <c r="FY5" i="4" s="1"/>
  <c r="FX4" i="4"/>
  <c r="FX5" i="4" s="1"/>
  <c r="FW4" i="4"/>
  <c r="FW5" i="4" s="1"/>
  <c r="FV4" i="4"/>
  <c r="FV5" i="4" s="1"/>
  <c r="FU4" i="4"/>
  <c r="FU5" i="4" s="1"/>
  <c r="FT4" i="4"/>
  <c r="FT5" i="4" s="1"/>
  <c r="FS4" i="4"/>
  <c r="FS5" i="4" s="1"/>
  <c r="FR4" i="4"/>
  <c r="FR5" i="4" s="1"/>
  <c r="FQ4" i="4"/>
  <c r="FQ5" i="4" s="1"/>
  <c r="FP4" i="4"/>
  <c r="FP5" i="4" s="1"/>
  <c r="FO4" i="4"/>
  <c r="FO5" i="4" s="1"/>
  <c r="FN4" i="4"/>
  <c r="FN5" i="4" s="1"/>
  <c r="FM4" i="4"/>
  <c r="FM5" i="4" s="1"/>
  <c r="FL4" i="4"/>
  <c r="FL5" i="4" s="1"/>
  <c r="FK4" i="4"/>
  <c r="FK5" i="4" s="1"/>
  <c r="FJ4" i="4"/>
  <c r="FJ5" i="4" s="1"/>
  <c r="FI4" i="4"/>
  <c r="FI5" i="4" s="1"/>
  <c r="FH4" i="4"/>
  <c r="FH5" i="4" s="1"/>
  <c r="FG4" i="4"/>
  <c r="FG5" i="4" s="1"/>
  <c r="FF4" i="4"/>
  <c r="FF5" i="4" s="1"/>
  <c r="FE4" i="4"/>
  <c r="FE5" i="4" s="1"/>
  <c r="FD4" i="4"/>
  <c r="FD5" i="4" s="1"/>
  <c r="FC4" i="4"/>
  <c r="FC5" i="4" s="1"/>
  <c r="FB4" i="4"/>
  <c r="FB5" i="4" s="1"/>
  <c r="FA4" i="4"/>
  <c r="FA5" i="4" s="1"/>
  <c r="EZ4" i="4"/>
  <c r="EZ5" i="4" s="1"/>
  <c r="EY4" i="4"/>
  <c r="EY5" i="4" s="1"/>
  <c r="EX4" i="4"/>
  <c r="EX5" i="4" s="1"/>
  <c r="EW4" i="4"/>
  <c r="EW5" i="4" s="1"/>
  <c r="EV4" i="4"/>
  <c r="EV5" i="4" s="1"/>
  <c r="EU4" i="4"/>
  <c r="EU5" i="4" s="1"/>
  <c r="ET4" i="4"/>
  <c r="ET5" i="4" s="1"/>
  <c r="ES4" i="4"/>
  <c r="ES5" i="4" s="1"/>
  <c r="ER4" i="4"/>
  <c r="ER5" i="4" s="1"/>
  <c r="EQ4" i="4"/>
  <c r="EQ5" i="4" s="1"/>
  <c r="EP4" i="4"/>
  <c r="EP5" i="4" s="1"/>
  <c r="EO4" i="4"/>
  <c r="EO5" i="4" s="1"/>
  <c r="EN4" i="4"/>
  <c r="EN5" i="4" s="1"/>
  <c r="EM4" i="4"/>
  <c r="EM5" i="4" s="1"/>
  <c r="EL4" i="4"/>
  <c r="EL5" i="4" s="1"/>
  <c r="EK4" i="4"/>
  <c r="EK5" i="4" s="1"/>
  <c r="EJ4" i="4"/>
  <c r="EJ5" i="4" s="1"/>
  <c r="EI4" i="4"/>
  <c r="EI5" i="4" s="1"/>
  <c r="EH4" i="4"/>
  <c r="EH5" i="4" s="1"/>
  <c r="EG4" i="4"/>
  <c r="EG5" i="4" s="1"/>
  <c r="EF4" i="4"/>
  <c r="EF5" i="4" s="1"/>
  <c r="EE4" i="4"/>
  <c r="EE5" i="4" s="1"/>
  <c r="ED4" i="4"/>
  <c r="ED5" i="4" s="1"/>
  <c r="EC4" i="4"/>
  <c r="EC5" i="4" s="1"/>
  <c r="EB4" i="4"/>
  <c r="EB5" i="4" s="1"/>
  <c r="EA4" i="4"/>
  <c r="EA5" i="4" s="1"/>
  <c r="DZ4" i="4"/>
  <c r="DZ5" i="4" s="1"/>
  <c r="DY4" i="4"/>
  <c r="DY5" i="4" s="1"/>
  <c r="DX4" i="4"/>
  <c r="DX5" i="4" s="1"/>
  <c r="DW4" i="4"/>
  <c r="DW5" i="4" s="1"/>
  <c r="DV4" i="4"/>
  <c r="DV5" i="4" s="1"/>
  <c r="DU4" i="4"/>
  <c r="DU5" i="4" s="1"/>
  <c r="DT4" i="4"/>
  <c r="DT5" i="4" s="1"/>
  <c r="DS4" i="4"/>
  <c r="DS5" i="4" s="1"/>
  <c r="DR4" i="4"/>
  <c r="DR5" i="4" s="1"/>
  <c r="DQ4" i="4"/>
  <c r="DQ5" i="4" s="1"/>
  <c r="DP4" i="4"/>
  <c r="DP5" i="4" s="1"/>
  <c r="DO4" i="4"/>
  <c r="DO5" i="4" s="1"/>
  <c r="DN4" i="4"/>
  <c r="DN5" i="4" s="1"/>
  <c r="DM4" i="4"/>
  <c r="DM5" i="4" s="1"/>
  <c r="DL4" i="4"/>
  <c r="DL5" i="4" s="1"/>
  <c r="DK4" i="4"/>
  <c r="DK5" i="4" s="1"/>
  <c r="DJ4" i="4"/>
  <c r="DJ5" i="4" s="1"/>
  <c r="DI4" i="4"/>
  <c r="DI5" i="4" s="1"/>
  <c r="DH4" i="4"/>
  <c r="DH5" i="4" s="1"/>
  <c r="DG4" i="4"/>
  <c r="DG5" i="4" s="1"/>
  <c r="DF4" i="4"/>
  <c r="DF5" i="4" s="1"/>
  <c r="DE4" i="4"/>
  <c r="DE5" i="4" s="1"/>
  <c r="DD4" i="4"/>
  <c r="DD5" i="4" s="1"/>
  <c r="DC4" i="4"/>
  <c r="DC5" i="4" s="1"/>
  <c r="DB4" i="4"/>
  <c r="DB5" i="4" s="1"/>
  <c r="DA4" i="4"/>
  <c r="DA5" i="4" s="1"/>
  <c r="CZ4" i="4"/>
  <c r="CZ5" i="4" s="1"/>
  <c r="CY4" i="4"/>
  <c r="CY5" i="4" s="1"/>
  <c r="CX4" i="4"/>
  <c r="CX5" i="4" s="1"/>
  <c r="CW4" i="4"/>
  <c r="CW5" i="4" s="1"/>
  <c r="CV4" i="4"/>
  <c r="CV5" i="4" s="1"/>
  <c r="CU4" i="4"/>
  <c r="CU5" i="4" s="1"/>
  <c r="CT4" i="4"/>
  <c r="CT5" i="4" s="1"/>
  <c r="CS4" i="4"/>
  <c r="CS5" i="4" s="1"/>
  <c r="CR4" i="4"/>
  <c r="CR5" i="4" s="1"/>
  <c r="CQ4" i="4"/>
  <c r="CQ5" i="4" s="1"/>
  <c r="CP4" i="4"/>
  <c r="CP5" i="4" s="1"/>
  <c r="CO4" i="4"/>
  <c r="CO5" i="4" s="1"/>
  <c r="CN4" i="4"/>
  <c r="CN5" i="4" s="1"/>
  <c r="CM4" i="4"/>
  <c r="CM5" i="4" s="1"/>
  <c r="CL4" i="4"/>
  <c r="CL5" i="4" s="1"/>
  <c r="CK4" i="4"/>
  <c r="CK5" i="4" s="1"/>
  <c r="CJ4" i="4"/>
  <c r="CJ5" i="4" s="1"/>
  <c r="CI4" i="4"/>
  <c r="CI5" i="4" s="1"/>
  <c r="CH4" i="4"/>
  <c r="CH5" i="4" s="1"/>
  <c r="CG4" i="4"/>
  <c r="CG5" i="4" s="1"/>
  <c r="CF4" i="4"/>
  <c r="CF5" i="4" s="1"/>
  <c r="CE4" i="4"/>
  <c r="CE5" i="4" s="1"/>
  <c r="CD4" i="4"/>
  <c r="CD5" i="4" s="1"/>
  <c r="CC4" i="4"/>
  <c r="CC5" i="4" s="1"/>
  <c r="CB4" i="4"/>
  <c r="CB5" i="4" s="1"/>
  <c r="CA4" i="4"/>
  <c r="CA5" i="4" s="1"/>
  <c r="BZ4" i="4"/>
  <c r="BZ5" i="4" s="1"/>
  <c r="BY4" i="4"/>
  <c r="BY5" i="4" s="1"/>
  <c r="BX4" i="4"/>
  <c r="BX5" i="4" s="1"/>
  <c r="BW4" i="4"/>
  <c r="BW5" i="4" s="1"/>
  <c r="BV4" i="4"/>
  <c r="BV5" i="4" s="1"/>
  <c r="BU4" i="4"/>
  <c r="BU5" i="4" s="1"/>
  <c r="BT4" i="4"/>
  <c r="BT5" i="4" s="1"/>
  <c r="BS4" i="4"/>
  <c r="BS5" i="4" s="1"/>
  <c r="BR4" i="4"/>
  <c r="BR5" i="4" s="1"/>
  <c r="BQ4" i="4"/>
  <c r="BQ5" i="4" s="1"/>
  <c r="BP4" i="4"/>
  <c r="BP5" i="4" s="1"/>
  <c r="BO4" i="4"/>
  <c r="BO5" i="4" s="1"/>
  <c r="BN4" i="4"/>
  <c r="BN5" i="4" s="1"/>
  <c r="BM4" i="4"/>
  <c r="BM5" i="4" s="1"/>
  <c r="BL4" i="4"/>
  <c r="BL5" i="4" s="1"/>
  <c r="BK4" i="4"/>
  <c r="BK5" i="4" s="1"/>
  <c r="BJ4" i="4"/>
  <c r="BJ5" i="4" s="1"/>
  <c r="BI4" i="4"/>
  <c r="BI5" i="4" s="1"/>
  <c r="BH4" i="4"/>
  <c r="BH5" i="4" s="1"/>
  <c r="BG4" i="4"/>
  <c r="BG5" i="4" s="1"/>
  <c r="BF4" i="4"/>
  <c r="BF5" i="4" s="1"/>
  <c r="BE4" i="4"/>
  <c r="BE5" i="4" s="1"/>
  <c r="BD4" i="4"/>
  <c r="BD5" i="4" s="1"/>
  <c r="BC4" i="4"/>
  <c r="BC5" i="4" s="1"/>
  <c r="BB4" i="4"/>
  <c r="BB5" i="4" s="1"/>
  <c r="BA4" i="4"/>
  <c r="BA5" i="4" s="1"/>
  <c r="AZ4" i="4"/>
  <c r="AZ5" i="4" s="1"/>
  <c r="AY4" i="4"/>
  <c r="AY5" i="4" s="1"/>
  <c r="AX4" i="4"/>
  <c r="AX5" i="4" s="1"/>
  <c r="AW4" i="4"/>
  <c r="AW5" i="4" s="1"/>
  <c r="AV4" i="4"/>
  <c r="AV5" i="4" s="1"/>
  <c r="AU4" i="4"/>
  <c r="AU5" i="4" s="1"/>
  <c r="AT4" i="4"/>
  <c r="AT5" i="4" s="1"/>
  <c r="AS4" i="4"/>
  <c r="AS5" i="4" s="1"/>
  <c r="AR4" i="4"/>
  <c r="AR5" i="4" s="1"/>
  <c r="AQ4" i="4"/>
  <c r="AQ5" i="4" s="1"/>
  <c r="AP4" i="4"/>
  <c r="AP5" i="4" s="1"/>
  <c r="AO4" i="4"/>
  <c r="AO5" i="4" s="1"/>
  <c r="AN4" i="4"/>
  <c r="AN5" i="4" s="1"/>
  <c r="AM4" i="4"/>
  <c r="AM5" i="4" s="1"/>
  <c r="AL4" i="4"/>
  <c r="AL5" i="4" s="1"/>
  <c r="AK4" i="4"/>
  <c r="AK5" i="4" s="1"/>
  <c r="AJ4" i="4"/>
  <c r="AJ5" i="4" s="1"/>
  <c r="AI4" i="4"/>
  <c r="AI5" i="4" s="1"/>
  <c r="AH4" i="4"/>
  <c r="AH5" i="4" s="1"/>
  <c r="AG4" i="4"/>
  <c r="AG5" i="4" s="1"/>
  <c r="AF4" i="4"/>
  <c r="AF5" i="4" s="1"/>
  <c r="AE4" i="4"/>
  <c r="AE5" i="4" s="1"/>
  <c r="AD4" i="4"/>
  <c r="AD5" i="4" s="1"/>
  <c r="AC4" i="4"/>
  <c r="AC5" i="4" s="1"/>
  <c r="AB4" i="4"/>
  <c r="AB5" i="4" s="1"/>
  <c r="AA4" i="4"/>
  <c r="AA5" i="4" s="1"/>
  <c r="Z4" i="4"/>
  <c r="Z5" i="4" s="1"/>
  <c r="Y4" i="4"/>
  <c r="Y5" i="4" s="1"/>
  <c r="X4" i="4"/>
  <c r="X5" i="4" s="1"/>
  <c r="W4" i="4"/>
  <c r="W5" i="4" s="1"/>
  <c r="V4" i="4"/>
  <c r="V5" i="4" s="1"/>
  <c r="U4" i="4"/>
  <c r="U5" i="4" s="1"/>
  <c r="T4" i="4"/>
  <c r="T5" i="4" s="1"/>
  <c r="S4" i="4"/>
  <c r="S5" i="4" s="1"/>
  <c r="R4" i="4"/>
  <c r="R5" i="4" s="1"/>
  <c r="Q4" i="4"/>
  <c r="Q5" i="4" s="1"/>
  <c r="P4" i="4"/>
  <c r="P5" i="4" s="1"/>
  <c r="O4" i="4"/>
  <c r="O5" i="4" s="1"/>
  <c r="N4" i="4"/>
  <c r="N5" i="4" s="1"/>
  <c r="M4" i="4"/>
  <c r="M5" i="4" s="1"/>
  <c r="L4" i="4"/>
  <c r="L5" i="4" s="1"/>
  <c r="K4" i="4"/>
  <c r="K5" i="4" s="1"/>
  <c r="J4" i="4"/>
  <c r="J5" i="4" s="1"/>
  <c r="I4" i="4"/>
  <c r="I5" i="4" s="1"/>
  <c r="H4" i="4"/>
  <c r="H5" i="4" s="1"/>
  <c r="G4" i="4"/>
  <c r="G5" i="4" s="1"/>
  <c r="F4" i="4"/>
  <c r="F5" i="4" s="1"/>
  <c r="E4" i="4"/>
  <c r="E5" i="4" s="1"/>
  <c r="D4" i="4"/>
  <c r="D5" i="4" s="1"/>
  <c r="E34" i="3"/>
  <c r="E16" i="3"/>
  <c r="E3" i="3"/>
  <c r="D34" i="3"/>
  <c r="D3" i="3"/>
  <c r="D16" i="3" s="1"/>
  <c r="C17" i="3"/>
  <c r="C34" i="3" s="1"/>
  <c r="C9" i="3"/>
  <c r="C16" i="3" s="1"/>
  <c r="B17" i="3"/>
  <c r="B34" i="3" s="1"/>
  <c r="B16" i="3"/>
  <c r="D16" i="1" l="1"/>
  <c r="D33" i="1" s="1"/>
  <c r="D15" i="1"/>
</calcChain>
</file>

<file path=xl/sharedStrings.xml><?xml version="1.0" encoding="utf-8"?>
<sst xmlns="http://schemas.openxmlformats.org/spreadsheetml/2006/main" count="334" uniqueCount="127">
  <si>
    <t>ACTIF</t>
  </si>
  <si>
    <t>CAISSE, BANQUES CENTRALES</t>
  </si>
  <si>
    <t>- Caisse</t>
  </si>
  <si>
    <t>- Compte courant BDF</t>
  </si>
  <si>
    <t>CREANCES SUR LES ETS  DE CREDIT</t>
  </si>
  <si>
    <t>- A vue</t>
  </si>
  <si>
    <t>- A terme</t>
  </si>
  <si>
    <t>CREANCES SUR LA CLIENTELE</t>
  </si>
  <si>
    <t>- Créances commerciales</t>
  </si>
  <si>
    <t>- Autres concours à la clientèle</t>
  </si>
  <si>
    <t>- Comptes ordinaires débiteurs</t>
  </si>
  <si>
    <t>Investissements financiers</t>
  </si>
  <si>
    <t>Immobilisations corporelles et incorporelles</t>
  </si>
  <si>
    <t>Autres actifs</t>
  </si>
  <si>
    <t xml:space="preserve">Total actif </t>
  </si>
  <si>
    <t>Montant (en k€)</t>
  </si>
  <si>
    <t>Bilan</t>
  </si>
  <si>
    <t>Poste du bilan</t>
  </si>
  <si>
    <t>Date d’arrêté</t>
  </si>
  <si>
    <t>PASSIF</t>
  </si>
  <si>
    <t>DETTES ENVERS ETS  DE CREDIT</t>
  </si>
  <si>
    <t>CPTES CREDITEURS DE LA CLIENTELE</t>
  </si>
  <si>
    <t>Provisions pour risques et charges</t>
  </si>
  <si>
    <t>Capitaux propres</t>
  </si>
  <si>
    <t>FRBG</t>
  </si>
  <si>
    <t>Capital souscrit</t>
  </si>
  <si>
    <t>Prime d'émission</t>
  </si>
  <si>
    <t>Réserves</t>
  </si>
  <si>
    <t>Report à nouveau</t>
  </si>
  <si>
    <t>Résultat de l'exercice</t>
  </si>
  <si>
    <t>Dividende</t>
  </si>
  <si>
    <t>Total passif</t>
  </si>
  <si>
    <t xml:space="preserve">Financement LT </t>
  </si>
  <si>
    <t xml:space="preserve">*ETS : Etablissement </t>
  </si>
  <si>
    <t>*FRBG :  Fonds pour Risques Bancaires Généraux</t>
  </si>
  <si>
    <t>IMMOBILISATIONS</t>
  </si>
  <si>
    <t>AUTRES</t>
  </si>
  <si>
    <t>PROVISIONS</t>
  </si>
  <si>
    <t>FINANCEMENT</t>
  </si>
  <si>
    <t>TITRE D'INVESTISSEMENT</t>
  </si>
  <si>
    <t>FONDS PROPRES</t>
  </si>
  <si>
    <t>Catégories Bilan</t>
  </si>
  <si>
    <t>Loi d'écoulement</t>
  </si>
  <si>
    <t>Linéaire</t>
  </si>
  <si>
    <t>Durée moyenne (en mois)</t>
  </si>
  <si>
    <t>In fine</t>
  </si>
  <si>
    <t>Constant</t>
  </si>
  <si>
    <t>Ine fine</t>
  </si>
  <si>
    <t>90%-20%*t, t&lt;=4mois</t>
  </si>
  <si>
    <t>90%*exp(-20%*t), t&lt;=120 mois</t>
  </si>
  <si>
    <t>E n liquidité</t>
  </si>
  <si>
    <t>E n taux</t>
  </si>
  <si>
    <t>Taux d'intérèt moyen</t>
  </si>
  <si>
    <t xml:space="preserve">Autres passifs </t>
  </si>
  <si>
    <t>Realisée</t>
  </si>
  <si>
    <t>Prévision</t>
  </si>
  <si>
    <t>Type de scenarios</t>
  </si>
  <si>
    <t>Catégories</t>
  </si>
  <si>
    <t>scenarios</t>
  </si>
  <si>
    <t xml:space="preserve">Parallel </t>
  </si>
  <si>
    <t>Reglementaire _SOT MNI&amp;SOT EVE</t>
  </si>
  <si>
    <t>+200BPS</t>
  </si>
  <si>
    <t>-200BPS</t>
  </si>
  <si>
    <t>No Parallel</t>
  </si>
  <si>
    <t>Reglementaire _SOT EVE</t>
  </si>
  <si>
    <t>Short_up</t>
  </si>
  <si>
    <t>Short_down</t>
  </si>
  <si>
    <t>Steepener</t>
  </si>
  <si>
    <t>Flattener</t>
  </si>
  <si>
    <t>Maturité</t>
  </si>
  <si>
    <t>Zero Coupon</t>
  </si>
  <si>
    <t>Formule de l'interpolation linéaire</t>
  </si>
  <si>
    <t>1 mois</t>
  </si>
  <si>
    <t>3 mois</t>
  </si>
  <si>
    <t>6 mois</t>
  </si>
  <si>
    <t>9 mois</t>
  </si>
  <si>
    <t>1 an</t>
  </si>
  <si>
    <t>2 ans</t>
  </si>
  <si>
    <t>3 ans</t>
  </si>
  <si>
    <t>4 ans</t>
  </si>
  <si>
    <t>5 ans</t>
  </si>
  <si>
    <t>6 ans</t>
  </si>
  <si>
    <t>7 ans</t>
  </si>
  <si>
    <t>8 ans</t>
  </si>
  <si>
    <t>9 ans</t>
  </si>
  <si>
    <t>10 ans</t>
  </si>
  <si>
    <t>Actifs</t>
  </si>
  <si>
    <t>choc</t>
  </si>
  <si>
    <t>Choc</t>
  </si>
  <si>
    <t>Créances sur les éts de crédit</t>
  </si>
  <si>
    <t>Caisse, banques centrales</t>
  </si>
  <si>
    <t>Créances sur la clientèle</t>
  </si>
  <si>
    <t>Passifs</t>
  </si>
  <si>
    <t xml:space="preserve">Dettes envers  éts de crédit </t>
  </si>
  <si>
    <t>Comptes créditeurs de la clientèle</t>
  </si>
  <si>
    <t xml:space="preserve">Scenario 1 : événement idiosyncratique </t>
  </si>
  <si>
    <t xml:space="preserve">Scenario 2 : évènement d’ampleur systémique </t>
  </si>
  <si>
    <t>Scenario 3 : mixte (ou combiné)</t>
  </si>
  <si>
    <t>TRAVAIL A FAIRE</t>
  </si>
  <si>
    <t>plus precisement il faudrait :</t>
  </si>
  <si>
    <t xml:space="preserve">1- créer un interface utilisateur, qui permettra à l'ulisateur d'importer les inputs (les differents onglets du classeur), de faire le traitement de la donnée (les ecoulements et calcul des indicateurs) et de presenter les analyses (presenter l'analyse sur les différents indicateurs). Si possible permettre à l'utilisateur d'exporter les résultats (écoulements et analyses). </t>
  </si>
  <si>
    <t>Les metriques à calculer sont :</t>
  </si>
  <si>
    <t>1- analyse du bilan (analyse de la structure du bilan, analyse à priori de la liquidité et analyse à priori du financement)</t>
  </si>
  <si>
    <t>2- le gap de liquidité statique</t>
  </si>
  <si>
    <t xml:space="preserve">3 - le gap de liquidité dynamique </t>
  </si>
  <si>
    <t>6 - le gap de taux fixé</t>
  </si>
  <si>
    <t>7 - l'EVE à bilan statique</t>
  </si>
  <si>
    <t>9 - le SOT EVE et compoarer à 15% du Tier 1</t>
  </si>
  <si>
    <t>12- le SOT MNI et comparer à 5% du tier 1</t>
  </si>
  <si>
    <t>10- la MNI à bilan constant (presenter la MNI du stock, la MNI de la nouvelle production et la MNI total)</t>
  </si>
  <si>
    <t>EVALUATION DU TRAVAIL</t>
  </si>
  <si>
    <t>Compréhension du sujet</t>
  </si>
  <si>
    <t>Note</t>
  </si>
  <si>
    <t>critères</t>
  </si>
  <si>
    <t>Outil utilisé (VBA, python,…)</t>
  </si>
  <si>
    <t>Design de l'interface</t>
  </si>
  <si>
    <t>Ehaustivité et Présentation des analyses</t>
  </si>
  <si>
    <t>Presenation du projet + redaction de la procedure d'utilisation de l'outil</t>
  </si>
  <si>
    <t>Total</t>
  </si>
  <si>
    <r>
      <rPr>
        <b/>
        <u/>
        <sz val="11"/>
        <color rgb="FFFF0000"/>
        <rFont val="Aptos Narrow"/>
        <family val="2"/>
        <scheme val="minor"/>
      </rPr>
      <t>Objectif du projet</t>
    </r>
    <r>
      <rPr>
        <sz val="11"/>
        <color theme="1"/>
        <rFont val="Aptos Narrow"/>
        <family val="2"/>
        <scheme val="minor"/>
      </rPr>
      <t xml:space="preserve"> : Mettre en place un outil opérationnel permettant l’écoulement du bilan, le calcul automatisé des indicateurs de liquidité et de risque de taux, ainsi que la visualisation des analyses via un dashboard ergonomique et facilement exploitable.</t>
    </r>
  </si>
  <si>
    <t>NB :</t>
  </si>
  <si>
    <t>- il faudrait faire l'ecoulement par pas de temps mensuel mais pour les besoins de l'analyse il faudrait faire le regroupement ci dessous</t>
  </si>
  <si>
    <t>- les montant donnés sont en KEUR. Pour l'analyse il faudrait permet à l'utilisateur de les afficher en EUR (unité) ou KEUR (millier) ou MEUR (million) ou GEUR (milliard)</t>
  </si>
  <si>
    <t>4 - le gap de liquidité statique stressé pour les differents scenarios de liquidité (idiosyncratique, systémique, combiné)</t>
  </si>
  <si>
    <t>5 - le gap de liquidité dynamique stressé(idiosyncratique, systémique, combiné)</t>
  </si>
  <si>
    <t>8 - sensibilité de l'EVE pour les differents scenarios de taux reglémentaire</t>
  </si>
  <si>
    <t>11 - sensibilité de la MNI  pour les différents scenarios de taux reglémentaire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</si>
</sst>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 _€_-;\-* #,##0\ _€_-;_-* &quot;-&quot;\ _€_-;_-@_-"/>
    <numFmt numFmtId="168" formatCode="_-* #,##0.00\ _€_-;\-* #,##0.00\ _€_-;_-* &quot;-&quot;??\ _€_-;_-@_-"/>
    <numFmt numFmtId="169" formatCode="0.0%"/>
    <numFmt numFmtId="170" formatCode="0.000%"/>
    <numFmt numFmtId="171" formatCode="\+#,##0;\-#,##0"/>
  </numFmts>
  <fonts count="17"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i/>
      <sz val="10"/>
      <color theme="1"/>
      <name val="Aptos Narrow"/>
      <family val="2"/>
      <scheme val="minor"/>
    </font>
    <font>
      <sz val="8"/>
      <name val="Aptos Narrow"/>
      <family val="2"/>
      <scheme val="minor"/>
    </font>
    <font>
      <b/>
      <sz val="11"/>
      <color rgb="FFFF0000"/>
      <name val="Aptos Narrow"/>
      <family val="2"/>
      <scheme val="minor"/>
    </font>
    <font>
      <b/>
      <sz val="11"/>
      <color theme="3" tint="0.499984740745262"/>
      <name val="Aptos Narrow"/>
      <family val="2"/>
      <scheme val="minor"/>
    </font>
    <font>
      <b/>
      <sz val="11"/>
      <color theme="3" tint="9.9978637043366805E-2"/>
      <name val="Aptos Narrow"/>
      <family val="2"/>
      <scheme val="minor"/>
    </font>
    <font>
      <b/>
      <sz val="11"/>
      <color rgb="FF000000"/>
      <name val="Times New Roman"/>
      <family val="1"/>
    </font>
    <font>
      <sz val="11"/>
      <color rgb="FF000000"/>
      <name val="Times New Roman"/>
      <family val="1"/>
    </font>
    <font>
      <b/>
      <sz val="10"/>
      <color theme="1"/>
      <name val="Aptos Narrow"/>
      <family val="2"/>
      <scheme val="minor"/>
    </font>
    <font>
      <b/>
      <sz val="10"/>
      <color theme="0"/>
      <name val="Arial"/>
      <family val="2"/>
    </font>
    <font>
      <b/>
      <sz val="9"/>
      <color theme="1"/>
      <name val="Aptos Narrow"/>
      <family val="2"/>
      <scheme val="minor"/>
    </font>
    <font>
      <b/>
      <sz val="10"/>
      <name val="Aptos Narrow"/>
      <family val="2"/>
      <scheme val="minor"/>
    </font>
    <font>
      <sz val="28"/>
      <color theme="1"/>
      <name val="Aptos Narrow"/>
      <family val="2"/>
      <scheme val="minor"/>
    </font>
    <font>
      <b/>
      <u/>
      <sz val="11"/>
      <color rgb="FFFF0000"/>
      <name val="Aptos Narrow"/>
      <family val="2"/>
      <scheme val="minor"/>
    </font>
  </fonts>
  <fills count="9">
    <fill>
      <patternFill patternType="none"/>
    </fill>
    <fill>
      <patternFill patternType="gray125"/>
    </fill>
    <fill>
      <patternFill patternType="solid">
        <fgColor theme="3" tint="0.749992370372631"/>
        <bgColor indexed="64"/>
      </patternFill>
    </fill>
    <fill>
      <patternFill patternType="solid">
        <fgColor theme="2"/>
        <bgColor indexed="64"/>
      </patternFill>
    </fill>
    <fill>
      <patternFill patternType="solid">
        <fgColor theme="6" tint="0.39997558519241921"/>
        <bgColor indexed="64"/>
      </patternFill>
    </fill>
    <fill>
      <patternFill patternType="solid">
        <fgColor rgb="FFD0CECE"/>
        <bgColor rgb="FF000000"/>
      </patternFill>
    </fill>
    <fill>
      <patternFill patternType="solid">
        <fgColor rgb="FFD0D0D0"/>
        <bgColor rgb="FF000000"/>
      </patternFill>
    </fill>
    <fill>
      <patternFill patternType="solid">
        <fgColor theme="4"/>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auto="1"/>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168" fontId="1" fillId="0" borderId="0" applyFont="0" applyFill="0" applyBorder="0" applyAlignment="0" applyProtection="0"/>
  </cellStyleXfs>
  <cellXfs count="60">
    <xf numFmtId="0" fontId="0" fillId="0" borderId="0" xfId="0"/>
    <xf numFmtId="0" fontId="6" fillId="0" borderId="0" xfId="0" applyFont="1"/>
    <xf numFmtId="0" fontId="0" fillId="0" borderId="1" xfId="0" applyBorder="1"/>
    <xf numFmtId="14" fontId="0" fillId="0" borderId="1" xfId="0" applyNumberFormat="1" applyBorder="1"/>
    <xf numFmtId="0" fontId="3" fillId="0" borderId="1" xfId="0" applyFont="1" applyBorder="1"/>
    <xf numFmtId="164" fontId="3" fillId="0" borderId="1" xfId="0" applyNumberFormat="1" applyFont="1" applyBorder="1"/>
    <xf numFmtId="0" fontId="4" fillId="0" borderId="1" xfId="0" applyFont="1" applyBorder="1" applyAlignment="1">
      <alignment horizontal="left" indent="1"/>
    </xf>
    <xf numFmtId="164" fontId="0" fillId="0" borderId="1" xfId="0" applyNumberFormat="1" applyBorder="1"/>
    <xf numFmtId="0" fontId="6" fillId="0" borderId="1" xfId="0" applyFont="1" applyBorder="1"/>
    <xf numFmtId="164" fontId="6" fillId="0" borderId="1" xfId="0" applyNumberFormat="1" applyFont="1" applyBorder="1"/>
    <xf numFmtId="0" fontId="7" fillId="0" borderId="1" xfId="0" applyFont="1" applyBorder="1"/>
    <xf numFmtId="0" fontId="4" fillId="0" borderId="0" xfId="0" applyFont="1" applyFill="1" applyBorder="1" applyAlignment="1">
      <alignment horizontal="left" indent="1"/>
    </xf>
    <xf numFmtId="0" fontId="0" fillId="0" borderId="1" xfId="0" applyFont="1" applyBorder="1"/>
    <xf numFmtId="0" fontId="0" fillId="0" borderId="0" xfId="0" applyAlignment="1">
      <alignment horizontal="center"/>
    </xf>
    <xf numFmtId="0" fontId="7" fillId="0" borderId="1" xfId="0" applyFont="1" applyFill="1" applyBorder="1"/>
    <xf numFmtId="0" fontId="0" fillId="0" borderId="1" xfId="0" applyFont="1" applyFill="1" applyBorder="1"/>
    <xf numFmtId="0" fontId="8" fillId="0" borderId="1" xfId="0" applyFont="1" applyBorder="1" applyAlignment="1">
      <alignment horizontal="center"/>
    </xf>
    <xf numFmtId="0" fontId="7" fillId="0" borderId="2" xfId="0" applyFont="1" applyBorder="1"/>
    <xf numFmtId="164" fontId="3" fillId="0" borderId="2" xfId="0" applyNumberFormat="1" applyFont="1" applyBorder="1"/>
    <xf numFmtId="164" fontId="0" fillId="0" borderId="2" xfId="0" applyNumberFormat="1" applyBorder="1"/>
    <xf numFmtId="164" fontId="6" fillId="0" borderId="2" xfId="0" applyNumberFormat="1" applyFont="1" applyBorder="1"/>
    <xf numFmtId="169" fontId="0" fillId="0" borderId="3" xfId="1" applyNumberFormat="1" applyFont="1" applyBorder="1"/>
    <xf numFmtId="169" fontId="0" fillId="0" borderId="1" xfId="1" applyNumberFormat="1" applyFont="1" applyBorder="1"/>
    <xf numFmtId="14" fontId="7" fillId="0" borderId="2" xfId="0" applyNumberFormat="1" applyFont="1" applyBorder="1"/>
    <xf numFmtId="14" fontId="7" fillId="0" borderId="1" xfId="0" applyNumberFormat="1" applyFont="1" applyBorder="1"/>
    <xf numFmtId="0" fontId="3" fillId="3" borderId="1" xfId="0" applyFont="1" applyFill="1" applyBorder="1" applyAlignment="1"/>
    <xf numFmtId="0" fontId="3" fillId="2" borderId="1" xfId="0" applyFont="1" applyFill="1" applyBorder="1" applyAlignment="1">
      <alignment horizontal="center"/>
    </xf>
    <xf numFmtId="0" fontId="0" fillId="2" borderId="1" xfId="0" applyFill="1" applyBorder="1"/>
    <xf numFmtId="10" fontId="0" fillId="0" borderId="1" xfId="1" applyNumberFormat="1" applyFont="1" applyBorder="1"/>
    <xf numFmtId="0" fontId="0" fillId="0" borderId="1" xfId="0" quotePrefix="1" applyBorder="1"/>
    <xf numFmtId="170" fontId="0" fillId="0" borderId="1" xfId="1" applyNumberFormat="1" applyFont="1" applyBorder="1"/>
    <xf numFmtId="170" fontId="0" fillId="0" borderId="1" xfId="0" applyNumberFormat="1" applyBorder="1"/>
    <xf numFmtId="14" fontId="0" fillId="4" borderId="0" xfId="0" applyNumberFormat="1" applyFill="1"/>
    <xf numFmtId="0" fontId="9" fillId="5" borderId="4" xfId="0" applyFont="1" applyFill="1" applyBorder="1" applyAlignment="1">
      <alignment wrapText="1"/>
    </xf>
    <xf numFmtId="0" fontId="0" fillId="0" borderId="5" xfId="0" applyBorder="1" applyAlignment="1">
      <alignment horizontal="center"/>
    </xf>
    <xf numFmtId="0" fontId="9" fillId="6" borderId="4" xfId="0" applyFont="1" applyFill="1" applyBorder="1" applyAlignment="1">
      <alignment wrapText="1"/>
    </xf>
    <xf numFmtId="10" fontId="10" fillId="0" borderId="4" xfId="0" applyNumberFormat="1" applyFont="1" applyBorder="1" applyAlignment="1">
      <alignment wrapText="1"/>
    </xf>
    <xf numFmtId="0" fontId="11" fillId="0" borderId="6" xfId="0" applyFont="1" applyBorder="1" applyAlignment="1">
      <alignment horizontal="center"/>
    </xf>
    <xf numFmtId="0" fontId="11" fillId="0" borderId="8" xfId="0" applyFont="1" applyBorder="1" applyAlignment="1">
      <alignment vertical="center"/>
    </xf>
    <xf numFmtId="171" fontId="12" fillId="7" borderId="9" xfId="2" applyNumberFormat="1" applyFont="1" applyFill="1" applyBorder="1" applyAlignment="1">
      <alignment horizontal="center" vertical="center" wrapText="1"/>
    </xf>
    <xf numFmtId="0" fontId="11" fillId="0" borderId="9" xfId="0" applyFont="1" applyBorder="1" applyAlignment="1">
      <alignment horizontal="left" vertical="center"/>
    </xf>
    <xf numFmtId="171" fontId="12" fillId="7" borderId="10" xfId="2" applyNumberFormat="1" applyFont="1" applyFill="1" applyBorder="1" applyAlignment="1">
      <alignment horizontal="center" vertical="center" wrapText="1"/>
    </xf>
    <xf numFmtId="2" fontId="13" fillId="0" borderId="11" xfId="0" applyNumberFormat="1" applyFont="1" applyBorder="1" applyAlignment="1">
      <alignment horizontal="left" indent="1"/>
    </xf>
    <xf numFmtId="9" fontId="14" fillId="8" borderId="12" xfId="1" applyFont="1" applyFill="1" applyBorder="1" applyAlignment="1">
      <alignment horizontal="center"/>
    </xf>
    <xf numFmtId="2" fontId="13" fillId="0" borderId="12" xfId="0" applyNumberFormat="1" applyFont="1" applyBorder="1" applyAlignment="1">
      <alignment horizontal="left" indent="1"/>
    </xf>
    <xf numFmtId="9" fontId="14" fillId="8" borderId="13" xfId="1" applyFont="1" applyFill="1" applyBorder="1" applyAlignment="1">
      <alignment horizontal="center"/>
    </xf>
    <xf numFmtId="0" fontId="11" fillId="0" borderId="11" xfId="0" applyFont="1" applyBorder="1" applyAlignment="1">
      <alignment vertical="center"/>
    </xf>
    <xf numFmtId="2" fontId="13" fillId="0" borderId="12" xfId="0" applyNumberFormat="1" applyFont="1" applyBorder="1"/>
    <xf numFmtId="2" fontId="13" fillId="0" borderId="14" xfId="0" applyNumberFormat="1" applyFont="1" applyBorder="1" applyAlignment="1">
      <alignment horizontal="left" indent="1"/>
    </xf>
    <xf numFmtId="9" fontId="14" fillId="8" borderId="15" xfId="1" applyFont="1" applyFill="1" applyBorder="1" applyAlignment="1">
      <alignment horizontal="center"/>
    </xf>
    <xf numFmtId="0" fontId="11" fillId="0" borderId="7" xfId="0" applyFont="1" applyBorder="1" applyAlignment="1">
      <alignment horizontal="center"/>
    </xf>
    <xf numFmtId="0" fontId="11" fillId="0" borderId="6" xfId="0" applyFont="1" applyBorder="1" applyAlignment="1">
      <alignment horizontal="center"/>
    </xf>
    <xf numFmtId="0" fontId="15" fillId="0" borderId="0" xfId="0" applyFont="1"/>
    <xf numFmtId="0" fontId="0" fillId="0" borderId="0" xfId="0" applyAlignment="1">
      <alignment wrapText="1"/>
    </xf>
    <xf numFmtId="0" fontId="0" fillId="0" borderId="0" xfId="0"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8" fillId="0" borderId="1" xfId="0" applyFont="1" applyBorder="1" applyAlignment="1">
      <alignment horizontal="center" vertical="center"/>
    </xf>
    <xf numFmtId="0" fontId="2" fillId="0" borderId="0" xfId="0" quotePrefix="1" applyFont="1"/>
    <xf numFmtId="0" fontId="6" fillId="0" borderId="1" xfId="0" applyFont="1" applyBorder="1" applyAlignment="1">
      <alignment horizontal="center" vertical="center"/>
    </xf>
  </cellXfs>
  <cellStyles count="3">
    <cellStyle name="Milliers 40" xfId="2" xr:uid="{23C3196F-310B-4D1C-BC2D-7B69C9199966}"/>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25</xdr:row>
      <xdr:rowOff>0</xdr:rowOff>
    </xdr:from>
    <xdr:to>
      <xdr:col>7</xdr:col>
      <xdr:colOff>625730</xdr:colOff>
      <xdr:row>31</xdr:row>
      <xdr:rowOff>137267</xdr:rowOff>
    </xdr:to>
    <xdr:pic>
      <xdr:nvPicPr>
        <xdr:cNvPr id="2" name="Image 1">
          <a:extLst>
            <a:ext uri="{FF2B5EF4-FFF2-40B4-BE49-F238E27FC236}">
              <a16:creationId xmlns:a16="http://schemas.microsoft.com/office/drawing/2014/main" id="{D004CD05-E8A5-A6FC-3C6B-07F4D264797D}"/>
            </a:ext>
          </a:extLst>
        </xdr:cNvPr>
        <xdr:cNvPicPr>
          <a:picLocks noChangeAspect="1"/>
        </xdr:cNvPicPr>
      </xdr:nvPicPr>
      <xdr:blipFill>
        <a:blip xmlns:r="http://schemas.openxmlformats.org/officeDocument/2006/relationships" r:embed="rId1"/>
        <a:stretch>
          <a:fillRect/>
        </a:stretch>
      </xdr:blipFill>
      <xdr:spPr>
        <a:xfrm>
          <a:off x="0" y="7048500"/>
          <a:ext cx="10265030" cy="12345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295276</xdr:colOff>
      <xdr:row>2</xdr:row>
      <xdr:rowOff>9525</xdr:rowOff>
    </xdr:from>
    <xdr:to>
      <xdr:col>4</xdr:col>
      <xdr:colOff>440939</xdr:colOff>
      <xdr:row>4</xdr:row>
      <xdr:rowOff>34050</xdr:rowOff>
    </xdr:to>
    <xdr:pic>
      <xdr:nvPicPr>
        <xdr:cNvPr id="2" name="Image 1">
          <a:extLst>
            <a:ext uri="{FF2B5EF4-FFF2-40B4-BE49-F238E27FC236}">
              <a16:creationId xmlns:a16="http://schemas.microsoft.com/office/drawing/2014/main" id="{50E40E18-1CC0-48E7-A28D-D9914CDEB5F9}"/>
            </a:ext>
          </a:extLst>
        </xdr:cNvPr>
        <xdr:cNvPicPr>
          <a:picLocks noChangeAspect="1"/>
        </xdr:cNvPicPr>
      </xdr:nvPicPr>
      <xdr:blipFill>
        <a:blip xmlns:r="http://schemas.openxmlformats.org/officeDocument/2006/relationships" r:embed="rId1"/>
        <a:stretch>
          <a:fillRect/>
        </a:stretch>
      </xdr:blipFill>
      <xdr:spPr>
        <a:xfrm>
          <a:off x="1880236" y="565785"/>
          <a:ext cx="1730623" cy="39028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75D88-262C-4197-848E-062806AFB5A5}">
  <dimension ref="A2:H33"/>
  <sheetViews>
    <sheetView showGridLines="0" tabSelected="1" topLeftCell="A5" workbookViewId="0">
      <selection activeCell="A14" sqref="A14"/>
    </sheetView>
  </sheetViews>
  <sheetFormatPr baseColWidth="10" defaultRowHeight="14.4" x14ac:dyDescent="0.3"/>
  <cols>
    <col min="1" max="1" width="64.33203125" customWidth="1"/>
    <col min="7" max="7" width="18.44140625" customWidth="1"/>
  </cols>
  <sheetData>
    <row r="2" spans="1:8" ht="36.6" x14ac:dyDescent="0.7">
      <c r="A2" s="52" t="s">
        <v>98</v>
      </c>
      <c r="G2" s="52" t="s">
        <v>110</v>
      </c>
    </row>
    <row r="3" spans="1:8" x14ac:dyDescent="0.3">
      <c r="G3" s="55" t="s">
        <v>113</v>
      </c>
      <c r="H3" s="55" t="s">
        <v>112</v>
      </c>
    </row>
    <row r="4" spans="1:8" ht="57.6" x14ac:dyDescent="0.3">
      <c r="A4" s="53" t="s">
        <v>119</v>
      </c>
      <c r="G4" s="56" t="s">
        <v>111</v>
      </c>
      <c r="H4" s="59">
        <v>4</v>
      </c>
    </row>
    <row r="5" spans="1:8" ht="28.8" x14ac:dyDescent="0.3">
      <c r="G5" s="56" t="s">
        <v>114</v>
      </c>
      <c r="H5" s="59">
        <v>3</v>
      </c>
    </row>
    <row r="6" spans="1:8" x14ac:dyDescent="0.3">
      <c r="A6" s="1" t="s">
        <v>99</v>
      </c>
      <c r="G6" s="55" t="s">
        <v>115</v>
      </c>
      <c r="H6" s="59">
        <v>3</v>
      </c>
    </row>
    <row r="7" spans="1:8" ht="72" x14ac:dyDescent="0.3">
      <c r="A7" s="54" t="s">
        <v>100</v>
      </c>
      <c r="G7" s="56" t="s">
        <v>116</v>
      </c>
      <c r="H7" s="59">
        <v>7</v>
      </c>
    </row>
    <row r="8" spans="1:8" ht="72" x14ac:dyDescent="0.3">
      <c r="G8" s="56" t="s">
        <v>117</v>
      </c>
      <c r="H8" s="59">
        <v>3</v>
      </c>
    </row>
    <row r="9" spans="1:8" x14ac:dyDescent="0.3">
      <c r="A9" s="1" t="s">
        <v>101</v>
      </c>
      <c r="G9" s="56" t="s">
        <v>118</v>
      </c>
      <c r="H9" s="57">
        <v>20</v>
      </c>
    </row>
    <row r="10" spans="1:8" x14ac:dyDescent="0.3">
      <c r="A10" t="s">
        <v>102</v>
      </c>
    </row>
    <row r="11" spans="1:8" x14ac:dyDescent="0.3">
      <c r="A11" t="s">
        <v>103</v>
      </c>
    </row>
    <row r="12" spans="1:8" x14ac:dyDescent="0.3">
      <c r="A12" t="s">
        <v>104</v>
      </c>
    </row>
    <row r="13" spans="1:8" x14ac:dyDescent="0.3">
      <c r="A13" t="s">
        <v>123</v>
      </c>
    </row>
    <row r="14" spans="1:8" x14ac:dyDescent="0.3">
      <c r="A14" t="s">
        <v>124</v>
      </c>
    </row>
    <row r="15" spans="1:8" x14ac:dyDescent="0.3">
      <c r="A15" t="s">
        <v>105</v>
      </c>
    </row>
    <row r="16" spans="1:8" x14ac:dyDescent="0.3">
      <c r="A16" t="s">
        <v>106</v>
      </c>
    </row>
    <row r="17" spans="1:1" x14ac:dyDescent="0.3">
      <c r="A17" t="s">
        <v>125</v>
      </c>
    </row>
    <row r="18" spans="1:1" x14ac:dyDescent="0.3">
      <c r="A18" t="s">
        <v>107</v>
      </c>
    </row>
    <row r="19" spans="1:1" x14ac:dyDescent="0.3">
      <c r="A19" t="s">
        <v>109</v>
      </c>
    </row>
    <row r="20" spans="1:1" x14ac:dyDescent="0.3">
      <c r="A20" t="s">
        <v>126</v>
      </c>
    </row>
    <row r="21" spans="1:1" x14ac:dyDescent="0.3">
      <c r="A21" t="s">
        <v>108</v>
      </c>
    </row>
    <row r="23" spans="1:1" x14ac:dyDescent="0.3">
      <c r="A23" s="1" t="s">
        <v>120</v>
      </c>
    </row>
    <row r="24" spans="1:1" x14ac:dyDescent="0.3">
      <c r="A24" s="58" t="s">
        <v>121</v>
      </c>
    </row>
    <row r="33" spans="1:1" x14ac:dyDescent="0.3">
      <c r="A33" s="58" t="s">
        <v>122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1645-5278-4658-8837-523FC2823B27}">
  <dimension ref="A1:E36"/>
  <sheetViews>
    <sheetView topLeftCell="A7" workbookViewId="0">
      <selection activeCell="G17" sqref="G17"/>
    </sheetView>
  </sheetViews>
  <sheetFormatPr baseColWidth="10" defaultRowHeight="14.4" x14ac:dyDescent="0.3"/>
  <cols>
    <col min="1" max="1" width="11.88671875" bestFit="1" customWidth="1"/>
    <col min="3" max="3" width="38.5546875" bestFit="1" customWidth="1"/>
    <col min="4" max="4" width="13.21875" bestFit="1" customWidth="1"/>
    <col min="5" max="5" width="18.21875" bestFit="1" customWidth="1"/>
  </cols>
  <sheetData>
    <row r="1" spans="1:5" x14ac:dyDescent="0.3">
      <c r="A1" s="10" t="s">
        <v>18</v>
      </c>
      <c r="B1" s="10" t="s">
        <v>16</v>
      </c>
      <c r="C1" s="10" t="s">
        <v>17</v>
      </c>
      <c r="D1" s="17" t="s">
        <v>15</v>
      </c>
      <c r="E1" s="14" t="s">
        <v>52</v>
      </c>
    </row>
    <row r="2" spans="1:5" x14ac:dyDescent="0.3">
      <c r="A2" s="3">
        <v>46022</v>
      </c>
      <c r="B2" s="2" t="s">
        <v>0</v>
      </c>
      <c r="C2" s="4" t="s">
        <v>1</v>
      </c>
      <c r="D2" s="18">
        <v>1255.1239800000001</v>
      </c>
      <c r="E2" s="21"/>
    </row>
    <row r="3" spans="1:5" x14ac:dyDescent="0.3">
      <c r="A3" s="3">
        <v>46022</v>
      </c>
      <c r="B3" s="2" t="s">
        <v>0</v>
      </c>
      <c r="C3" s="6" t="s">
        <v>2</v>
      </c>
      <c r="D3" s="19">
        <v>40.586860000000115</v>
      </c>
      <c r="E3" s="22">
        <v>0</v>
      </c>
    </row>
    <row r="4" spans="1:5" x14ac:dyDescent="0.3">
      <c r="A4" s="3">
        <v>46022</v>
      </c>
      <c r="B4" s="2" t="s">
        <v>0</v>
      </c>
      <c r="C4" s="6" t="s">
        <v>3</v>
      </c>
      <c r="D4" s="19">
        <v>1214.53712</v>
      </c>
      <c r="E4" s="22">
        <v>4.05726874893458E-4</v>
      </c>
    </row>
    <row r="5" spans="1:5" x14ac:dyDescent="0.3">
      <c r="A5" s="3">
        <v>46022</v>
      </c>
      <c r="B5" s="2" t="s">
        <v>0</v>
      </c>
      <c r="C5" s="4" t="s">
        <v>4</v>
      </c>
      <c r="D5" s="18">
        <v>28006.945</v>
      </c>
      <c r="E5" s="21"/>
    </row>
    <row r="6" spans="1:5" x14ac:dyDescent="0.3">
      <c r="A6" s="3">
        <v>46022</v>
      </c>
      <c r="B6" s="2" t="s">
        <v>0</v>
      </c>
      <c r="C6" s="6" t="s">
        <v>5</v>
      </c>
      <c r="D6" s="19">
        <v>19086.274000000001</v>
      </c>
      <c r="E6" s="22">
        <v>0</v>
      </c>
    </row>
    <row r="7" spans="1:5" x14ac:dyDescent="0.3">
      <c r="A7" s="3">
        <v>46022</v>
      </c>
      <c r="B7" s="2" t="s">
        <v>0</v>
      </c>
      <c r="C7" s="6" t="s">
        <v>6</v>
      </c>
      <c r="D7" s="19">
        <v>8920.6710000000003</v>
      </c>
      <c r="E7" s="22">
        <v>2.4897510000000001E-2</v>
      </c>
    </row>
    <row r="8" spans="1:5" x14ac:dyDescent="0.3">
      <c r="A8" s="3">
        <v>46022</v>
      </c>
      <c r="B8" s="2" t="s">
        <v>0</v>
      </c>
      <c r="C8" s="4" t="s">
        <v>7</v>
      </c>
      <c r="D8" s="18">
        <v>125650.31899999999</v>
      </c>
      <c r="E8" s="21"/>
    </row>
    <row r="9" spans="1:5" x14ac:dyDescent="0.3">
      <c r="A9" s="3">
        <v>46022</v>
      </c>
      <c r="B9" s="2" t="s">
        <v>0</v>
      </c>
      <c r="C9" s="6" t="s">
        <v>8</v>
      </c>
      <c r="D9" s="19">
        <v>358.11700000000002</v>
      </c>
      <c r="E9" s="22">
        <v>4.8443031587445756E-2</v>
      </c>
    </row>
    <row r="10" spans="1:5" x14ac:dyDescent="0.3">
      <c r="A10" s="3">
        <v>46022</v>
      </c>
      <c r="B10" s="2" t="s">
        <v>0</v>
      </c>
      <c r="C10" s="6" t="s">
        <v>9</v>
      </c>
      <c r="D10" s="19">
        <v>49615.565999999999</v>
      </c>
      <c r="E10" s="22">
        <v>3.2228872939520412E-2</v>
      </c>
    </row>
    <row r="11" spans="1:5" x14ac:dyDescent="0.3">
      <c r="A11" s="3">
        <v>46022</v>
      </c>
      <c r="B11" s="2" t="s">
        <v>0</v>
      </c>
      <c r="C11" s="6" t="s">
        <v>10</v>
      </c>
      <c r="D11" s="19">
        <v>75676.635999999999</v>
      </c>
      <c r="E11" s="22">
        <v>3.9912213044508871E-2</v>
      </c>
    </row>
    <row r="12" spans="1:5" x14ac:dyDescent="0.3">
      <c r="A12" s="3">
        <v>46022</v>
      </c>
      <c r="B12" s="2" t="s">
        <v>0</v>
      </c>
      <c r="C12" s="4" t="s">
        <v>11</v>
      </c>
      <c r="D12" s="18">
        <v>28</v>
      </c>
      <c r="E12" s="22">
        <v>0.05</v>
      </c>
    </row>
    <row r="13" spans="1:5" x14ac:dyDescent="0.3">
      <c r="A13" s="3">
        <v>46022</v>
      </c>
      <c r="B13" s="2" t="s">
        <v>0</v>
      </c>
      <c r="C13" s="4" t="s">
        <v>12</v>
      </c>
      <c r="D13" s="18">
        <v>82</v>
      </c>
      <c r="E13" s="22"/>
    </row>
    <row r="14" spans="1:5" x14ac:dyDescent="0.3">
      <c r="A14" s="3">
        <v>46022</v>
      </c>
      <c r="B14" s="2" t="s">
        <v>0</v>
      </c>
      <c r="C14" s="4" t="s">
        <v>13</v>
      </c>
      <c r="D14" s="18">
        <v>570</v>
      </c>
      <c r="E14" s="22"/>
    </row>
    <row r="15" spans="1:5" x14ac:dyDescent="0.3">
      <c r="A15" s="3">
        <v>46022</v>
      </c>
      <c r="B15" s="2" t="s">
        <v>0</v>
      </c>
      <c r="C15" s="8" t="s">
        <v>14</v>
      </c>
      <c r="D15" s="20">
        <f>D2+D5+D8+D12+D13+D14</f>
        <v>155592.38798</v>
      </c>
      <c r="E15" s="21"/>
    </row>
    <row r="16" spans="1:5" x14ac:dyDescent="0.3">
      <c r="A16" s="3">
        <v>46022</v>
      </c>
      <c r="B16" s="2" t="s">
        <v>19</v>
      </c>
      <c r="C16" s="4" t="s">
        <v>20</v>
      </c>
      <c r="D16" s="18">
        <f>D17+D18</f>
        <v>74095.3</v>
      </c>
      <c r="E16" s="21"/>
    </row>
    <row r="17" spans="1:5" x14ac:dyDescent="0.3">
      <c r="A17" s="3">
        <v>46022</v>
      </c>
      <c r="B17" s="2" t="s">
        <v>19</v>
      </c>
      <c r="C17" s="6" t="s">
        <v>5</v>
      </c>
      <c r="D17" s="19">
        <v>1890.2</v>
      </c>
      <c r="E17" s="22">
        <v>0</v>
      </c>
    </row>
    <row r="18" spans="1:5" x14ac:dyDescent="0.3">
      <c r="A18" s="3">
        <v>46022</v>
      </c>
      <c r="B18" s="2" t="s">
        <v>19</v>
      </c>
      <c r="C18" s="6" t="s">
        <v>6</v>
      </c>
      <c r="D18" s="19">
        <v>72205.100000000006</v>
      </c>
      <c r="E18" s="22">
        <v>1.3896500000000001E-2</v>
      </c>
    </row>
    <row r="19" spans="1:5" x14ac:dyDescent="0.3">
      <c r="A19" s="3">
        <v>46022</v>
      </c>
      <c r="B19" s="2" t="s">
        <v>19</v>
      </c>
      <c r="C19" s="4" t="s">
        <v>21</v>
      </c>
      <c r="D19" s="18">
        <v>50161.059000000001</v>
      </c>
      <c r="E19" s="21"/>
    </row>
    <row r="20" spans="1:5" x14ac:dyDescent="0.3">
      <c r="A20" s="3">
        <v>46022</v>
      </c>
      <c r="B20" s="2" t="s">
        <v>19</v>
      </c>
      <c r="C20" s="6" t="s">
        <v>5</v>
      </c>
      <c r="D20" s="19">
        <v>23989.094000000001</v>
      </c>
      <c r="E20" s="22">
        <v>0</v>
      </c>
    </row>
    <row r="21" spans="1:5" x14ac:dyDescent="0.3">
      <c r="A21" s="3">
        <v>46022</v>
      </c>
      <c r="B21" s="2" t="s">
        <v>19</v>
      </c>
      <c r="C21" s="6" t="s">
        <v>6</v>
      </c>
      <c r="D21" s="19">
        <v>26171.965</v>
      </c>
      <c r="E21" s="22">
        <v>8.3386457267199329E-3</v>
      </c>
    </row>
    <row r="22" spans="1:5" x14ac:dyDescent="0.3">
      <c r="A22" s="3">
        <v>46022</v>
      </c>
      <c r="B22" s="2" t="s">
        <v>19</v>
      </c>
      <c r="C22" s="4" t="s">
        <v>53</v>
      </c>
      <c r="D22" s="18">
        <v>2297.337</v>
      </c>
      <c r="E22" s="22">
        <v>0</v>
      </c>
    </row>
    <row r="23" spans="1:5" x14ac:dyDescent="0.3">
      <c r="A23" s="3">
        <v>46022</v>
      </c>
      <c r="B23" s="2" t="s">
        <v>19</v>
      </c>
      <c r="C23" s="4" t="s">
        <v>22</v>
      </c>
      <c r="D23" s="18">
        <v>2994.7869999999998</v>
      </c>
      <c r="E23" s="22">
        <v>0</v>
      </c>
    </row>
    <row r="24" spans="1:5" x14ac:dyDescent="0.3">
      <c r="A24" s="3">
        <v>46022</v>
      </c>
      <c r="B24" s="2" t="s">
        <v>19</v>
      </c>
      <c r="C24" s="4" t="s">
        <v>32</v>
      </c>
      <c r="D24" s="19">
        <v>130</v>
      </c>
      <c r="E24" s="22">
        <v>3.5000000000000003E-2</v>
      </c>
    </row>
    <row r="25" spans="1:5" x14ac:dyDescent="0.3">
      <c r="A25" s="3">
        <v>46022</v>
      </c>
      <c r="B25" s="2" t="s">
        <v>19</v>
      </c>
      <c r="C25" s="4" t="s">
        <v>23</v>
      </c>
      <c r="D25" s="18">
        <v>25913.849000000002</v>
      </c>
      <c r="E25" s="21"/>
    </row>
    <row r="26" spans="1:5" x14ac:dyDescent="0.3">
      <c r="A26" s="3">
        <v>46022</v>
      </c>
      <c r="B26" s="2" t="s">
        <v>19</v>
      </c>
      <c r="C26" s="6" t="s">
        <v>24</v>
      </c>
      <c r="D26" s="19">
        <v>476.541</v>
      </c>
      <c r="E26" s="22">
        <v>0</v>
      </c>
    </row>
    <row r="27" spans="1:5" x14ac:dyDescent="0.3">
      <c r="A27" s="3">
        <v>46022</v>
      </c>
      <c r="B27" s="2" t="s">
        <v>19</v>
      </c>
      <c r="C27" s="6" t="s">
        <v>25</v>
      </c>
      <c r="D27" s="19">
        <v>18000.179</v>
      </c>
      <c r="E27" s="22">
        <v>0</v>
      </c>
    </row>
    <row r="28" spans="1:5" x14ac:dyDescent="0.3">
      <c r="A28" s="3">
        <v>46022</v>
      </c>
      <c r="B28" s="2" t="s">
        <v>19</v>
      </c>
      <c r="C28" s="6" t="s">
        <v>26</v>
      </c>
      <c r="D28" s="19">
        <v>2.2200000000000002</v>
      </c>
      <c r="E28" s="22">
        <v>0</v>
      </c>
    </row>
    <row r="29" spans="1:5" x14ac:dyDescent="0.3">
      <c r="A29" s="3">
        <v>46022</v>
      </c>
      <c r="B29" s="2" t="s">
        <v>19</v>
      </c>
      <c r="C29" s="6" t="s">
        <v>27</v>
      </c>
      <c r="D29" s="19">
        <v>429.97500000000002</v>
      </c>
      <c r="E29" s="22">
        <v>0</v>
      </c>
    </row>
    <row r="30" spans="1:5" x14ac:dyDescent="0.3">
      <c r="A30" s="3">
        <v>46022</v>
      </c>
      <c r="B30" s="2" t="s">
        <v>19</v>
      </c>
      <c r="C30" s="6" t="s">
        <v>28</v>
      </c>
      <c r="D30" s="19">
        <v>7004.9340000000002</v>
      </c>
      <c r="E30" s="22">
        <v>0</v>
      </c>
    </row>
    <row r="31" spans="1:5" x14ac:dyDescent="0.3">
      <c r="A31" s="3">
        <v>46022</v>
      </c>
      <c r="B31" s="2" t="s">
        <v>19</v>
      </c>
      <c r="C31" s="6" t="s">
        <v>29</v>
      </c>
      <c r="D31" s="19">
        <v>0</v>
      </c>
      <c r="E31" s="22">
        <v>0</v>
      </c>
    </row>
    <row r="32" spans="1:5" x14ac:dyDescent="0.3">
      <c r="A32" s="3">
        <v>46022</v>
      </c>
      <c r="B32" s="2" t="s">
        <v>19</v>
      </c>
      <c r="C32" s="6" t="s">
        <v>30</v>
      </c>
      <c r="D32" s="19">
        <v>0</v>
      </c>
      <c r="E32" s="22">
        <v>0</v>
      </c>
    </row>
    <row r="33" spans="1:5" x14ac:dyDescent="0.3">
      <c r="A33" s="3">
        <v>46022</v>
      </c>
      <c r="B33" s="2" t="s">
        <v>19</v>
      </c>
      <c r="C33" s="8" t="s">
        <v>31</v>
      </c>
      <c r="D33" s="20">
        <f>D25+D23+D22+D19+D16+D24</f>
        <v>155592.33199999999</v>
      </c>
      <c r="E33" s="21"/>
    </row>
    <row r="35" spans="1:5" x14ac:dyDescent="0.3">
      <c r="C35" s="11" t="s">
        <v>33</v>
      </c>
    </row>
    <row r="36" spans="1:5" x14ac:dyDescent="0.3">
      <c r="C36" s="11" t="s">
        <v>34</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5F03E-96A7-4A9A-9DCF-55DF369E7954}">
  <dimension ref="A1:G27"/>
  <sheetViews>
    <sheetView workbookViewId="0">
      <selection activeCell="I15" sqref="I15"/>
    </sheetView>
  </sheetViews>
  <sheetFormatPr baseColWidth="10" defaultRowHeight="14.4" x14ac:dyDescent="0.3"/>
  <cols>
    <col min="1" max="1" width="6.6640625" bestFit="1" customWidth="1"/>
    <col min="2" max="2" width="31" bestFit="1" customWidth="1"/>
    <col min="3" max="3" width="38.33203125" bestFit="1" customWidth="1"/>
    <col min="4" max="4" width="26.109375" bestFit="1" customWidth="1"/>
    <col min="5" max="5" width="22.109375" bestFit="1" customWidth="1"/>
    <col min="6" max="6" width="15.21875" bestFit="1" customWidth="1"/>
    <col min="7" max="7" width="22.109375" bestFit="1" customWidth="1"/>
  </cols>
  <sheetData>
    <row r="1" spans="1:7" x14ac:dyDescent="0.3">
      <c r="D1" s="16" t="s">
        <v>50</v>
      </c>
      <c r="E1" s="16"/>
      <c r="F1" s="16" t="s">
        <v>51</v>
      </c>
      <c r="G1" s="16"/>
    </row>
    <row r="2" spans="1:7" x14ac:dyDescent="0.3">
      <c r="A2" s="10" t="s">
        <v>16</v>
      </c>
      <c r="B2" s="10" t="s">
        <v>41</v>
      </c>
      <c r="C2" s="10" t="s">
        <v>17</v>
      </c>
      <c r="D2" s="10" t="s">
        <v>42</v>
      </c>
      <c r="E2" s="14" t="s">
        <v>44</v>
      </c>
      <c r="F2" s="10" t="s">
        <v>42</v>
      </c>
      <c r="G2" s="14" t="s">
        <v>44</v>
      </c>
    </row>
    <row r="3" spans="1:7" x14ac:dyDescent="0.3">
      <c r="A3" s="2" t="s">
        <v>0</v>
      </c>
      <c r="B3" s="12" t="s">
        <v>1</v>
      </c>
      <c r="C3" s="6" t="s">
        <v>2</v>
      </c>
      <c r="D3" s="2" t="s">
        <v>43</v>
      </c>
      <c r="E3" s="2">
        <v>60</v>
      </c>
      <c r="F3" s="2" t="s">
        <v>45</v>
      </c>
      <c r="G3" s="2">
        <v>60</v>
      </c>
    </row>
    <row r="4" spans="1:7" x14ac:dyDescent="0.3">
      <c r="A4" s="2" t="s">
        <v>0</v>
      </c>
      <c r="B4" s="12" t="s">
        <v>1</v>
      </c>
      <c r="C4" s="6" t="s">
        <v>3</v>
      </c>
      <c r="D4" s="2" t="s">
        <v>43</v>
      </c>
      <c r="E4" s="2">
        <v>120</v>
      </c>
      <c r="F4" s="2" t="s">
        <v>47</v>
      </c>
      <c r="G4" s="2">
        <v>120</v>
      </c>
    </row>
    <row r="5" spans="1:7" x14ac:dyDescent="0.3">
      <c r="A5" s="2" t="s">
        <v>0</v>
      </c>
      <c r="B5" s="12" t="s">
        <v>4</v>
      </c>
      <c r="C5" s="6" t="s">
        <v>5</v>
      </c>
      <c r="D5" s="2" t="s">
        <v>43</v>
      </c>
      <c r="E5" s="2">
        <v>6</v>
      </c>
      <c r="F5" s="2" t="s">
        <v>43</v>
      </c>
      <c r="G5" s="2">
        <v>6</v>
      </c>
    </row>
    <row r="6" spans="1:7" x14ac:dyDescent="0.3">
      <c r="A6" s="2" t="s">
        <v>0</v>
      </c>
      <c r="B6" s="12" t="s">
        <v>4</v>
      </c>
      <c r="C6" s="6" t="s">
        <v>6</v>
      </c>
      <c r="D6" s="2" t="s">
        <v>45</v>
      </c>
      <c r="E6" s="2">
        <v>12</v>
      </c>
      <c r="F6" s="2" t="s">
        <v>45</v>
      </c>
      <c r="G6" s="2">
        <v>12</v>
      </c>
    </row>
    <row r="7" spans="1:7" x14ac:dyDescent="0.3">
      <c r="A7" s="2" t="s">
        <v>0</v>
      </c>
      <c r="B7" s="12" t="s">
        <v>7</v>
      </c>
      <c r="C7" s="6" t="s">
        <v>8</v>
      </c>
      <c r="D7" s="2" t="s">
        <v>46</v>
      </c>
      <c r="E7" s="2">
        <v>60</v>
      </c>
      <c r="F7" s="2" t="s">
        <v>46</v>
      </c>
      <c r="G7" s="2">
        <v>60</v>
      </c>
    </row>
    <row r="8" spans="1:7" x14ac:dyDescent="0.3">
      <c r="A8" s="2" t="s">
        <v>0</v>
      </c>
      <c r="B8" s="12" t="s">
        <v>7</v>
      </c>
      <c r="C8" s="6" t="s">
        <v>9</v>
      </c>
      <c r="D8" s="2" t="s">
        <v>46</v>
      </c>
      <c r="E8" s="2">
        <v>10</v>
      </c>
      <c r="F8" s="2" t="s">
        <v>46</v>
      </c>
      <c r="G8" s="2">
        <v>10</v>
      </c>
    </row>
    <row r="9" spans="1:7" x14ac:dyDescent="0.3">
      <c r="A9" s="2" t="s">
        <v>0</v>
      </c>
      <c r="B9" s="12" t="s">
        <v>7</v>
      </c>
      <c r="C9" s="6" t="s">
        <v>10</v>
      </c>
      <c r="D9" s="2" t="s">
        <v>45</v>
      </c>
      <c r="E9" s="2">
        <v>1</v>
      </c>
      <c r="F9" s="2" t="s">
        <v>45</v>
      </c>
      <c r="G9" s="2">
        <v>1</v>
      </c>
    </row>
    <row r="10" spans="1:7" x14ac:dyDescent="0.3">
      <c r="A10" s="2" t="s">
        <v>0</v>
      </c>
      <c r="B10" s="2" t="s">
        <v>39</v>
      </c>
      <c r="C10" s="12" t="s">
        <v>11</v>
      </c>
      <c r="D10" s="15" t="s">
        <v>47</v>
      </c>
      <c r="E10" s="2">
        <v>84</v>
      </c>
      <c r="F10" s="15" t="s">
        <v>47</v>
      </c>
      <c r="G10" s="2">
        <v>84</v>
      </c>
    </row>
    <row r="11" spans="1:7" x14ac:dyDescent="0.3">
      <c r="A11" s="2" t="s">
        <v>0</v>
      </c>
      <c r="B11" s="2" t="s">
        <v>35</v>
      </c>
      <c r="C11" s="12" t="s">
        <v>12</v>
      </c>
      <c r="D11" s="15" t="s">
        <v>43</v>
      </c>
      <c r="E11" s="2">
        <v>120</v>
      </c>
      <c r="F11" s="15" t="s">
        <v>43</v>
      </c>
      <c r="G11" s="2">
        <v>120</v>
      </c>
    </row>
    <row r="12" spans="1:7" x14ac:dyDescent="0.3">
      <c r="A12" s="2" t="s">
        <v>0</v>
      </c>
      <c r="B12" s="2" t="s">
        <v>36</v>
      </c>
      <c r="C12" s="12" t="s">
        <v>13</v>
      </c>
      <c r="D12" s="15" t="s">
        <v>43</v>
      </c>
      <c r="E12" s="2">
        <v>120</v>
      </c>
      <c r="F12" s="15" t="s">
        <v>43</v>
      </c>
      <c r="G12" s="2">
        <v>120</v>
      </c>
    </row>
    <row r="13" spans="1:7" x14ac:dyDescent="0.3">
      <c r="A13" s="2" t="s">
        <v>19</v>
      </c>
      <c r="B13" s="12" t="s">
        <v>20</v>
      </c>
      <c r="C13" s="6" t="s">
        <v>5</v>
      </c>
      <c r="D13" s="15" t="s">
        <v>48</v>
      </c>
      <c r="E13" s="2">
        <v>4</v>
      </c>
      <c r="F13" s="15" t="s">
        <v>45</v>
      </c>
      <c r="G13" s="2">
        <v>4</v>
      </c>
    </row>
    <row r="14" spans="1:7" x14ac:dyDescent="0.3">
      <c r="A14" s="2" t="s">
        <v>19</v>
      </c>
      <c r="B14" s="12" t="s">
        <v>20</v>
      </c>
      <c r="C14" s="6" t="s">
        <v>6</v>
      </c>
      <c r="D14" s="15" t="s">
        <v>47</v>
      </c>
      <c r="E14" s="2">
        <v>24</v>
      </c>
      <c r="F14" s="15" t="s">
        <v>47</v>
      </c>
      <c r="G14" s="2">
        <v>24</v>
      </c>
    </row>
    <row r="15" spans="1:7" x14ac:dyDescent="0.3">
      <c r="A15" s="2" t="s">
        <v>19</v>
      </c>
      <c r="B15" s="12" t="s">
        <v>21</v>
      </c>
      <c r="C15" s="6" t="s">
        <v>5</v>
      </c>
      <c r="D15" s="15" t="s">
        <v>49</v>
      </c>
      <c r="E15" s="2">
        <v>120</v>
      </c>
      <c r="F15" s="2" t="s">
        <v>43</v>
      </c>
      <c r="G15" s="2">
        <v>120</v>
      </c>
    </row>
    <row r="16" spans="1:7" x14ac:dyDescent="0.3">
      <c r="A16" s="2" t="s">
        <v>19</v>
      </c>
      <c r="B16" s="12" t="s">
        <v>21</v>
      </c>
      <c r="C16" s="6" t="s">
        <v>6</v>
      </c>
      <c r="D16" s="15" t="s">
        <v>45</v>
      </c>
      <c r="E16" s="2">
        <v>60</v>
      </c>
      <c r="F16" s="15" t="s">
        <v>45</v>
      </c>
      <c r="G16" s="2">
        <v>60</v>
      </c>
    </row>
    <row r="17" spans="1:7" x14ac:dyDescent="0.3">
      <c r="A17" s="2" t="s">
        <v>19</v>
      </c>
      <c r="B17" s="2" t="s">
        <v>36</v>
      </c>
      <c r="C17" s="12" t="s">
        <v>53</v>
      </c>
      <c r="D17" s="15" t="s">
        <v>43</v>
      </c>
      <c r="E17" s="2">
        <v>120</v>
      </c>
      <c r="F17" s="15" t="s">
        <v>43</v>
      </c>
      <c r="G17" s="2">
        <v>120</v>
      </c>
    </row>
    <row r="18" spans="1:7" x14ac:dyDescent="0.3">
      <c r="A18" s="2" t="s">
        <v>19</v>
      </c>
      <c r="B18" s="2" t="s">
        <v>37</v>
      </c>
      <c r="C18" s="12" t="s">
        <v>22</v>
      </c>
      <c r="D18" s="15" t="s">
        <v>43</v>
      </c>
      <c r="E18" s="2">
        <v>120</v>
      </c>
      <c r="F18" s="15" t="s">
        <v>43</v>
      </c>
      <c r="G18" s="2">
        <v>120</v>
      </c>
    </row>
    <row r="19" spans="1:7" x14ac:dyDescent="0.3">
      <c r="A19" s="2" t="s">
        <v>19</v>
      </c>
      <c r="B19" s="2" t="s">
        <v>38</v>
      </c>
      <c r="C19" s="12" t="s">
        <v>32</v>
      </c>
      <c r="D19" s="15" t="s">
        <v>45</v>
      </c>
      <c r="E19" s="2">
        <v>72</v>
      </c>
      <c r="F19" s="15" t="s">
        <v>45</v>
      </c>
      <c r="G19" s="2">
        <v>72</v>
      </c>
    </row>
    <row r="20" spans="1:7" x14ac:dyDescent="0.3">
      <c r="A20" s="2" t="s">
        <v>19</v>
      </c>
      <c r="B20" s="2" t="s">
        <v>40</v>
      </c>
      <c r="C20" s="12" t="s">
        <v>23</v>
      </c>
      <c r="D20" s="15" t="s">
        <v>43</v>
      </c>
      <c r="E20" s="2">
        <v>120</v>
      </c>
      <c r="F20" s="15" t="s">
        <v>43</v>
      </c>
      <c r="G20" s="2">
        <v>120</v>
      </c>
    </row>
    <row r="21" spans="1:7" x14ac:dyDescent="0.3">
      <c r="A21" s="2" t="s">
        <v>19</v>
      </c>
      <c r="B21" s="2" t="s">
        <v>40</v>
      </c>
      <c r="C21" s="6" t="s">
        <v>24</v>
      </c>
      <c r="D21" s="15" t="s">
        <v>43</v>
      </c>
      <c r="E21" s="2">
        <v>120</v>
      </c>
      <c r="F21" s="15" t="s">
        <v>43</v>
      </c>
      <c r="G21" s="2">
        <v>120</v>
      </c>
    </row>
    <row r="22" spans="1:7" x14ac:dyDescent="0.3">
      <c r="A22" s="2" t="s">
        <v>19</v>
      </c>
      <c r="B22" s="2" t="s">
        <v>40</v>
      </c>
      <c r="C22" s="6" t="s">
        <v>25</v>
      </c>
      <c r="D22" s="15" t="s">
        <v>43</v>
      </c>
      <c r="E22" s="2">
        <v>120</v>
      </c>
      <c r="F22" s="15" t="s">
        <v>43</v>
      </c>
      <c r="G22" s="2">
        <v>120</v>
      </c>
    </row>
    <row r="23" spans="1:7" x14ac:dyDescent="0.3">
      <c r="A23" s="2" t="s">
        <v>19</v>
      </c>
      <c r="B23" s="2" t="s">
        <v>40</v>
      </c>
      <c r="C23" s="6" t="s">
        <v>26</v>
      </c>
      <c r="D23" s="15" t="s">
        <v>43</v>
      </c>
      <c r="E23" s="2">
        <v>120</v>
      </c>
      <c r="F23" s="15" t="s">
        <v>43</v>
      </c>
      <c r="G23" s="2">
        <v>120</v>
      </c>
    </row>
    <row r="24" spans="1:7" x14ac:dyDescent="0.3">
      <c r="A24" s="2" t="s">
        <v>19</v>
      </c>
      <c r="B24" s="2" t="s">
        <v>40</v>
      </c>
      <c r="C24" s="6" t="s">
        <v>27</v>
      </c>
      <c r="D24" s="15" t="s">
        <v>43</v>
      </c>
      <c r="E24" s="2">
        <v>120</v>
      </c>
      <c r="F24" s="15" t="s">
        <v>43</v>
      </c>
      <c r="G24" s="2">
        <v>120</v>
      </c>
    </row>
    <row r="25" spans="1:7" x14ac:dyDescent="0.3">
      <c r="A25" s="2" t="s">
        <v>19</v>
      </c>
      <c r="B25" s="2" t="s">
        <v>40</v>
      </c>
      <c r="C25" s="6" t="s">
        <v>28</v>
      </c>
      <c r="D25" s="15" t="s">
        <v>43</v>
      </c>
      <c r="E25" s="2">
        <v>120</v>
      </c>
      <c r="F25" s="15" t="s">
        <v>43</v>
      </c>
      <c r="G25" s="2">
        <v>120</v>
      </c>
    </row>
    <row r="26" spans="1:7" x14ac:dyDescent="0.3">
      <c r="A26" s="2" t="s">
        <v>19</v>
      </c>
      <c r="B26" s="2" t="s">
        <v>40</v>
      </c>
      <c r="C26" s="6" t="s">
        <v>29</v>
      </c>
      <c r="D26" s="15" t="s">
        <v>43</v>
      </c>
      <c r="E26" s="2">
        <v>120</v>
      </c>
      <c r="F26" s="15" t="s">
        <v>43</v>
      </c>
      <c r="G26" s="2">
        <v>120</v>
      </c>
    </row>
    <row r="27" spans="1:7" x14ac:dyDescent="0.3">
      <c r="A27" s="2" t="s">
        <v>19</v>
      </c>
      <c r="B27" s="2" t="s">
        <v>40</v>
      </c>
      <c r="C27" s="6" t="s">
        <v>30</v>
      </c>
      <c r="D27" s="15" t="s">
        <v>43</v>
      </c>
      <c r="E27" s="2">
        <v>120</v>
      </c>
      <c r="F27" s="15" t="s">
        <v>43</v>
      </c>
      <c r="G27" s="2">
        <v>120</v>
      </c>
    </row>
  </sheetData>
  <mergeCells count="2">
    <mergeCell ref="D1:E1"/>
    <mergeCell ref="F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0B5BA-784E-407A-B37A-28843E0B3661}">
  <dimension ref="A1:E34"/>
  <sheetViews>
    <sheetView workbookViewId="0">
      <selection activeCell="H11" sqref="H11"/>
    </sheetView>
  </sheetViews>
  <sheetFormatPr baseColWidth="10" defaultRowHeight="14.4" x14ac:dyDescent="0.3"/>
  <cols>
    <col min="1" max="1" width="38.33203125" bestFit="1" customWidth="1"/>
    <col min="2" max="3" width="10.33203125" bestFit="1" customWidth="1"/>
  </cols>
  <sheetData>
    <row r="1" spans="1:5" x14ac:dyDescent="0.3">
      <c r="B1" s="25" t="s">
        <v>54</v>
      </c>
      <c r="C1" s="26" t="s">
        <v>55</v>
      </c>
      <c r="D1" s="26"/>
      <c r="E1" s="26"/>
    </row>
    <row r="2" spans="1:5" x14ac:dyDescent="0.3">
      <c r="A2" s="10" t="s">
        <v>17</v>
      </c>
      <c r="B2" s="23">
        <v>46022</v>
      </c>
      <c r="C2" s="23">
        <v>46387</v>
      </c>
      <c r="D2" s="23">
        <v>46752</v>
      </c>
      <c r="E2" s="24">
        <v>47118</v>
      </c>
    </row>
    <row r="3" spans="1:5" x14ac:dyDescent="0.3">
      <c r="A3" s="4" t="s">
        <v>1</v>
      </c>
      <c r="B3" s="18">
        <v>1255.1239800000001</v>
      </c>
      <c r="C3" s="18">
        <v>1295</v>
      </c>
      <c r="D3" s="18">
        <f>D4+D5</f>
        <v>7317.85232</v>
      </c>
      <c r="E3" s="5">
        <f>E4+E5</f>
        <v>5537.0968599999997</v>
      </c>
    </row>
    <row r="4" spans="1:5" x14ac:dyDescent="0.3">
      <c r="A4" s="6" t="s">
        <v>2</v>
      </c>
      <c r="B4" s="19">
        <v>40.586860000000115</v>
      </c>
      <c r="C4" s="19">
        <v>26.685560000000002</v>
      </c>
      <c r="D4" s="19">
        <v>298.85232000000002</v>
      </c>
      <c r="E4" s="7">
        <v>246.09685999999999</v>
      </c>
    </row>
    <row r="5" spans="1:5" x14ac:dyDescent="0.3">
      <c r="A5" s="6" t="s">
        <v>3</v>
      </c>
      <c r="B5" s="19">
        <v>1214.53712</v>
      </c>
      <c r="C5" s="19">
        <v>1268.3144400000001</v>
      </c>
      <c r="D5" s="19">
        <v>7019</v>
      </c>
      <c r="E5" s="7">
        <v>5291</v>
      </c>
    </row>
    <row r="6" spans="1:5" x14ac:dyDescent="0.3">
      <c r="A6" s="4" t="s">
        <v>4</v>
      </c>
      <c r="B6" s="18">
        <v>28006.945</v>
      </c>
      <c r="C6" s="18">
        <v>24611</v>
      </c>
      <c r="D6" s="18">
        <v>34452</v>
      </c>
      <c r="E6" s="5">
        <v>27054</v>
      </c>
    </row>
    <row r="7" spans="1:5" x14ac:dyDescent="0.3">
      <c r="A7" s="6" t="s">
        <v>5</v>
      </c>
      <c r="B7" s="19">
        <v>19086.274000000001</v>
      </c>
      <c r="C7" s="19">
        <v>16458</v>
      </c>
      <c r="D7" s="19">
        <v>28608</v>
      </c>
      <c r="E7" s="7">
        <v>26797</v>
      </c>
    </row>
    <row r="8" spans="1:5" x14ac:dyDescent="0.3">
      <c r="A8" s="6" t="s">
        <v>6</v>
      </c>
      <c r="B8" s="19">
        <v>8920.6710000000003</v>
      </c>
      <c r="C8" s="19">
        <v>8153</v>
      </c>
      <c r="D8" s="19">
        <v>5844</v>
      </c>
      <c r="E8" s="7">
        <v>257</v>
      </c>
    </row>
    <row r="9" spans="1:5" x14ac:dyDescent="0.3">
      <c r="A9" s="4" t="s">
        <v>7</v>
      </c>
      <c r="B9" s="18">
        <v>125650.31899999999</v>
      </c>
      <c r="C9" s="18">
        <f>C10+C11+C12</f>
        <v>157553</v>
      </c>
      <c r="D9" s="18">
        <v>267467</v>
      </c>
      <c r="E9" s="5">
        <v>297941</v>
      </c>
    </row>
    <row r="10" spans="1:5" x14ac:dyDescent="0.3">
      <c r="A10" s="6" t="s">
        <v>8</v>
      </c>
      <c r="B10" s="19">
        <v>358.11700000000002</v>
      </c>
      <c r="C10" s="19">
        <v>5939</v>
      </c>
      <c r="D10" s="19">
        <v>3970</v>
      </c>
      <c r="E10" s="7">
        <v>18036</v>
      </c>
    </row>
    <row r="11" spans="1:5" x14ac:dyDescent="0.3">
      <c r="A11" s="6" t="s">
        <v>9</v>
      </c>
      <c r="B11" s="19">
        <v>49615.565999999999</v>
      </c>
      <c r="C11" s="19">
        <v>60919</v>
      </c>
      <c r="D11" s="19">
        <v>146749</v>
      </c>
      <c r="E11" s="7">
        <v>159220</v>
      </c>
    </row>
    <row r="12" spans="1:5" x14ac:dyDescent="0.3">
      <c r="A12" s="6" t="s">
        <v>10</v>
      </c>
      <c r="B12" s="19">
        <v>75676.635999999999</v>
      </c>
      <c r="C12" s="19">
        <v>90695</v>
      </c>
      <c r="D12" s="19">
        <v>116748</v>
      </c>
      <c r="E12" s="7">
        <v>120685</v>
      </c>
    </row>
    <row r="13" spans="1:5" x14ac:dyDescent="0.3">
      <c r="A13" s="4" t="s">
        <v>11</v>
      </c>
      <c r="B13" s="18">
        <v>28</v>
      </c>
      <c r="C13" s="18">
        <v>28</v>
      </c>
      <c r="D13" s="18">
        <v>9212</v>
      </c>
      <c r="E13" s="5">
        <v>9506</v>
      </c>
    </row>
    <row r="14" spans="1:5" x14ac:dyDescent="0.3">
      <c r="A14" s="4" t="s">
        <v>12</v>
      </c>
      <c r="B14" s="18">
        <v>82</v>
      </c>
      <c r="C14" s="18">
        <v>60</v>
      </c>
      <c r="D14" s="18">
        <v>67</v>
      </c>
      <c r="E14" s="5">
        <v>53</v>
      </c>
    </row>
    <row r="15" spans="1:5" x14ac:dyDescent="0.3">
      <c r="A15" s="4" t="s">
        <v>13</v>
      </c>
      <c r="B15" s="18">
        <v>570</v>
      </c>
      <c r="C15" s="18">
        <v>510</v>
      </c>
      <c r="D15" s="18">
        <v>1144</v>
      </c>
      <c r="E15" s="5">
        <v>2027</v>
      </c>
    </row>
    <row r="16" spans="1:5" x14ac:dyDescent="0.3">
      <c r="A16" s="8" t="s">
        <v>14</v>
      </c>
      <c r="B16" s="20">
        <f>B3+B6+B9+B13+B14+B15</f>
        <v>155592.38798</v>
      </c>
      <c r="C16" s="9">
        <f>C3+C6+C9+C13+C14+C15</f>
        <v>184057</v>
      </c>
      <c r="D16" s="9">
        <f>D3+D6+D9+D13+D14+D15</f>
        <v>319659.85232000001</v>
      </c>
      <c r="E16" s="9">
        <f>E15+E3+E6+E9+E13+E14</f>
        <v>342118.09685999999</v>
      </c>
    </row>
    <row r="17" spans="1:5" x14ac:dyDescent="0.3">
      <c r="A17" s="4" t="s">
        <v>20</v>
      </c>
      <c r="B17" s="18">
        <f>B18+B19</f>
        <v>74095.3</v>
      </c>
      <c r="C17" s="5">
        <f>C18+C19</f>
        <v>89448</v>
      </c>
      <c r="D17" s="5">
        <v>183319</v>
      </c>
      <c r="E17" s="5">
        <v>141593</v>
      </c>
    </row>
    <row r="18" spans="1:5" x14ac:dyDescent="0.3">
      <c r="A18" s="6" t="s">
        <v>5</v>
      </c>
      <c r="B18" s="19">
        <v>1890.2</v>
      </c>
      <c r="C18" s="7">
        <v>438</v>
      </c>
      <c r="D18" s="7">
        <v>3037</v>
      </c>
      <c r="E18" s="7">
        <v>4423</v>
      </c>
    </row>
    <row r="19" spans="1:5" x14ac:dyDescent="0.3">
      <c r="A19" s="6" t="s">
        <v>6</v>
      </c>
      <c r="B19" s="19">
        <v>72205.100000000006</v>
      </c>
      <c r="C19" s="7">
        <v>89010</v>
      </c>
      <c r="D19" s="7">
        <v>180282</v>
      </c>
      <c r="E19" s="7">
        <v>137170</v>
      </c>
    </row>
    <row r="20" spans="1:5" x14ac:dyDescent="0.3">
      <c r="A20" s="4" t="s">
        <v>21</v>
      </c>
      <c r="B20" s="18">
        <v>50161.059000000001</v>
      </c>
      <c r="C20" s="5">
        <v>56949</v>
      </c>
      <c r="D20" s="5">
        <v>101512</v>
      </c>
      <c r="E20" s="5">
        <v>136089</v>
      </c>
    </row>
    <row r="21" spans="1:5" x14ac:dyDescent="0.3">
      <c r="A21" s="6" t="s">
        <v>5</v>
      </c>
      <c r="B21" s="19">
        <v>23989.094000000001</v>
      </c>
      <c r="C21" s="7">
        <v>18450</v>
      </c>
      <c r="D21" s="7">
        <v>33242</v>
      </c>
      <c r="E21" s="7">
        <v>39612</v>
      </c>
    </row>
    <row r="22" spans="1:5" x14ac:dyDescent="0.3">
      <c r="A22" s="6" t="s">
        <v>6</v>
      </c>
      <c r="B22" s="19">
        <v>26171.965</v>
      </c>
      <c r="C22" s="7">
        <v>38499</v>
      </c>
      <c r="D22" s="7">
        <v>68270</v>
      </c>
      <c r="E22" s="7">
        <v>96477</v>
      </c>
    </row>
    <row r="23" spans="1:5" x14ac:dyDescent="0.3">
      <c r="A23" s="4" t="s">
        <v>53</v>
      </c>
      <c r="B23" s="18">
        <v>2297.337</v>
      </c>
      <c r="C23" s="5">
        <v>2323</v>
      </c>
      <c r="D23" s="5">
        <v>3740</v>
      </c>
      <c r="E23" s="5">
        <v>2886</v>
      </c>
    </row>
    <row r="24" spans="1:5" x14ac:dyDescent="0.3">
      <c r="A24" s="4" t="s">
        <v>22</v>
      </c>
      <c r="B24" s="18">
        <v>2994.7869999999998</v>
      </c>
      <c r="C24" s="5">
        <v>2948</v>
      </c>
      <c r="D24" s="5">
        <v>1600</v>
      </c>
      <c r="E24" s="5">
        <v>2135</v>
      </c>
    </row>
    <row r="25" spans="1:5" x14ac:dyDescent="0.3">
      <c r="A25" s="4" t="s">
        <v>32</v>
      </c>
      <c r="B25" s="18">
        <v>130</v>
      </c>
      <c r="C25" s="5">
        <v>6474.1510000000126</v>
      </c>
      <c r="D25" s="5">
        <v>3574.003320000018</v>
      </c>
      <c r="E25" s="5">
        <v>246.55586000002222</v>
      </c>
    </row>
    <row r="26" spans="1:5" x14ac:dyDescent="0.3">
      <c r="A26" s="4" t="s">
        <v>23</v>
      </c>
      <c r="B26" s="18">
        <v>25913.849000000002</v>
      </c>
      <c r="C26" s="5">
        <v>25914.849000000002</v>
      </c>
      <c r="D26" s="5">
        <v>25914.849000000002</v>
      </c>
      <c r="E26" s="5">
        <v>59168.540999999997</v>
      </c>
    </row>
    <row r="27" spans="1:5" x14ac:dyDescent="0.3">
      <c r="A27" s="6" t="s">
        <v>24</v>
      </c>
      <c r="B27" s="19">
        <v>476.541</v>
      </c>
      <c r="C27" s="7">
        <v>476.541</v>
      </c>
      <c r="D27" s="7">
        <v>476.541</v>
      </c>
      <c r="E27" s="7">
        <v>476.541</v>
      </c>
    </row>
    <row r="28" spans="1:5" x14ac:dyDescent="0.3">
      <c r="A28" s="6" t="s">
        <v>25</v>
      </c>
      <c r="B28" s="19">
        <v>18000.179</v>
      </c>
      <c r="C28" s="7">
        <v>18000.179</v>
      </c>
      <c r="D28" s="7">
        <v>18000.179</v>
      </c>
      <c r="E28" s="7">
        <v>50458</v>
      </c>
    </row>
    <row r="29" spans="1:5" x14ac:dyDescent="0.3">
      <c r="A29" s="6" t="s">
        <v>26</v>
      </c>
      <c r="B29" s="19">
        <v>2.2200000000000002</v>
      </c>
      <c r="C29" s="7">
        <v>2.2200000000000002</v>
      </c>
      <c r="D29" s="7">
        <v>2.2200000000000002</v>
      </c>
      <c r="E29" s="7">
        <v>2754</v>
      </c>
    </row>
    <row r="30" spans="1:5" x14ac:dyDescent="0.3">
      <c r="A30" s="6" t="s">
        <v>27</v>
      </c>
      <c r="B30" s="19">
        <v>429.97500000000002</v>
      </c>
      <c r="C30" s="7">
        <v>436</v>
      </c>
      <c r="D30" s="7">
        <v>457</v>
      </c>
      <c r="E30" s="7">
        <v>557</v>
      </c>
    </row>
    <row r="31" spans="1:5" x14ac:dyDescent="0.3">
      <c r="A31" s="6" t="s">
        <v>28</v>
      </c>
      <c r="B31" s="19">
        <v>7004.9340000000002</v>
      </c>
      <c r="C31" s="7">
        <v>6999.9090000000006</v>
      </c>
      <c r="D31" s="7">
        <v>6978.9090000000006</v>
      </c>
      <c r="E31" s="7">
        <v>1944</v>
      </c>
    </row>
    <row r="32" spans="1:5" x14ac:dyDescent="0.3">
      <c r="A32" s="6" t="s">
        <v>29</v>
      </c>
      <c r="B32" s="19">
        <v>0</v>
      </c>
      <c r="C32" s="7">
        <v>0</v>
      </c>
      <c r="D32" s="7">
        <v>0</v>
      </c>
      <c r="E32" s="7">
        <v>2979</v>
      </c>
    </row>
    <row r="33" spans="1:5" x14ac:dyDescent="0.3">
      <c r="A33" s="6" t="s">
        <v>30</v>
      </c>
      <c r="B33" s="19">
        <v>0</v>
      </c>
      <c r="C33" s="7"/>
      <c r="D33" s="7"/>
      <c r="E33" s="7"/>
    </row>
    <row r="34" spans="1:5" x14ac:dyDescent="0.3">
      <c r="A34" s="8" t="s">
        <v>31</v>
      </c>
      <c r="B34" s="20">
        <f>B26+B24+B23+B20+B17+B25</f>
        <v>155592.33199999999</v>
      </c>
      <c r="C34" s="9">
        <f>C26+C25+C24+C23+C20+C17</f>
        <v>184057</v>
      </c>
      <c r="D34" s="9">
        <f>D17+D20+D23+D24+D26+D25</f>
        <v>319659.85232000001</v>
      </c>
      <c r="E34" s="9">
        <f>E26+E25+E24+E23+E20+E17</f>
        <v>342118.09686000005</v>
      </c>
    </row>
  </sheetData>
  <mergeCells count="1">
    <mergeCell ref="C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CA1E7-8960-4605-9507-3BA880E3C1DC}">
  <dimension ref="A1:E16"/>
  <sheetViews>
    <sheetView workbookViewId="0">
      <selection activeCell="E13" sqref="E13"/>
    </sheetView>
  </sheetViews>
  <sheetFormatPr baseColWidth="10" defaultRowHeight="14.4" x14ac:dyDescent="0.3"/>
  <sheetData>
    <row r="1" spans="1:5" ht="15" thickBot="1" x14ac:dyDescent="0.35">
      <c r="A1" s="32">
        <v>46022</v>
      </c>
    </row>
    <row r="2" spans="1:5" ht="28.8" thickBot="1" x14ac:dyDescent="0.35">
      <c r="A2" s="33" t="s">
        <v>69</v>
      </c>
      <c r="B2" s="33" t="s">
        <v>70</v>
      </c>
      <c r="C2" s="34" t="s">
        <v>71</v>
      </c>
      <c r="D2" s="13"/>
      <c r="E2" s="13"/>
    </row>
    <row r="3" spans="1:5" ht="15" thickBot="1" x14ac:dyDescent="0.35">
      <c r="A3" s="35" t="s">
        <v>72</v>
      </c>
      <c r="B3" s="36">
        <v>5.1698000000000001E-2</v>
      </c>
    </row>
    <row r="4" spans="1:5" ht="15" thickBot="1" x14ac:dyDescent="0.35">
      <c r="A4" s="35" t="s">
        <v>73</v>
      </c>
      <c r="B4" s="36">
        <v>6.8297999999999998E-2</v>
      </c>
    </row>
    <row r="5" spans="1:5" ht="15" thickBot="1" x14ac:dyDescent="0.35">
      <c r="A5" s="35" t="s">
        <v>74</v>
      </c>
      <c r="B5" s="36">
        <v>7.0914000000000005E-2</v>
      </c>
    </row>
    <row r="6" spans="1:5" ht="15" thickBot="1" x14ac:dyDescent="0.35">
      <c r="A6" s="35" t="s">
        <v>75</v>
      </c>
      <c r="B6" s="36">
        <v>7.7676999999999996E-2</v>
      </c>
    </row>
    <row r="7" spans="1:5" ht="15" thickBot="1" x14ac:dyDescent="0.35">
      <c r="A7" s="35" t="s">
        <v>76</v>
      </c>
      <c r="B7" s="36">
        <v>7.2141999999999998E-2</v>
      </c>
    </row>
    <row r="8" spans="1:5" ht="15" thickBot="1" x14ac:dyDescent="0.35">
      <c r="A8" s="35" t="s">
        <v>77</v>
      </c>
      <c r="B8" s="36">
        <v>7.0517999999999997E-2</v>
      </c>
    </row>
    <row r="9" spans="1:5" ht="15" thickBot="1" x14ac:dyDescent="0.35">
      <c r="A9" s="35" t="s">
        <v>78</v>
      </c>
      <c r="B9" s="36">
        <v>7.6426999999999995E-2</v>
      </c>
    </row>
    <row r="10" spans="1:5" ht="15" thickBot="1" x14ac:dyDescent="0.35">
      <c r="A10" s="35" t="s">
        <v>79</v>
      </c>
      <c r="B10" s="36">
        <v>7.6691999999999996E-2</v>
      </c>
    </row>
    <row r="11" spans="1:5" ht="15" thickBot="1" x14ac:dyDescent="0.35">
      <c r="A11" s="35" t="s">
        <v>80</v>
      </c>
      <c r="B11" s="36">
        <v>7.6552999999999996E-2</v>
      </c>
    </row>
    <row r="12" spans="1:5" ht="15" thickBot="1" x14ac:dyDescent="0.35">
      <c r="A12" s="35" t="s">
        <v>81</v>
      </c>
      <c r="B12" s="36">
        <v>7.5965000000000005E-2</v>
      </c>
    </row>
    <row r="13" spans="1:5" ht="15" thickBot="1" x14ac:dyDescent="0.35">
      <c r="A13" s="35" t="s">
        <v>82</v>
      </c>
      <c r="B13" s="36">
        <v>7.5028999999999998E-2</v>
      </c>
    </row>
    <row r="14" spans="1:5" ht="15" thickBot="1" x14ac:dyDescent="0.35">
      <c r="A14" s="35" t="s">
        <v>83</v>
      </c>
      <c r="B14" s="36">
        <v>7.4620000000000006E-2</v>
      </c>
    </row>
    <row r="15" spans="1:5" ht="15" thickBot="1" x14ac:dyDescent="0.35">
      <c r="A15" s="35" t="s">
        <v>84</v>
      </c>
      <c r="B15" s="36">
        <v>7.4201000000000003E-2</v>
      </c>
    </row>
    <row r="16" spans="1:5" ht="15" thickBot="1" x14ac:dyDescent="0.35">
      <c r="A16" s="35" t="s">
        <v>85</v>
      </c>
      <c r="B16" s="36">
        <v>7.3719000000000007E-2</v>
      </c>
    </row>
  </sheetData>
  <mergeCells count="1">
    <mergeCell ref="C2:E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674A3-E018-41C7-96B9-AFF3B8B3A9E9}">
  <dimension ref="A1:E26"/>
  <sheetViews>
    <sheetView topLeftCell="A3" workbookViewId="0">
      <selection activeCell="D16" sqref="D16"/>
    </sheetView>
  </sheetViews>
  <sheetFormatPr baseColWidth="10" defaultRowHeight="14.4" x14ac:dyDescent="0.3"/>
  <cols>
    <col min="1" max="1" width="69.88671875" bestFit="1" customWidth="1"/>
    <col min="2" max="2" width="5.21875" bestFit="1" customWidth="1"/>
    <col min="4" max="4" width="72.33203125" customWidth="1"/>
    <col min="5" max="5" width="5.5546875" customWidth="1"/>
    <col min="7" max="7" width="26.33203125" bestFit="1" customWidth="1"/>
    <col min="8" max="8" width="5.5546875" bestFit="1" customWidth="1"/>
    <col min="10" max="10" width="51.6640625" bestFit="1" customWidth="1"/>
    <col min="11" max="11" width="5.5546875" bestFit="1" customWidth="1"/>
  </cols>
  <sheetData>
    <row r="1" spans="1:2" ht="15" thickBot="1" x14ac:dyDescent="0.35">
      <c r="A1" s="37" t="s">
        <v>95</v>
      </c>
      <c r="B1" s="37"/>
    </row>
    <row r="2" spans="1:2" x14ac:dyDescent="0.3">
      <c r="A2" s="38" t="s">
        <v>86</v>
      </c>
      <c r="B2" s="39" t="s">
        <v>87</v>
      </c>
    </row>
    <row r="3" spans="1:2" x14ac:dyDescent="0.3">
      <c r="A3" s="42" t="s">
        <v>89</v>
      </c>
      <c r="B3" s="43">
        <v>4.9970939534691151E-2</v>
      </c>
    </row>
    <row r="4" spans="1:2" x14ac:dyDescent="0.3">
      <c r="A4" s="42" t="s">
        <v>91</v>
      </c>
      <c r="B4" s="43">
        <v>-5.8049869602725436E-2</v>
      </c>
    </row>
    <row r="5" spans="1:2" x14ac:dyDescent="0.3">
      <c r="A5" s="46" t="s">
        <v>92</v>
      </c>
      <c r="B5" s="43"/>
    </row>
    <row r="6" spans="1:2" x14ac:dyDescent="0.3">
      <c r="A6" s="42" t="s">
        <v>93</v>
      </c>
      <c r="B6" s="43">
        <v>-0.25307099227748242</v>
      </c>
    </row>
    <row r="7" spans="1:2" x14ac:dyDescent="0.3">
      <c r="A7" s="42" t="s">
        <v>94</v>
      </c>
      <c r="B7" s="43">
        <v>-1.5528609631473813E-2</v>
      </c>
    </row>
    <row r="8" spans="1:2" x14ac:dyDescent="0.3">
      <c r="A8" s="42" t="s">
        <v>23</v>
      </c>
      <c r="B8" s="43">
        <v>-7.4579438566883371E-2</v>
      </c>
    </row>
    <row r="9" spans="1:2" ht="15" thickBot="1" x14ac:dyDescent="0.35"/>
    <row r="10" spans="1:2" ht="15" thickBot="1" x14ac:dyDescent="0.35">
      <c r="A10" s="50" t="s">
        <v>96</v>
      </c>
      <c r="B10" s="50"/>
    </row>
    <row r="11" spans="1:2" ht="26.4" x14ac:dyDescent="0.3">
      <c r="A11" s="40" t="s">
        <v>86</v>
      </c>
      <c r="B11" s="41" t="s">
        <v>88</v>
      </c>
    </row>
    <row r="12" spans="1:2" x14ac:dyDescent="0.3">
      <c r="A12" s="44" t="s">
        <v>90</v>
      </c>
      <c r="B12" s="45">
        <v>-0.15</v>
      </c>
    </row>
    <row r="13" spans="1:2" x14ac:dyDescent="0.3">
      <c r="A13" s="44" t="s">
        <v>89</v>
      </c>
      <c r="B13" s="45">
        <v>-9.557671882868457E-2</v>
      </c>
    </row>
    <row r="14" spans="1:2" x14ac:dyDescent="0.3">
      <c r="A14" s="44" t="s">
        <v>91</v>
      </c>
      <c r="B14" s="45">
        <v>-5.9412866397633964E-3</v>
      </c>
    </row>
    <row r="15" spans="1:2" x14ac:dyDescent="0.3">
      <c r="A15" s="47" t="s">
        <v>92</v>
      </c>
      <c r="B15" s="45"/>
    </row>
    <row r="16" spans="1:2" x14ac:dyDescent="0.3">
      <c r="A16" s="44" t="s">
        <v>94</v>
      </c>
      <c r="B16" s="45">
        <v>-4.2344283821844603E-2</v>
      </c>
    </row>
    <row r="17" spans="1:2" ht="15" thickBot="1" x14ac:dyDescent="0.35">
      <c r="A17" s="48" t="s">
        <v>23</v>
      </c>
      <c r="B17" s="49">
        <v>-4.8425808172708376E-2</v>
      </c>
    </row>
    <row r="19" spans="1:2" ht="15" thickBot="1" x14ac:dyDescent="0.35">
      <c r="A19" s="51" t="s">
        <v>97</v>
      </c>
      <c r="B19" s="51"/>
    </row>
    <row r="20" spans="1:2" ht="26.4" x14ac:dyDescent="0.3">
      <c r="A20" s="40" t="s">
        <v>86</v>
      </c>
      <c r="B20" s="41" t="s">
        <v>88</v>
      </c>
    </row>
    <row r="21" spans="1:2" x14ac:dyDescent="0.3">
      <c r="A21" s="44" t="s">
        <v>90</v>
      </c>
      <c r="B21" s="45">
        <v>-0.87720679824336134</v>
      </c>
    </row>
    <row r="22" spans="1:2" x14ac:dyDescent="0.3">
      <c r="A22" s="44" t="s">
        <v>89</v>
      </c>
      <c r="B22" s="45">
        <v>-0.45621182959973405</v>
      </c>
    </row>
    <row r="23" spans="1:2" x14ac:dyDescent="0.3">
      <c r="A23" s="44" t="s">
        <v>91</v>
      </c>
      <c r="B23" s="45">
        <v>-5.7346031297210741E-2</v>
      </c>
    </row>
    <row r="24" spans="1:2" x14ac:dyDescent="0.3">
      <c r="A24" s="47" t="s">
        <v>92</v>
      </c>
      <c r="B24" s="45"/>
    </row>
    <row r="25" spans="1:2" x14ac:dyDescent="0.3">
      <c r="A25" s="44" t="s">
        <v>94</v>
      </c>
      <c r="B25" s="45">
        <v>-0.28354281385994778</v>
      </c>
    </row>
    <row r="26" spans="1:2" ht="15" thickBot="1" x14ac:dyDescent="0.35">
      <c r="A26" s="48" t="s">
        <v>23</v>
      </c>
      <c r="B26" s="49">
        <v>-0.10822294255389739</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20E61-7BD0-4A53-A213-8AE92F53E73B}">
  <dimension ref="A1:II7"/>
  <sheetViews>
    <sheetView workbookViewId="0">
      <selection activeCell="B9" sqref="B9"/>
    </sheetView>
  </sheetViews>
  <sheetFormatPr baseColWidth="10" defaultRowHeight="14.4" x14ac:dyDescent="0.3"/>
  <cols>
    <col min="1" max="1" width="28.77734375" bestFit="1" customWidth="1"/>
  </cols>
  <sheetData>
    <row r="1" spans="1:243" x14ac:dyDescent="0.3">
      <c r="A1" s="2" t="s">
        <v>56</v>
      </c>
      <c r="B1" s="2" t="s">
        <v>57</v>
      </c>
      <c r="C1" s="2" t="s">
        <v>58</v>
      </c>
      <c r="D1" s="27">
        <v>1</v>
      </c>
      <c r="E1" s="27">
        <v>2</v>
      </c>
      <c r="F1" s="27">
        <v>3</v>
      </c>
      <c r="G1" s="27">
        <v>4</v>
      </c>
      <c r="H1" s="27">
        <v>5</v>
      </c>
      <c r="I1" s="27">
        <v>6</v>
      </c>
      <c r="J1" s="27">
        <v>7</v>
      </c>
      <c r="K1" s="27">
        <v>8</v>
      </c>
      <c r="L1" s="27">
        <v>9</v>
      </c>
      <c r="M1" s="27">
        <v>10</v>
      </c>
      <c r="N1" s="27">
        <v>11</v>
      </c>
      <c r="O1" s="27">
        <v>12</v>
      </c>
      <c r="P1" s="27">
        <v>13</v>
      </c>
      <c r="Q1" s="27">
        <v>14</v>
      </c>
      <c r="R1" s="27">
        <v>15</v>
      </c>
      <c r="S1" s="27">
        <v>16</v>
      </c>
      <c r="T1" s="27">
        <v>17</v>
      </c>
      <c r="U1" s="27">
        <v>18</v>
      </c>
      <c r="V1" s="27">
        <v>19</v>
      </c>
      <c r="W1" s="27">
        <v>20</v>
      </c>
      <c r="X1" s="27">
        <v>21</v>
      </c>
      <c r="Y1" s="27">
        <v>22</v>
      </c>
      <c r="Z1" s="27">
        <v>23</v>
      </c>
      <c r="AA1" s="27">
        <v>24</v>
      </c>
      <c r="AB1" s="27">
        <v>25</v>
      </c>
      <c r="AC1" s="27">
        <v>26</v>
      </c>
      <c r="AD1" s="27">
        <v>27</v>
      </c>
      <c r="AE1" s="27">
        <v>28</v>
      </c>
      <c r="AF1" s="27">
        <v>29</v>
      </c>
      <c r="AG1" s="27">
        <v>30</v>
      </c>
      <c r="AH1" s="27">
        <v>31</v>
      </c>
      <c r="AI1" s="27">
        <v>32</v>
      </c>
      <c r="AJ1" s="27">
        <v>33</v>
      </c>
      <c r="AK1" s="27">
        <v>34</v>
      </c>
      <c r="AL1" s="27">
        <v>35</v>
      </c>
      <c r="AM1" s="27">
        <v>36</v>
      </c>
      <c r="AN1" s="27">
        <v>37</v>
      </c>
      <c r="AO1" s="27">
        <v>38</v>
      </c>
      <c r="AP1" s="27">
        <v>39</v>
      </c>
      <c r="AQ1" s="27">
        <v>40</v>
      </c>
      <c r="AR1" s="27">
        <v>41</v>
      </c>
      <c r="AS1" s="27">
        <v>42</v>
      </c>
      <c r="AT1" s="27">
        <v>43</v>
      </c>
      <c r="AU1" s="27">
        <v>44</v>
      </c>
      <c r="AV1" s="27">
        <v>45</v>
      </c>
      <c r="AW1" s="27">
        <v>46</v>
      </c>
      <c r="AX1" s="27">
        <v>47</v>
      </c>
      <c r="AY1" s="27">
        <v>48</v>
      </c>
      <c r="AZ1" s="27">
        <v>49</v>
      </c>
      <c r="BA1" s="27">
        <v>50</v>
      </c>
      <c r="BB1" s="27">
        <v>51</v>
      </c>
      <c r="BC1" s="27">
        <v>52</v>
      </c>
      <c r="BD1" s="27">
        <v>53</v>
      </c>
      <c r="BE1" s="27">
        <v>54</v>
      </c>
      <c r="BF1" s="27">
        <v>55</v>
      </c>
      <c r="BG1" s="27">
        <v>56</v>
      </c>
      <c r="BH1" s="27">
        <v>57</v>
      </c>
      <c r="BI1" s="27">
        <v>58</v>
      </c>
      <c r="BJ1" s="27">
        <v>59</v>
      </c>
      <c r="BK1" s="27">
        <v>60</v>
      </c>
      <c r="BL1" s="27">
        <v>61</v>
      </c>
      <c r="BM1" s="27">
        <v>62</v>
      </c>
      <c r="BN1" s="27">
        <v>63</v>
      </c>
      <c r="BO1" s="27">
        <v>64</v>
      </c>
      <c r="BP1" s="27">
        <v>65</v>
      </c>
      <c r="BQ1" s="27">
        <v>66</v>
      </c>
      <c r="BR1" s="27">
        <v>67</v>
      </c>
      <c r="BS1" s="27">
        <v>68</v>
      </c>
      <c r="BT1" s="27">
        <v>69</v>
      </c>
      <c r="BU1" s="27">
        <v>70</v>
      </c>
      <c r="BV1" s="27">
        <v>71</v>
      </c>
      <c r="BW1" s="27">
        <v>72</v>
      </c>
      <c r="BX1" s="27">
        <v>73</v>
      </c>
      <c r="BY1" s="27">
        <v>74</v>
      </c>
      <c r="BZ1" s="27">
        <v>75</v>
      </c>
      <c r="CA1" s="27">
        <v>76</v>
      </c>
      <c r="CB1" s="27">
        <v>77</v>
      </c>
      <c r="CC1" s="27">
        <v>78</v>
      </c>
      <c r="CD1" s="27">
        <v>79</v>
      </c>
      <c r="CE1" s="27">
        <v>80</v>
      </c>
      <c r="CF1" s="27">
        <v>81</v>
      </c>
      <c r="CG1" s="27">
        <v>82</v>
      </c>
      <c r="CH1" s="27">
        <v>83</v>
      </c>
      <c r="CI1" s="27">
        <v>84</v>
      </c>
      <c r="CJ1" s="27">
        <v>85</v>
      </c>
      <c r="CK1" s="27">
        <v>86</v>
      </c>
      <c r="CL1" s="27">
        <v>87</v>
      </c>
      <c r="CM1" s="27">
        <v>88</v>
      </c>
      <c r="CN1" s="27">
        <v>89</v>
      </c>
      <c r="CO1" s="27">
        <v>90</v>
      </c>
      <c r="CP1" s="27">
        <v>91</v>
      </c>
      <c r="CQ1" s="27">
        <v>92</v>
      </c>
      <c r="CR1" s="27">
        <v>93</v>
      </c>
      <c r="CS1" s="27">
        <v>94</v>
      </c>
      <c r="CT1" s="27">
        <v>95</v>
      </c>
      <c r="CU1" s="27">
        <v>96</v>
      </c>
      <c r="CV1" s="27">
        <v>97</v>
      </c>
      <c r="CW1" s="27">
        <v>98</v>
      </c>
      <c r="CX1" s="27">
        <v>99</v>
      </c>
      <c r="CY1" s="27">
        <v>100</v>
      </c>
      <c r="CZ1" s="27">
        <v>101</v>
      </c>
      <c r="DA1" s="27">
        <v>102</v>
      </c>
      <c r="DB1" s="27">
        <v>103</v>
      </c>
      <c r="DC1" s="27">
        <v>104</v>
      </c>
      <c r="DD1" s="27">
        <v>105</v>
      </c>
      <c r="DE1" s="27">
        <v>106</v>
      </c>
      <c r="DF1" s="27">
        <v>107</v>
      </c>
      <c r="DG1" s="27">
        <v>108</v>
      </c>
      <c r="DH1" s="27">
        <v>109</v>
      </c>
      <c r="DI1" s="27">
        <v>110</v>
      </c>
      <c r="DJ1" s="27">
        <v>111</v>
      </c>
      <c r="DK1" s="27">
        <v>112</v>
      </c>
      <c r="DL1" s="27">
        <v>113</v>
      </c>
      <c r="DM1" s="27">
        <v>114</v>
      </c>
      <c r="DN1" s="27">
        <v>115</v>
      </c>
      <c r="DO1" s="27">
        <v>116</v>
      </c>
      <c r="DP1" s="27">
        <v>117</v>
      </c>
      <c r="DQ1" s="27">
        <v>118</v>
      </c>
      <c r="DR1" s="27">
        <v>119</v>
      </c>
      <c r="DS1" s="27">
        <v>120</v>
      </c>
      <c r="DT1" s="27">
        <v>121</v>
      </c>
      <c r="DU1" s="27">
        <v>122</v>
      </c>
      <c r="DV1" s="27">
        <v>123</v>
      </c>
      <c r="DW1" s="27">
        <v>124</v>
      </c>
      <c r="DX1" s="27">
        <v>125</v>
      </c>
      <c r="DY1" s="27">
        <v>126</v>
      </c>
      <c r="DZ1" s="27">
        <v>127</v>
      </c>
      <c r="EA1" s="27">
        <v>128</v>
      </c>
      <c r="EB1" s="27">
        <v>129</v>
      </c>
      <c r="EC1" s="27">
        <v>130</v>
      </c>
      <c r="ED1" s="27">
        <v>131</v>
      </c>
      <c r="EE1" s="27">
        <v>132</v>
      </c>
      <c r="EF1" s="27">
        <v>133</v>
      </c>
      <c r="EG1" s="27">
        <v>134</v>
      </c>
      <c r="EH1" s="27">
        <v>135</v>
      </c>
      <c r="EI1" s="27">
        <v>136</v>
      </c>
      <c r="EJ1" s="27">
        <v>137</v>
      </c>
      <c r="EK1" s="27">
        <v>138</v>
      </c>
      <c r="EL1" s="27">
        <v>139</v>
      </c>
      <c r="EM1" s="27">
        <v>140</v>
      </c>
      <c r="EN1" s="27">
        <v>141</v>
      </c>
      <c r="EO1" s="27">
        <v>142</v>
      </c>
      <c r="EP1" s="27">
        <v>143</v>
      </c>
      <c r="EQ1" s="27">
        <v>144</v>
      </c>
      <c r="ER1" s="27">
        <v>145</v>
      </c>
      <c r="ES1" s="27">
        <v>146</v>
      </c>
      <c r="ET1" s="27">
        <v>147</v>
      </c>
      <c r="EU1" s="27">
        <v>148</v>
      </c>
      <c r="EV1" s="27">
        <v>149</v>
      </c>
      <c r="EW1" s="27">
        <v>150</v>
      </c>
      <c r="EX1" s="27">
        <v>151</v>
      </c>
      <c r="EY1" s="27">
        <v>152</v>
      </c>
      <c r="EZ1" s="27">
        <v>153</v>
      </c>
      <c r="FA1" s="27">
        <v>154</v>
      </c>
      <c r="FB1" s="27">
        <v>155</v>
      </c>
      <c r="FC1" s="27">
        <v>156</v>
      </c>
      <c r="FD1" s="27">
        <v>157</v>
      </c>
      <c r="FE1" s="27">
        <v>158</v>
      </c>
      <c r="FF1" s="27">
        <v>159</v>
      </c>
      <c r="FG1" s="27">
        <v>160</v>
      </c>
      <c r="FH1" s="27">
        <v>161</v>
      </c>
      <c r="FI1" s="27">
        <v>162</v>
      </c>
      <c r="FJ1" s="27">
        <v>163</v>
      </c>
      <c r="FK1" s="27">
        <v>164</v>
      </c>
      <c r="FL1" s="27">
        <v>165</v>
      </c>
      <c r="FM1" s="27">
        <v>166</v>
      </c>
      <c r="FN1" s="27">
        <v>167</v>
      </c>
      <c r="FO1" s="27">
        <v>168</v>
      </c>
      <c r="FP1" s="27">
        <v>169</v>
      </c>
      <c r="FQ1" s="27">
        <v>170</v>
      </c>
      <c r="FR1" s="27">
        <v>171</v>
      </c>
      <c r="FS1" s="27">
        <v>172</v>
      </c>
      <c r="FT1" s="27">
        <v>173</v>
      </c>
      <c r="FU1" s="27">
        <v>174</v>
      </c>
      <c r="FV1" s="27">
        <v>175</v>
      </c>
      <c r="FW1" s="27">
        <v>176</v>
      </c>
      <c r="FX1" s="27">
        <v>177</v>
      </c>
      <c r="FY1" s="27">
        <v>178</v>
      </c>
      <c r="FZ1" s="27">
        <v>179</v>
      </c>
      <c r="GA1" s="27">
        <v>180</v>
      </c>
      <c r="GB1" s="27">
        <v>181</v>
      </c>
      <c r="GC1" s="27">
        <v>182</v>
      </c>
      <c r="GD1" s="27">
        <v>183</v>
      </c>
      <c r="GE1" s="27">
        <v>184</v>
      </c>
      <c r="GF1" s="27">
        <v>185</v>
      </c>
      <c r="GG1" s="27">
        <v>186</v>
      </c>
      <c r="GH1" s="27">
        <v>187</v>
      </c>
      <c r="GI1" s="27">
        <v>188</v>
      </c>
      <c r="GJ1" s="27">
        <v>189</v>
      </c>
      <c r="GK1" s="27">
        <v>190</v>
      </c>
      <c r="GL1" s="27">
        <v>191</v>
      </c>
      <c r="GM1" s="27">
        <v>192</v>
      </c>
      <c r="GN1" s="27">
        <v>193</v>
      </c>
      <c r="GO1" s="27">
        <v>194</v>
      </c>
      <c r="GP1" s="27">
        <v>195</v>
      </c>
      <c r="GQ1" s="27">
        <v>196</v>
      </c>
      <c r="GR1" s="27">
        <v>197</v>
      </c>
      <c r="GS1" s="27">
        <v>198</v>
      </c>
      <c r="GT1" s="27">
        <v>199</v>
      </c>
      <c r="GU1" s="27">
        <v>200</v>
      </c>
      <c r="GV1" s="27">
        <v>201</v>
      </c>
      <c r="GW1" s="27">
        <v>202</v>
      </c>
      <c r="GX1" s="27">
        <v>203</v>
      </c>
      <c r="GY1" s="27">
        <v>204</v>
      </c>
      <c r="GZ1" s="27">
        <v>205</v>
      </c>
      <c r="HA1" s="27">
        <v>206</v>
      </c>
      <c r="HB1" s="27">
        <v>207</v>
      </c>
      <c r="HC1" s="27">
        <v>208</v>
      </c>
      <c r="HD1" s="27">
        <v>209</v>
      </c>
      <c r="HE1" s="27">
        <v>210</v>
      </c>
      <c r="HF1" s="27">
        <v>211</v>
      </c>
      <c r="HG1" s="27">
        <v>212</v>
      </c>
      <c r="HH1" s="27">
        <v>213</v>
      </c>
      <c r="HI1" s="27">
        <v>214</v>
      </c>
      <c r="HJ1" s="27">
        <v>215</v>
      </c>
      <c r="HK1" s="27">
        <v>216</v>
      </c>
      <c r="HL1" s="27">
        <v>217</v>
      </c>
      <c r="HM1" s="27">
        <v>218</v>
      </c>
      <c r="HN1" s="27">
        <v>219</v>
      </c>
      <c r="HO1" s="27">
        <v>220</v>
      </c>
      <c r="HP1" s="27">
        <v>221</v>
      </c>
      <c r="HQ1" s="27">
        <v>222</v>
      </c>
      <c r="HR1" s="27">
        <v>223</v>
      </c>
      <c r="HS1" s="27">
        <v>224</v>
      </c>
      <c r="HT1" s="27">
        <v>225</v>
      </c>
      <c r="HU1" s="27">
        <v>226</v>
      </c>
      <c r="HV1" s="27">
        <v>227</v>
      </c>
      <c r="HW1" s="27">
        <v>228</v>
      </c>
      <c r="HX1" s="27">
        <v>229</v>
      </c>
      <c r="HY1" s="27">
        <v>230</v>
      </c>
      <c r="HZ1" s="27">
        <v>231</v>
      </c>
      <c r="IA1" s="27">
        <v>232</v>
      </c>
      <c r="IB1" s="27">
        <v>233</v>
      </c>
      <c r="IC1" s="27">
        <v>234</v>
      </c>
      <c r="ID1" s="27">
        <v>235</v>
      </c>
      <c r="IE1" s="27">
        <v>236</v>
      </c>
      <c r="IF1" s="27">
        <v>237</v>
      </c>
      <c r="IG1" s="27">
        <v>238</v>
      </c>
      <c r="IH1" s="27">
        <v>239</v>
      </c>
      <c r="II1" s="27">
        <v>240</v>
      </c>
    </row>
    <row r="2" spans="1:243" x14ac:dyDescent="0.3">
      <c r="A2" s="2" t="s">
        <v>60</v>
      </c>
      <c r="B2" s="2" t="s">
        <v>59</v>
      </c>
      <c r="C2" s="29" t="s">
        <v>61</v>
      </c>
      <c r="D2" s="28">
        <v>0.02</v>
      </c>
      <c r="E2" s="28">
        <v>0.02</v>
      </c>
      <c r="F2" s="28">
        <v>0.02</v>
      </c>
      <c r="G2" s="28">
        <v>0.02</v>
      </c>
      <c r="H2" s="28">
        <v>0.02</v>
      </c>
      <c r="I2" s="28">
        <v>0.02</v>
      </c>
      <c r="J2" s="28">
        <v>0.02</v>
      </c>
      <c r="K2" s="28">
        <v>0.02</v>
      </c>
      <c r="L2" s="28">
        <v>0.02</v>
      </c>
      <c r="M2" s="28">
        <v>0.02</v>
      </c>
      <c r="N2" s="28">
        <v>0.02</v>
      </c>
      <c r="O2" s="28">
        <v>0.02</v>
      </c>
      <c r="P2" s="28">
        <v>0.02</v>
      </c>
      <c r="Q2" s="28">
        <v>0.02</v>
      </c>
      <c r="R2" s="28">
        <v>0.02</v>
      </c>
      <c r="S2" s="28">
        <v>0.02</v>
      </c>
      <c r="T2" s="28">
        <v>0.02</v>
      </c>
      <c r="U2" s="28">
        <v>0.02</v>
      </c>
      <c r="V2" s="28">
        <v>0.02</v>
      </c>
      <c r="W2" s="28">
        <v>0.02</v>
      </c>
      <c r="X2" s="28">
        <v>0.02</v>
      </c>
      <c r="Y2" s="28">
        <v>0.02</v>
      </c>
      <c r="Z2" s="28">
        <v>0.02</v>
      </c>
      <c r="AA2" s="28">
        <v>0.02</v>
      </c>
      <c r="AB2" s="28">
        <v>0.02</v>
      </c>
      <c r="AC2" s="28">
        <v>0.02</v>
      </c>
      <c r="AD2" s="28">
        <v>0.02</v>
      </c>
      <c r="AE2" s="28">
        <v>0.02</v>
      </c>
      <c r="AF2" s="28">
        <v>0.02</v>
      </c>
      <c r="AG2" s="28">
        <v>0.02</v>
      </c>
      <c r="AH2" s="28">
        <v>0.02</v>
      </c>
      <c r="AI2" s="28">
        <v>0.02</v>
      </c>
      <c r="AJ2" s="28">
        <v>0.02</v>
      </c>
      <c r="AK2" s="28">
        <v>0.02</v>
      </c>
      <c r="AL2" s="28">
        <v>0.02</v>
      </c>
      <c r="AM2" s="28">
        <v>0.02</v>
      </c>
      <c r="AN2" s="28">
        <v>0.02</v>
      </c>
      <c r="AO2" s="28">
        <v>0.02</v>
      </c>
      <c r="AP2" s="28">
        <v>0.02</v>
      </c>
      <c r="AQ2" s="28">
        <v>0.02</v>
      </c>
      <c r="AR2" s="28">
        <v>0.02</v>
      </c>
      <c r="AS2" s="28">
        <v>0.02</v>
      </c>
      <c r="AT2" s="28">
        <v>0.02</v>
      </c>
      <c r="AU2" s="28">
        <v>0.02</v>
      </c>
      <c r="AV2" s="28">
        <v>0.02</v>
      </c>
      <c r="AW2" s="28">
        <v>0.02</v>
      </c>
      <c r="AX2" s="28">
        <v>0.02</v>
      </c>
      <c r="AY2" s="28">
        <v>0.02</v>
      </c>
      <c r="AZ2" s="28">
        <v>0.02</v>
      </c>
      <c r="BA2" s="28">
        <v>0.02</v>
      </c>
      <c r="BB2" s="28">
        <v>0.02</v>
      </c>
      <c r="BC2" s="28">
        <v>0.02</v>
      </c>
      <c r="BD2" s="28">
        <v>0.02</v>
      </c>
      <c r="BE2" s="28">
        <v>0.02</v>
      </c>
      <c r="BF2" s="28">
        <v>0.02</v>
      </c>
      <c r="BG2" s="28">
        <v>0.02</v>
      </c>
      <c r="BH2" s="28">
        <v>0.02</v>
      </c>
      <c r="BI2" s="28">
        <v>0.02</v>
      </c>
      <c r="BJ2" s="28">
        <v>0.02</v>
      </c>
      <c r="BK2" s="28">
        <v>0.02</v>
      </c>
      <c r="BL2" s="28">
        <v>0.02</v>
      </c>
      <c r="BM2" s="28">
        <v>0.02</v>
      </c>
      <c r="BN2" s="28">
        <v>0.02</v>
      </c>
      <c r="BO2" s="28">
        <v>0.02</v>
      </c>
      <c r="BP2" s="28">
        <v>0.02</v>
      </c>
      <c r="BQ2" s="28">
        <v>0.02</v>
      </c>
      <c r="BR2" s="28">
        <v>0.02</v>
      </c>
      <c r="BS2" s="28">
        <v>0.02</v>
      </c>
      <c r="BT2" s="28">
        <v>0.02</v>
      </c>
      <c r="BU2" s="28">
        <v>0.02</v>
      </c>
      <c r="BV2" s="28">
        <v>0.02</v>
      </c>
      <c r="BW2" s="28">
        <v>0.02</v>
      </c>
      <c r="BX2" s="28">
        <v>0.02</v>
      </c>
      <c r="BY2" s="28">
        <v>0.02</v>
      </c>
      <c r="BZ2" s="28">
        <v>0.02</v>
      </c>
      <c r="CA2" s="28">
        <v>0.02</v>
      </c>
      <c r="CB2" s="28">
        <v>0.02</v>
      </c>
      <c r="CC2" s="28">
        <v>0.02</v>
      </c>
      <c r="CD2" s="28">
        <v>0.02</v>
      </c>
      <c r="CE2" s="28">
        <v>0.02</v>
      </c>
      <c r="CF2" s="28">
        <v>0.02</v>
      </c>
      <c r="CG2" s="28">
        <v>0.02</v>
      </c>
      <c r="CH2" s="28">
        <v>0.02</v>
      </c>
      <c r="CI2" s="28">
        <v>0.02</v>
      </c>
      <c r="CJ2" s="28">
        <v>0.02</v>
      </c>
      <c r="CK2" s="28">
        <v>0.02</v>
      </c>
      <c r="CL2" s="28">
        <v>0.02</v>
      </c>
      <c r="CM2" s="28">
        <v>0.02</v>
      </c>
      <c r="CN2" s="28">
        <v>0.02</v>
      </c>
      <c r="CO2" s="28">
        <v>0.02</v>
      </c>
      <c r="CP2" s="28">
        <v>0.02</v>
      </c>
      <c r="CQ2" s="28">
        <v>0.02</v>
      </c>
      <c r="CR2" s="28">
        <v>0.02</v>
      </c>
      <c r="CS2" s="28">
        <v>0.02</v>
      </c>
      <c r="CT2" s="28">
        <v>0.02</v>
      </c>
      <c r="CU2" s="28">
        <v>0.02</v>
      </c>
      <c r="CV2" s="28">
        <v>0.02</v>
      </c>
      <c r="CW2" s="28">
        <v>0.02</v>
      </c>
      <c r="CX2" s="28">
        <v>0.02</v>
      </c>
      <c r="CY2" s="28">
        <v>0.02</v>
      </c>
      <c r="CZ2" s="28">
        <v>0.02</v>
      </c>
      <c r="DA2" s="28">
        <v>0.02</v>
      </c>
      <c r="DB2" s="28">
        <v>0.02</v>
      </c>
      <c r="DC2" s="28">
        <v>0.02</v>
      </c>
      <c r="DD2" s="28">
        <v>0.02</v>
      </c>
      <c r="DE2" s="28">
        <v>0.02</v>
      </c>
      <c r="DF2" s="28">
        <v>0.02</v>
      </c>
      <c r="DG2" s="28">
        <v>0.02</v>
      </c>
      <c r="DH2" s="28">
        <v>0.02</v>
      </c>
      <c r="DI2" s="28">
        <v>0.02</v>
      </c>
      <c r="DJ2" s="28">
        <v>0.02</v>
      </c>
      <c r="DK2" s="28">
        <v>0.02</v>
      </c>
      <c r="DL2" s="28">
        <v>0.02</v>
      </c>
      <c r="DM2" s="28">
        <v>0.02</v>
      </c>
      <c r="DN2" s="28">
        <v>0.02</v>
      </c>
      <c r="DO2" s="28">
        <v>0.02</v>
      </c>
      <c r="DP2" s="28">
        <v>0.02</v>
      </c>
      <c r="DQ2" s="28">
        <v>0.02</v>
      </c>
      <c r="DR2" s="28">
        <v>0.02</v>
      </c>
      <c r="DS2" s="28">
        <v>0.02</v>
      </c>
      <c r="DT2" s="28">
        <v>0.02</v>
      </c>
      <c r="DU2" s="28">
        <v>0.02</v>
      </c>
      <c r="DV2" s="28">
        <v>0.02</v>
      </c>
      <c r="DW2" s="28">
        <v>0.02</v>
      </c>
      <c r="DX2" s="28">
        <v>0.02</v>
      </c>
      <c r="DY2" s="28">
        <v>0.02</v>
      </c>
      <c r="DZ2" s="28">
        <v>0.02</v>
      </c>
      <c r="EA2" s="28">
        <v>0.02</v>
      </c>
      <c r="EB2" s="28">
        <v>0.02</v>
      </c>
      <c r="EC2" s="28">
        <v>0.02</v>
      </c>
      <c r="ED2" s="28">
        <v>0.02</v>
      </c>
      <c r="EE2" s="28">
        <v>0.02</v>
      </c>
      <c r="EF2" s="28">
        <v>0.02</v>
      </c>
      <c r="EG2" s="28">
        <v>0.02</v>
      </c>
      <c r="EH2" s="28">
        <v>0.02</v>
      </c>
      <c r="EI2" s="28">
        <v>0.02</v>
      </c>
      <c r="EJ2" s="28">
        <v>0.02</v>
      </c>
      <c r="EK2" s="28">
        <v>0.02</v>
      </c>
      <c r="EL2" s="28">
        <v>0.02</v>
      </c>
      <c r="EM2" s="28">
        <v>0.02</v>
      </c>
      <c r="EN2" s="28">
        <v>0.02</v>
      </c>
      <c r="EO2" s="28">
        <v>0.02</v>
      </c>
      <c r="EP2" s="28">
        <v>0.02</v>
      </c>
      <c r="EQ2" s="28">
        <v>0.02</v>
      </c>
      <c r="ER2" s="28">
        <v>0.02</v>
      </c>
      <c r="ES2" s="28">
        <v>0.02</v>
      </c>
      <c r="ET2" s="28">
        <v>0.02</v>
      </c>
      <c r="EU2" s="28">
        <v>0.02</v>
      </c>
      <c r="EV2" s="28">
        <v>0.02</v>
      </c>
      <c r="EW2" s="28">
        <v>0.02</v>
      </c>
      <c r="EX2" s="28">
        <v>0.02</v>
      </c>
      <c r="EY2" s="28">
        <v>0.02</v>
      </c>
      <c r="EZ2" s="28">
        <v>0.02</v>
      </c>
      <c r="FA2" s="28">
        <v>0.02</v>
      </c>
      <c r="FB2" s="28">
        <v>0.02</v>
      </c>
      <c r="FC2" s="28">
        <v>0.02</v>
      </c>
      <c r="FD2" s="28">
        <v>0.02</v>
      </c>
      <c r="FE2" s="28">
        <v>0.02</v>
      </c>
      <c r="FF2" s="28">
        <v>0.02</v>
      </c>
      <c r="FG2" s="28">
        <v>0.02</v>
      </c>
      <c r="FH2" s="28">
        <v>0.02</v>
      </c>
      <c r="FI2" s="28">
        <v>0.02</v>
      </c>
      <c r="FJ2" s="28">
        <v>0.02</v>
      </c>
      <c r="FK2" s="28">
        <v>0.02</v>
      </c>
      <c r="FL2" s="28">
        <v>0.02</v>
      </c>
      <c r="FM2" s="28">
        <v>0.02</v>
      </c>
      <c r="FN2" s="28">
        <v>0.02</v>
      </c>
      <c r="FO2" s="28">
        <v>0.02</v>
      </c>
      <c r="FP2" s="28">
        <v>0.02</v>
      </c>
      <c r="FQ2" s="28">
        <v>0.02</v>
      </c>
      <c r="FR2" s="28">
        <v>0.02</v>
      </c>
      <c r="FS2" s="28">
        <v>0.02</v>
      </c>
      <c r="FT2" s="28">
        <v>0.02</v>
      </c>
      <c r="FU2" s="28">
        <v>0.02</v>
      </c>
      <c r="FV2" s="28">
        <v>0.02</v>
      </c>
      <c r="FW2" s="28">
        <v>0.02</v>
      </c>
      <c r="FX2" s="28">
        <v>0.02</v>
      </c>
      <c r="FY2" s="28">
        <v>0.02</v>
      </c>
      <c r="FZ2" s="28">
        <v>0.02</v>
      </c>
      <c r="GA2" s="28">
        <v>0.02</v>
      </c>
      <c r="GB2" s="28">
        <v>0.02</v>
      </c>
      <c r="GC2" s="28">
        <v>0.02</v>
      </c>
      <c r="GD2" s="28">
        <v>0.02</v>
      </c>
      <c r="GE2" s="28">
        <v>0.02</v>
      </c>
      <c r="GF2" s="28">
        <v>0.02</v>
      </c>
      <c r="GG2" s="28">
        <v>0.02</v>
      </c>
      <c r="GH2" s="28">
        <v>0.02</v>
      </c>
      <c r="GI2" s="28">
        <v>0.02</v>
      </c>
      <c r="GJ2" s="28">
        <v>0.02</v>
      </c>
      <c r="GK2" s="28">
        <v>0.02</v>
      </c>
      <c r="GL2" s="28">
        <v>0.02</v>
      </c>
      <c r="GM2" s="28">
        <v>0.02</v>
      </c>
      <c r="GN2" s="28">
        <v>0.02</v>
      </c>
      <c r="GO2" s="28">
        <v>0.02</v>
      </c>
      <c r="GP2" s="28">
        <v>0.02</v>
      </c>
      <c r="GQ2" s="28">
        <v>0.02</v>
      </c>
      <c r="GR2" s="28">
        <v>0.02</v>
      </c>
      <c r="GS2" s="28">
        <v>0.02</v>
      </c>
      <c r="GT2" s="28">
        <v>0.02</v>
      </c>
      <c r="GU2" s="28">
        <v>0.02</v>
      </c>
      <c r="GV2" s="28">
        <v>0.02</v>
      </c>
      <c r="GW2" s="28">
        <v>0.02</v>
      </c>
      <c r="GX2" s="28">
        <v>0.02</v>
      </c>
      <c r="GY2" s="28">
        <v>0.02</v>
      </c>
      <c r="GZ2" s="28">
        <v>0.02</v>
      </c>
      <c r="HA2" s="28">
        <v>0.02</v>
      </c>
      <c r="HB2" s="28">
        <v>0.02</v>
      </c>
      <c r="HC2" s="28">
        <v>0.02</v>
      </c>
      <c r="HD2" s="28">
        <v>0.02</v>
      </c>
      <c r="HE2" s="28">
        <v>0.02</v>
      </c>
      <c r="HF2" s="28">
        <v>0.02</v>
      </c>
      <c r="HG2" s="28">
        <v>0.02</v>
      </c>
      <c r="HH2" s="28">
        <v>0.02</v>
      </c>
      <c r="HI2" s="28">
        <v>0.02</v>
      </c>
      <c r="HJ2" s="28">
        <v>0.02</v>
      </c>
      <c r="HK2" s="28">
        <v>0.02</v>
      </c>
      <c r="HL2" s="28">
        <v>0.02</v>
      </c>
      <c r="HM2" s="28">
        <v>0.02</v>
      </c>
      <c r="HN2" s="28">
        <v>0.02</v>
      </c>
      <c r="HO2" s="28">
        <v>0.02</v>
      </c>
      <c r="HP2" s="28">
        <v>0.02</v>
      </c>
      <c r="HQ2" s="28">
        <v>0.02</v>
      </c>
      <c r="HR2" s="28">
        <v>0.02</v>
      </c>
      <c r="HS2" s="28">
        <v>0.02</v>
      </c>
      <c r="HT2" s="28">
        <v>0.02</v>
      </c>
      <c r="HU2" s="28">
        <v>0.02</v>
      </c>
      <c r="HV2" s="28">
        <v>0.02</v>
      </c>
      <c r="HW2" s="28">
        <v>0.02</v>
      </c>
      <c r="HX2" s="28">
        <v>0.02</v>
      </c>
      <c r="HY2" s="28">
        <v>0.02</v>
      </c>
      <c r="HZ2" s="28">
        <v>0.02</v>
      </c>
      <c r="IA2" s="28">
        <v>0.02</v>
      </c>
      <c r="IB2" s="28">
        <v>0.02</v>
      </c>
      <c r="IC2" s="28">
        <v>0.02</v>
      </c>
      <c r="ID2" s="28">
        <v>0.02</v>
      </c>
      <c r="IE2" s="28">
        <v>0.02</v>
      </c>
      <c r="IF2" s="28">
        <v>0.02</v>
      </c>
      <c r="IG2" s="28">
        <v>0.02</v>
      </c>
      <c r="IH2" s="28">
        <v>0.02</v>
      </c>
      <c r="II2" s="28">
        <v>0.02</v>
      </c>
    </row>
    <row r="3" spans="1:243" x14ac:dyDescent="0.3">
      <c r="A3" s="2" t="s">
        <v>60</v>
      </c>
      <c r="B3" s="2" t="s">
        <v>59</v>
      </c>
      <c r="C3" s="2" t="s">
        <v>62</v>
      </c>
      <c r="D3" s="28">
        <v>-0.02</v>
      </c>
      <c r="E3" s="28">
        <v>-0.02</v>
      </c>
      <c r="F3" s="28">
        <v>-0.02</v>
      </c>
      <c r="G3" s="28">
        <v>-0.02</v>
      </c>
      <c r="H3" s="28">
        <v>-0.02</v>
      </c>
      <c r="I3" s="28">
        <v>-0.02</v>
      </c>
      <c r="J3" s="28">
        <v>-0.02</v>
      </c>
      <c r="K3" s="28">
        <v>-0.02</v>
      </c>
      <c r="L3" s="28">
        <v>-0.02</v>
      </c>
      <c r="M3" s="28">
        <v>-0.02</v>
      </c>
      <c r="N3" s="28">
        <v>-0.02</v>
      </c>
      <c r="O3" s="28">
        <v>-0.02</v>
      </c>
      <c r="P3" s="28">
        <v>-0.02</v>
      </c>
      <c r="Q3" s="28">
        <v>-0.02</v>
      </c>
      <c r="R3" s="28">
        <v>-0.02</v>
      </c>
      <c r="S3" s="28">
        <v>-0.02</v>
      </c>
      <c r="T3" s="28">
        <v>-0.02</v>
      </c>
      <c r="U3" s="28">
        <v>-0.02</v>
      </c>
      <c r="V3" s="28">
        <v>-0.02</v>
      </c>
      <c r="W3" s="28">
        <v>-0.02</v>
      </c>
      <c r="X3" s="28">
        <v>-0.02</v>
      </c>
      <c r="Y3" s="28">
        <v>-0.02</v>
      </c>
      <c r="Z3" s="28">
        <v>-0.02</v>
      </c>
      <c r="AA3" s="28">
        <v>-0.02</v>
      </c>
      <c r="AB3" s="28">
        <v>-0.02</v>
      </c>
      <c r="AC3" s="28">
        <v>-0.02</v>
      </c>
      <c r="AD3" s="28">
        <v>-0.02</v>
      </c>
      <c r="AE3" s="28">
        <v>-0.02</v>
      </c>
      <c r="AF3" s="28">
        <v>-0.02</v>
      </c>
      <c r="AG3" s="28">
        <v>-0.02</v>
      </c>
      <c r="AH3" s="28">
        <v>-0.02</v>
      </c>
      <c r="AI3" s="28">
        <v>-0.02</v>
      </c>
      <c r="AJ3" s="28">
        <v>-0.02</v>
      </c>
      <c r="AK3" s="28">
        <v>-0.02</v>
      </c>
      <c r="AL3" s="28">
        <v>-0.02</v>
      </c>
      <c r="AM3" s="28">
        <v>-0.02</v>
      </c>
      <c r="AN3" s="28">
        <v>-0.02</v>
      </c>
      <c r="AO3" s="28">
        <v>-0.02</v>
      </c>
      <c r="AP3" s="28">
        <v>-0.02</v>
      </c>
      <c r="AQ3" s="28">
        <v>-0.02</v>
      </c>
      <c r="AR3" s="28">
        <v>-0.02</v>
      </c>
      <c r="AS3" s="28">
        <v>-0.02</v>
      </c>
      <c r="AT3" s="28">
        <v>-0.02</v>
      </c>
      <c r="AU3" s="28">
        <v>-0.02</v>
      </c>
      <c r="AV3" s="28">
        <v>-0.02</v>
      </c>
      <c r="AW3" s="28">
        <v>-0.02</v>
      </c>
      <c r="AX3" s="28">
        <v>-0.02</v>
      </c>
      <c r="AY3" s="28">
        <v>-0.02</v>
      </c>
      <c r="AZ3" s="28">
        <v>-0.02</v>
      </c>
      <c r="BA3" s="28">
        <v>-0.02</v>
      </c>
      <c r="BB3" s="28">
        <v>-0.02</v>
      </c>
      <c r="BC3" s="28">
        <v>-0.02</v>
      </c>
      <c r="BD3" s="28">
        <v>-0.02</v>
      </c>
      <c r="BE3" s="28">
        <v>-0.02</v>
      </c>
      <c r="BF3" s="28">
        <v>-0.02</v>
      </c>
      <c r="BG3" s="28">
        <v>-0.02</v>
      </c>
      <c r="BH3" s="28">
        <v>-0.02</v>
      </c>
      <c r="BI3" s="28">
        <v>-0.02</v>
      </c>
      <c r="BJ3" s="28">
        <v>-0.02</v>
      </c>
      <c r="BK3" s="28">
        <v>-0.02</v>
      </c>
      <c r="BL3" s="28">
        <v>-0.02</v>
      </c>
      <c r="BM3" s="28">
        <v>-0.02</v>
      </c>
      <c r="BN3" s="28">
        <v>-0.02</v>
      </c>
      <c r="BO3" s="28">
        <v>-0.02</v>
      </c>
      <c r="BP3" s="28">
        <v>-0.02</v>
      </c>
      <c r="BQ3" s="28">
        <v>-0.02</v>
      </c>
      <c r="BR3" s="28">
        <v>-0.02</v>
      </c>
      <c r="BS3" s="28">
        <v>-0.02</v>
      </c>
      <c r="BT3" s="28">
        <v>-0.02</v>
      </c>
      <c r="BU3" s="28">
        <v>-0.02</v>
      </c>
      <c r="BV3" s="28">
        <v>-0.02</v>
      </c>
      <c r="BW3" s="28">
        <v>-0.02</v>
      </c>
      <c r="BX3" s="28">
        <v>-0.02</v>
      </c>
      <c r="BY3" s="28">
        <v>-0.02</v>
      </c>
      <c r="BZ3" s="28">
        <v>-0.02</v>
      </c>
      <c r="CA3" s="28">
        <v>-0.02</v>
      </c>
      <c r="CB3" s="28">
        <v>-0.02</v>
      </c>
      <c r="CC3" s="28">
        <v>-0.02</v>
      </c>
      <c r="CD3" s="28">
        <v>-0.02</v>
      </c>
      <c r="CE3" s="28">
        <v>-0.02</v>
      </c>
      <c r="CF3" s="28">
        <v>-0.02</v>
      </c>
      <c r="CG3" s="28">
        <v>-0.02</v>
      </c>
      <c r="CH3" s="28">
        <v>-0.02</v>
      </c>
      <c r="CI3" s="28">
        <v>-0.02</v>
      </c>
      <c r="CJ3" s="28">
        <v>-0.02</v>
      </c>
      <c r="CK3" s="28">
        <v>-0.02</v>
      </c>
      <c r="CL3" s="28">
        <v>-0.02</v>
      </c>
      <c r="CM3" s="28">
        <v>-0.02</v>
      </c>
      <c r="CN3" s="28">
        <v>-0.02</v>
      </c>
      <c r="CO3" s="28">
        <v>-0.02</v>
      </c>
      <c r="CP3" s="28">
        <v>-0.02</v>
      </c>
      <c r="CQ3" s="28">
        <v>-0.02</v>
      </c>
      <c r="CR3" s="28">
        <v>-0.02</v>
      </c>
      <c r="CS3" s="28">
        <v>-0.02</v>
      </c>
      <c r="CT3" s="28">
        <v>-0.02</v>
      </c>
      <c r="CU3" s="28">
        <v>-0.02</v>
      </c>
      <c r="CV3" s="28">
        <v>-0.02</v>
      </c>
      <c r="CW3" s="28">
        <v>-0.02</v>
      </c>
      <c r="CX3" s="28">
        <v>-0.02</v>
      </c>
      <c r="CY3" s="28">
        <v>-0.02</v>
      </c>
      <c r="CZ3" s="28">
        <v>-0.02</v>
      </c>
      <c r="DA3" s="28">
        <v>-0.02</v>
      </c>
      <c r="DB3" s="28">
        <v>-0.02</v>
      </c>
      <c r="DC3" s="28">
        <v>-0.02</v>
      </c>
      <c r="DD3" s="28">
        <v>-0.02</v>
      </c>
      <c r="DE3" s="28">
        <v>-0.02</v>
      </c>
      <c r="DF3" s="28">
        <v>-0.02</v>
      </c>
      <c r="DG3" s="28">
        <v>-0.02</v>
      </c>
      <c r="DH3" s="28">
        <v>-0.02</v>
      </c>
      <c r="DI3" s="28">
        <v>-0.02</v>
      </c>
      <c r="DJ3" s="28">
        <v>-0.02</v>
      </c>
      <c r="DK3" s="28">
        <v>-0.02</v>
      </c>
      <c r="DL3" s="28">
        <v>-0.02</v>
      </c>
      <c r="DM3" s="28">
        <v>-0.02</v>
      </c>
      <c r="DN3" s="28">
        <v>-0.02</v>
      </c>
      <c r="DO3" s="28">
        <v>-0.02</v>
      </c>
      <c r="DP3" s="28">
        <v>-0.02</v>
      </c>
      <c r="DQ3" s="28">
        <v>-0.02</v>
      </c>
      <c r="DR3" s="28">
        <v>-0.02</v>
      </c>
      <c r="DS3" s="28">
        <v>-0.02</v>
      </c>
      <c r="DT3" s="28">
        <v>-0.02</v>
      </c>
      <c r="DU3" s="28">
        <v>-0.02</v>
      </c>
      <c r="DV3" s="28">
        <v>-0.02</v>
      </c>
      <c r="DW3" s="28">
        <v>-0.02</v>
      </c>
      <c r="DX3" s="28">
        <v>-0.02</v>
      </c>
      <c r="DY3" s="28">
        <v>-0.02</v>
      </c>
      <c r="DZ3" s="28">
        <v>-0.02</v>
      </c>
      <c r="EA3" s="28">
        <v>-0.02</v>
      </c>
      <c r="EB3" s="28">
        <v>-0.02</v>
      </c>
      <c r="EC3" s="28">
        <v>-0.02</v>
      </c>
      <c r="ED3" s="28">
        <v>-0.02</v>
      </c>
      <c r="EE3" s="28">
        <v>-0.02</v>
      </c>
      <c r="EF3" s="28">
        <v>-0.02</v>
      </c>
      <c r="EG3" s="28">
        <v>-0.02</v>
      </c>
      <c r="EH3" s="28">
        <v>-0.02</v>
      </c>
      <c r="EI3" s="28">
        <v>-0.02</v>
      </c>
      <c r="EJ3" s="28">
        <v>-0.02</v>
      </c>
      <c r="EK3" s="28">
        <v>-0.02</v>
      </c>
      <c r="EL3" s="28">
        <v>-0.02</v>
      </c>
      <c r="EM3" s="28">
        <v>-0.02</v>
      </c>
      <c r="EN3" s="28">
        <v>-0.02</v>
      </c>
      <c r="EO3" s="28">
        <v>-0.02</v>
      </c>
      <c r="EP3" s="28">
        <v>-0.02</v>
      </c>
      <c r="EQ3" s="28">
        <v>-0.02</v>
      </c>
      <c r="ER3" s="28">
        <v>-0.02</v>
      </c>
      <c r="ES3" s="28">
        <v>-0.02</v>
      </c>
      <c r="ET3" s="28">
        <v>-0.02</v>
      </c>
      <c r="EU3" s="28">
        <v>-0.02</v>
      </c>
      <c r="EV3" s="28">
        <v>-0.02</v>
      </c>
      <c r="EW3" s="28">
        <v>-0.02</v>
      </c>
      <c r="EX3" s="28">
        <v>-0.02</v>
      </c>
      <c r="EY3" s="28">
        <v>-0.02</v>
      </c>
      <c r="EZ3" s="28">
        <v>-0.02</v>
      </c>
      <c r="FA3" s="28">
        <v>-0.02</v>
      </c>
      <c r="FB3" s="28">
        <v>-0.02</v>
      </c>
      <c r="FC3" s="28">
        <v>-0.02</v>
      </c>
      <c r="FD3" s="28">
        <v>-0.02</v>
      </c>
      <c r="FE3" s="28">
        <v>-0.02</v>
      </c>
      <c r="FF3" s="28">
        <v>-0.02</v>
      </c>
      <c r="FG3" s="28">
        <v>-0.02</v>
      </c>
      <c r="FH3" s="28">
        <v>-0.02</v>
      </c>
      <c r="FI3" s="28">
        <v>-0.02</v>
      </c>
      <c r="FJ3" s="28">
        <v>-0.02</v>
      </c>
      <c r="FK3" s="28">
        <v>-0.02</v>
      </c>
      <c r="FL3" s="28">
        <v>-0.02</v>
      </c>
      <c r="FM3" s="28">
        <v>-0.02</v>
      </c>
      <c r="FN3" s="28">
        <v>-0.02</v>
      </c>
      <c r="FO3" s="28">
        <v>-0.02</v>
      </c>
      <c r="FP3" s="28">
        <v>-0.02</v>
      </c>
      <c r="FQ3" s="28">
        <v>-0.02</v>
      </c>
      <c r="FR3" s="28">
        <v>-0.02</v>
      </c>
      <c r="FS3" s="28">
        <v>-0.02</v>
      </c>
      <c r="FT3" s="28">
        <v>-0.02</v>
      </c>
      <c r="FU3" s="28">
        <v>-0.02</v>
      </c>
      <c r="FV3" s="28">
        <v>-0.02</v>
      </c>
      <c r="FW3" s="28">
        <v>-0.02</v>
      </c>
      <c r="FX3" s="28">
        <v>-0.02</v>
      </c>
      <c r="FY3" s="28">
        <v>-0.02</v>
      </c>
      <c r="FZ3" s="28">
        <v>-0.02</v>
      </c>
      <c r="GA3" s="28">
        <v>-0.02</v>
      </c>
      <c r="GB3" s="28">
        <v>-0.02</v>
      </c>
      <c r="GC3" s="28">
        <v>-0.02</v>
      </c>
      <c r="GD3" s="28">
        <v>-0.02</v>
      </c>
      <c r="GE3" s="28">
        <v>-0.02</v>
      </c>
      <c r="GF3" s="28">
        <v>-0.02</v>
      </c>
      <c r="GG3" s="28">
        <v>-0.02</v>
      </c>
      <c r="GH3" s="28">
        <v>-0.02</v>
      </c>
      <c r="GI3" s="28">
        <v>-0.02</v>
      </c>
      <c r="GJ3" s="28">
        <v>-0.02</v>
      </c>
      <c r="GK3" s="28">
        <v>-0.02</v>
      </c>
      <c r="GL3" s="28">
        <v>-0.02</v>
      </c>
      <c r="GM3" s="28">
        <v>-0.02</v>
      </c>
      <c r="GN3" s="28">
        <v>-0.02</v>
      </c>
      <c r="GO3" s="28">
        <v>-0.02</v>
      </c>
      <c r="GP3" s="28">
        <v>-0.02</v>
      </c>
      <c r="GQ3" s="28">
        <v>-0.02</v>
      </c>
      <c r="GR3" s="28">
        <v>-0.02</v>
      </c>
      <c r="GS3" s="28">
        <v>-0.02</v>
      </c>
      <c r="GT3" s="28">
        <v>-0.02</v>
      </c>
      <c r="GU3" s="28">
        <v>-0.02</v>
      </c>
      <c r="GV3" s="28">
        <v>-0.02</v>
      </c>
      <c r="GW3" s="28">
        <v>-0.02</v>
      </c>
      <c r="GX3" s="28">
        <v>-0.02</v>
      </c>
      <c r="GY3" s="28">
        <v>-0.02</v>
      </c>
      <c r="GZ3" s="28">
        <v>-0.02</v>
      </c>
      <c r="HA3" s="28">
        <v>-0.02</v>
      </c>
      <c r="HB3" s="28">
        <v>-0.02</v>
      </c>
      <c r="HC3" s="28">
        <v>-0.02</v>
      </c>
      <c r="HD3" s="28">
        <v>-0.02</v>
      </c>
      <c r="HE3" s="28">
        <v>-0.02</v>
      </c>
      <c r="HF3" s="28">
        <v>-0.02</v>
      </c>
      <c r="HG3" s="28">
        <v>-0.02</v>
      </c>
      <c r="HH3" s="28">
        <v>-0.02</v>
      </c>
      <c r="HI3" s="28">
        <v>-0.02</v>
      </c>
      <c r="HJ3" s="28">
        <v>-0.02</v>
      </c>
      <c r="HK3" s="28">
        <v>-0.02</v>
      </c>
      <c r="HL3" s="28">
        <v>-0.02</v>
      </c>
      <c r="HM3" s="28">
        <v>-0.02</v>
      </c>
      <c r="HN3" s="28">
        <v>-0.02</v>
      </c>
      <c r="HO3" s="28">
        <v>-0.02</v>
      </c>
      <c r="HP3" s="28">
        <v>-0.02</v>
      </c>
      <c r="HQ3" s="28">
        <v>-0.02</v>
      </c>
      <c r="HR3" s="28">
        <v>-0.02</v>
      </c>
      <c r="HS3" s="28">
        <v>-0.02</v>
      </c>
      <c r="HT3" s="28">
        <v>-0.02</v>
      </c>
      <c r="HU3" s="28">
        <v>-0.02</v>
      </c>
      <c r="HV3" s="28">
        <v>-0.02</v>
      </c>
      <c r="HW3" s="28">
        <v>-0.02</v>
      </c>
      <c r="HX3" s="28">
        <v>-0.02</v>
      </c>
      <c r="HY3" s="28">
        <v>-0.02</v>
      </c>
      <c r="HZ3" s="28">
        <v>-0.02</v>
      </c>
      <c r="IA3" s="28">
        <v>-0.02</v>
      </c>
      <c r="IB3" s="28">
        <v>-0.02</v>
      </c>
      <c r="IC3" s="28">
        <v>-0.02</v>
      </c>
      <c r="ID3" s="28">
        <v>-0.02</v>
      </c>
      <c r="IE3" s="28">
        <v>-0.02</v>
      </c>
      <c r="IF3" s="28">
        <v>-0.02</v>
      </c>
      <c r="IG3" s="28">
        <v>-0.02</v>
      </c>
      <c r="IH3" s="28">
        <v>-0.02</v>
      </c>
      <c r="II3" s="28">
        <v>-0.02</v>
      </c>
    </row>
    <row r="4" spans="1:243" x14ac:dyDescent="0.3">
      <c r="A4" s="2" t="s">
        <v>64</v>
      </c>
      <c r="B4" s="2" t="s">
        <v>63</v>
      </c>
      <c r="C4" s="2" t="s">
        <v>65</v>
      </c>
      <c r="D4" s="30">
        <f>EXP((-D1/12)/4)*2.5%</f>
        <v>2.4484554533281005E-2</v>
      </c>
      <c r="E4" s="30">
        <f>EXP((-E1/12)/4)*2.5%</f>
        <v>2.3979736427728455E-2</v>
      </c>
      <c r="F4" s="30">
        <f>EXP((-F1/12)/4)*2.5%</f>
        <v>2.3485326570336897E-2</v>
      </c>
      <c r="G4" s="30">
        <f>EXP((-G1/12)/4)*2.5%</f>
        <v>2.3001110365733084E-2</v>
      </c>
      <c r="H4" s="30">
        <f>EXP((-H1/12)/4)*2.5%</f>
        <v>2.2526877643032267E-2</v>
      </c>
      <c r="I4" s="30">
        <f>EXP((-I1/12)/4)*2.5%</f>
        <v>2.2062422564614888E-2</v>
      </c>
      <c r="J4" s="30">
        <f>EXP((-J1/12)/4)*2.5%</f>
        <v>2.16075435367841E-2</v>
      </c>
      <c r="K4" s="30">
        <f>EXP((-K1/12)/4)*2.5%</f>
        <v>2.1162043122265356E-2</v>
      </c>
      <c r="L4" s="30">
        <f>EXP((-L1/12)/4)*2.5%</f>
        <v>2.0725727954510012E-2</v>
      </c>
      <c r="M4" s="30">
        <f>EXP((-M1/12)/4)*2.5%</f>
        <v>2.0298408653765875E-2</v>
      </c>
      <c r="N4" s="30">
        <f>EXP((-N1/12)/4)*2.5%</f>
        <v>1.9879899744878145E-2</v>
      </c>
      <c r="O4" s="30">
        <f>EXP((-O1/12)/4)*2.5%</f>
        <v>1.9470019576785125E-2</v>
      </c>
      <c r="P4" s="30">
        <f>EXP((-P1/12)/4)*2.5%</f>
        <v>1.9068590243673765E-2</v>
      </c>
      <c r="Q4" s="30">
        <f>EXP((-Q1/12)/4)*2.5%</f>
        <v>1.8675437507760816E-2</v>
      </c>
      <c r="R4" s="30">
        <f>EXP((-R1/12)/4)*2.5%</f>
        <v>1.8290390723666044E-2</v>
      </c>
      <c r="S4" s="30">
        <f>EXP((-S1/12)/4)*2.5%</f>
        <v>1.7913282764344732E-2</v>
      </c>
      <c r="T4" s="30">
        <f>EXP((-T1/12)/4)*2.5%</f>
        <v>1.7543949948547251E-2</v>
      </c>
      <c r="U4" s="30">
        <f>EXP((-U1/12)/4)*2.5%</f>
        <v>1.7182231969774305E-2</v>
      </c>
      <c r="V4" s="30">
        <f>EXP((-V1/12)/4)*2.5%</f>
        <v>1.682797182669693E-2</v>
      </c>
      <c r="W4" s="30">
        <f>EXP((-W1/12)/4)*2.5%</f>
        <v>1.6481015755011093E-2</v>
      </c>
      <c r="X4" s="30">
        <f>EXP((-X1/12)/4)*2.5%</f>
        <v>1.6141213160697301E-2</v>
      </c>
      <c r="Y4" s="30">
        <f>EXP((-Y1/12)/4)*2.5%</f>
        <v>1.5808416554656243E-2</v>
      </c>
      <c r="Z4" s="30">
        <f>EXP((-Z1/12)/4)*2.5%</f>
        <v>1.5482481488692121E-2</v>
      </c>
      <c r="AA4" s="30">
        <f>EXP((-AA1/12)/4)*2.5%</f>
        <v>1.5163266492815837E-2</v>
      </c>
      <c r="AB4" s="30">
        <f>EXP((-AB1/12)/4)*2.5%</f>
        <v>1.4850633013840875E-2</v>
      </c>
      <c r="AC4" s="30">
        <f>EXP((-AC1/12)/4)*2.5%</f>
        <v>1.454444535524521E-2</v>
      </c>
      <c r="AD4" s="30">
        <f>EXP((-AD1/12)/4)*2.5%</f>
        <v>1.4244570618273077E-2</v>
      </c>
      <c r="AE4" s="30">
        <f>EXP((-AE1/12)/4)*2.5%</f>
        <v>1.3950878644251178E-2</v>
      </c>
      <c r="AF4" s="30">
        <f>EXP((-AF1/12)/4)*2.5%</f>
        <v>1.3663241958094133E-2</v>
      </c>
      <c r="AG4" s="30">
        <f>EXP((-AG1/12)/4)*2.5%</f>
        <v>1.3381535712974757E-2</v>
      </c>
      <c r="AH4" s="30">
        <f>EXP((-AH1/12)/4)*2.5%</f>
        <v>1.310563763613511E-2</v>
      </c>
      <c r="AI4" s="30">
        <f>EXP((-AI1/12)/4)*2.5%</f>
        <v>1.28354279758148E-2</v>
      </c>
      <c r="AJ4" s="30">
        <f>EXP((-AJ1/12)/4)*2.5%</f>
        <v>1.2570789449273524E-2</v>
      </c>
      <c r="AK4" s="30">
        <f>EXP((-AK1/12)/4)*2.5%</f>
        <v>1.2311607191885244E-2</v>
      </c>
      <c r="AL4" s="30">
        <f>EXP((-AL1/12)/4)*2.5%</f>
        <v>1.2057768707281955E-2</v>
      </c>
      <c r="AM4" s="30">
        <f>EXP((-AM1/12)/4)*2.5%</f>
        <v>1.1809163818525368E-2</v>
      </c>
      <c r="AN4" s="30">
        <f>EXP((-AN1/12)/4)*2.5%</f>
        <v>1.1565684620285331E-2</v>
      </c>
      <c r="AO4" s="30">
        <f>EXP((-AO1/12)/4)*2.5%</f>
        <v>1.1327225432004226E-2</v>
      </c>
      <c r="AP4" s="30">
        <f>EXP((-AP1/12)/4)*2.5%</f>
        <v>1.1093682752026997E-2</v>
      </c>
      <c r="AQ4" s="30">
        <f>EXP((-AQ1/12)/4)*2.5%</f>
        <v>1.0864955212676955E-2</v>
      </c>
      <c r="AR4" s="30">
        <f>EXP((-AR1/12)/4)*2.5%</f>
        <v>1.0640943536257786E-2</v>
      </c>
      <c r="AS4" s="30">
        <f>EXP((-AS1/12)/4)*2.5%</f>
        <v>1.042155049196271E-2</v>
      </c>
      <c r="AT4" s="30">
        <f>EXP((-AT1/12)/4)*2.5%</f>
        <v>1.0206680853672099E-2</v>
      </c>
      <c r="AU4" s="30">
        <f>EXP((-AU1/12)/4)*2.5%</f>
        <v>9.9962413586211843E-3</v>
      </c>
      <c r="AV4" s="30">
        <f>EXP((-AV1/12)/4)*2.5%</f>
        <v>9.7901406669199751E-3</v>
      </c>
      <c r="AW4" s="30">
        <f>EXP((-AW1/12)/4)*2.5%</f>
        <v>9.5882893219077676E-3</v>
      </c>
      <c r="AX4" s="30">
        <f>EXP((-AX1/12)/4)*2.5%</f>
        <v>9.3905997113250678E-3</v>
      </c>
      <c r="AY4" s="30">
        <f>EXP((-AY1/12)/4)*2.5%</f>
        <v>9.1969860292860587E-3</v>
      </c>
      <c r="AZ4" s="30">
        <f>EXP((-AZ1/12)/4)*2.5%</f>
        <v>9.0073642390351219E-3</v>
      </c>
      <c r="BA4" s="30">
        <f>EXP((-BA1/12)/4)*2.5%</f>
        <v>8.8216520364712229E-3</v>
      </c>
      <c r="BB4" s="30">
        <f>EXP((-BB1/12)/4)*2.5%</f>
        <v>8.6397688144243638E-3</v>
      </c>
      <c r="BC4" s="30">
        <f>EXP((-BC1/12)/4)*2.5%</f>
        <v>8.4616356276685564E-3</v>
      </c>
      <c r="BD4" s="30">
        <f>EXP((-BD1/12)/4)*2.5%</f>
        <v>8.2871751586561671E-3</v>
      </c>
      <c r="BE4" s="30">
        <f>EXP((-BE1/12)/4)*2.5%</f>
        <v>8.1163116839587431E-3</v>
      </c>
      <c r="BF4" s="30">
        <f>EXP((-BF1/12)/4)*2.5%</f>
        <v>7.9489710413997456E-3</v>
      </c>
      <c r="BG4" s="30">
        <f>EXP((-BG1/12)/4)*2.5%</f>
        <v>7.7850805978649422E-3</v>
      </c>
      <c r="BH4" s="30">
        <f>EXP((-BH1/12)/4)*2.5%</f>
        <v>7.6245692177764821E-3</v>
      </c>
      <c r="BI4" s="30">
        <f>EXP((-BI1/12)/4)*2.5%</f>
        <v>7.46736723221696E-3</v>
      </c>
      <c r="BJ4" s="30">
        <f>EXP((-BJ1/12)/4)*2.5%</f>
        <v>7.3134064086900694E-3</v>
      </c>
      <c r="BK4" s="30">
        <f>EXP((-BK1/12)/4)*2.5%</f>
        <v>7.162619921504753E-3</v>
      </c>
      <c r="BL4" s="30">
        <f>EXP((-BL1/12)/4)*2.5%</f>
        <v>7.0149423227699216E-3</v>
      </c>
      <c r="BM4" s="30">
        <f>EXP((-BM1/12)/4)*2.5%</f>
        <v>6.8703095139872414E-3</v>
      </c>
      <c r="BN4" s="30">
        <f>EXP((-BN1/12)/4)*2.5%</f>
        <v>6.7286587182295967E-3</v>
      </c>
      <c r="BO4" s="30">
        <f>EXP((-BO1/12)/4)*2.5%</f>
        <v>6.5899284528931693E-3</v>
      </c>
      <c r="BP4" s="30">
        <f>EXP((-BP1/12)/4)*2.5%</f>
        <v>6.4540585030113161E-3</v>
      </c>
      <c r="BQ4" s="30">
        <f>EXP((-BQ1/12)/4)*2.5%</f>
        <v>6.3209898951186623E-3</v>
      </c>
      <c r="BR4" s="30">
        <f>EXP((-BR1/12)/4)*2.5%</f>
        <v>6.1906648716540426E-3</v>
      </c>
      <c r="BS4" s="30">
        <f>EXP((-BS1/12)/4)*2.5%</f>
        <v>6.0630268658912172E-3</v>
      </c>
      <c r="BT4" s="30">
        <f>EXP((-BT1/12)/4)*2.5%</f>
        <v>5.9380204773864537E-3</v>
      </c>
      <c r="BU4" s="30">
        <f>EXP((-BU1/12)/4)*2.5%</f>
        <v>5.8155914479323181E-3</v>
      </c>
      <c r="BV4" s="30">
        <f>EXP((-BV1/12)/4)*2.5%</f>
        <v>5.6956866380072574E-3</v>
      </c>
      <c r="BW4" s="30">
        <f>EXP((-BW1/12)/4)*2.5%</f>
        <v>5.5782540037107456E-3</v>
      </c>
      <c r="BX4" s="30">
        <f>EXP((-BX1/12)/4)*2.5%</f>
        <v>5.463242574173955E-3</v>
      </c>
      <c r="BY4" s="30">
        <f>EXP((-BY1/12)/4)*2.5%</f>
        <v>5.3506024294361866E-3</v>
      </c>
      <c r="BZ4" s="30">
        <f>EXP((-BZ1/12)/4)*2.5%</f>
        <v>5.2402846787774453E-3</v>
      </c>
      <c r="CA4" s="30">
        <f>EXP((-CA1/12)/4)*2.5%</f>
        <v>5.1322414394977325E-3</v>
      </c>
      <c r="CB4" s="30">
        <f>EXP((-CB1/12)/4)*2.5%</f>
        <v>5.0264258161338725E-3</v>
      </c>
      <c r="CC4" s="30">
        <f>EXP((-CC1/12)/4)*2.5%</f>
        <v>4.922791880104852E-3</v>
      </c>
      <c r="CD4" s="30">
        <f>EXP((-CD1/12)/4)*2.5%</f>
        <v>4.8212946497768064E-3</v>
      </c>
      <c r="CE4" s="30">
        <f>EXP((-CE1/12)/4)*2.5%</f>
        <v>4.7218900709390457E-3</v>
      </c>
      <c r="CF4" s="30">
        <f>EXP((-CF1/12)/4)*2.5%</f>
        <v>4.6245349976826071E-3</v>
      </c>
      <c r="CG4" s="30">
        <f>EXP((-CG1/12)/4)*2.5%</f>
        <v>4.5291871736730539E-3</v>
      </c>
      <c r="CH4" s="30">
        <f>EXP((-CH1/12)/4)*2.5%</f>
        <v>4.4358052138093896E-3</v>
      </c>
      <c r="CI4" s="30">
        <f>EXP((-CI1/12)/4)*2.5%</f>
        <v>4.3443485862611287E-3</v>
      </c>
      <c r="CJ4" s="30">
        <f>EXP((-CJ1/12)/4)*2.5%</f>
        <v>4.2547775948757133E-3</v>
      </c>
      <c r="CK4" s="30">
        <f>EXP((-CK1/12)/4)*2.5%</f>
        <v>4.1670533619486633E-3</v>
      </c>
      <c r="CL4" s="30">
        <f>EXP((-CL1/12)/4)*2.5%</f>
        <v>4.0811378113489605E-3</v>
      </c>
      <c r="CM4" s="30">
        <f>EXP((-CM1/12)/4)*2.5%</f>
        <v>3.996993651992348E-3</v>
      </c>
      <c r="CN4" s="30">
        <f>EXP((-CN1/12)/4)*2.5%</f>
        <v>3.9145843616553849E-3</v>
      </c>
      <c r="CO4" s="30">
        <f>EXP((-CO1/12)/4)*2.5%</f>
        <v>3.8338741711232121E-3</v>
      </c>
      <c r="CP4" s="30">
        <f>EXP((-CP1/12)/4)*2.5%</f>
        <v>3.7548280486641517E-3</v>
      </c>
      <c r="CQ4" s="30">
        <f>EXP((-CQ1/12)/4)*2.5%</f>
        <v>3.67741168482442E-3</v>
      </c>
      <c r="CR4" s="30">
        <f>EXP((-CR1/12)/4)*2.5%</f>
        <v>3.601591477536332E-3</v>
      </c>
      <c r="CS4" s="30">
        <f>EXP((-CS1/12)/4)*2.5%</f>
        <v>3.5273345175335378E-3</v>
      </c>
      <c r="CT4" s="30">
        <f>EXP((-CT1/12)/4)*2.5%</f>
        <v>3.4546085740669733E-3</v>
      </c>
      <c r="CU4" s="30">
        <f>EXP((-CU1/12)/4)*2.5%</f>
        <v>3.3833820809153177E-3</v>
      </c>
      <c r="CV4" s="30">
        <f>EXP((-CV1/12)/4)*2.5%</f>
        <v>3.3136241226838733E-3</v>
      </c>
      <c r="CW4" s="30">
        <f>EXP((-CW1/12)/4)*2.5%</f>
        <v>3.2453044213859501E-3</v>
      </c>
      <c r="CX4" s="30">
        <f>EXP((-CX1/12)/4)*2.5%</f>
        <v>3.1783933233008898E-3</v>
      </c>
      <c r="CY4" s="30">
        <f>EXP((-CY1/12)/4)*2.5%</f>
        <v>3.1128617861030743E-3</v>
      </c>
      <c r="CZ4" s="30">
        <f>EXP((-CZ1/12)/4)*2.5%</f>
        <v>3.0486813662562902E-3</v>
      </c>
      <c r="DA4" s="30">
        <f>EXP((-DA1/12)/4)*2.5%</f>
        <v>2.9858242066679907E-3</v>
      </c>
      <c r="DB4" s="30">
        <f>EXP((-DB1/12)/4)*2.5%</f>
        <v>2.9242630245981159E-3</v>
      </c>
      <c r="DC4" s="30">
        <f>EXP((-DC1/12)/4)*2.5%</f>
        <v>2.8639710998171935E-3</v>
      </c>
      <c r="DD4" s="30">
        <f>EXP((-DD1/12)/4)*2.5%</f>
        <v>2.8049222630085937E-3</v>
      </c>
      <c r="DE4" s="30">
        <f>EXP((-DE1/12)/4)*2.5%</f>
        <v>2.7470908844099144E-3</v>
      </c>
      <c r="DF4" s="30">
        <f>EXP((-DF1/12)/4)*2.5%</f>
        <v>2.6904518626885486E-3</v>
      </c>
      <c r="DG4" s="30">
        <f>EXP((-DG1/12)/4)*2.5%</f>
        <v>2.6349806140466086E-3</v>
      </c>
      <c r="DH4" s="30">
        <f>EXP((-DH1/12)/4)*2.5%</f>
        <v>2.5806530615504978E-3</v>
      </c>
      <c r="DI4" s="30">
        <f>EXP((-DI1/12)/4)*2.5%</f>
        <v>2.5274456246804702E-3</v>
      </c>
      <c r="DJ4" s="30">
        <f>EXP((-DJ1/12)/4)*2.5%</f>
        <v>2.4753352090956578E-3</v>
      </c>
      <c r="DK4" s="30">
        <f>EXP((-DK1/12)/4)*2.5%</f>
        <v>2.4242991966101266E-3</v>
      </c>
      <c r="DL4" s="30">
        <f>EXP((-DL1/12)/4)*2.5%</f>
        <v>2.3743154353755994E-3</v>
      </c>
      <c r="DM4" s="30">
        <f>EXP((-DM1/12)/4)*2.5%</f>
        <v>2.3253622302665876E-3</v>
      </c>
      <c r="DN4" s="30">
        <f>EXP((-DN1/12)/4)*2.5%</f>
        <v>2.2774183334637677E-3</v>
      </c>
      <c r="DO4" s="30">
        <f>EXP((-DO1/12)/4)*2.5%</f>
        <v>2.2304629352315028E-3</v>
      </c>
      <c r="DP4" s="30">
        <f>EXP((-DP1/12)/4)*2.5%</f>
        <v>2.1844756548855099E-3</v>
      </c>
      <c r="DQ4" s="30">
        <f>EXP((-DQ1/12)/4)*2.5%</f>
        <v>2.1394365319467594E-3</v>
      </c>
      <c r="DR4" s="30">
        <f>EXP((-DR1/12)/4)*2.5%</f>
        <v>2.0953260174777616E-3</v>
      </c>
      <c r="DS4" s="30">
        <f>EXP((-DS1/12)/4)*2.5%</f>
        <v>2.0521249655974703E-3</v>
      </c>
      <c r="DT4" s="30">
        <f>EXP((-DT1/12)/4)*2.5%</f>
        <v>2.0098146251711457E-3</v>
      </c>
      <c r="DU4" s="30">
        <f>EXP((-DU1/12)/4)*2.5%</f>
        <v>1.9683766316715466E-3</v>
      </c>
      <c r="DV4" s="30">
        <f>EXP((-DV1/12)/4)*2.5%</f>
        <v>1.927792999207918E-3</v>
      </c>
      <c r="DW4" s="30">
        <f>EXP((-DW1/12)/4)*2.5%</f>
        <v>1.8880461127193443E-3</v>
      </c>
      <c r="DX4" s="30">
        <f>EXP((-DX1/12)/4)*2.5%</f>
        <v>1.8491187203290402E-3</v>
      </c>
      <c r="DY4" s="30">
        <f>EXP((-DY1/12)/4)*2.5%</f>
        <v>1.8109939258562865E-3</v>
      </c>
      <c r="DZ4" s="30">
        <f>EXP((-DZ1/12)/4)*2.5%</f>
        <v>1.773655181482756E-3</v>
      </c>
      <c r="EA4" s="30">
        <f>EXP((-EA1/12)/4)*2.5%</f>
        <v>1.7370862805700387E-3</v>
      </c>
      <c r="EB4" s="30">
        <f>EXP((-EB1/12)/4)*2.5%</f>
        <v>1.701271350625255E-3</v>
      </c>
      <c r="EC4" s="30">
        <f>EXP((-EC1/12)/4)*2.5%</f>
        <v>1.6661948464117072E-3</v>
      </c>
      <c r="ED4" s="30">
        <f>EXP((-ED1/12)/4)*2.5%</f>
        <v>1.6318415432015688E-3</v>
      </c>
      <c r="EE4" s="30">
        <f>EXP((-EE1/12)/4)*2.5%</f>
        <v>1.5981965301676893E-3</v>
      </c>
      <c r="EF4" s="30">
        <f>EXP((-EF1/12)/4)*2.5%</f>
        <v>1.5652452039116506E-3</v>
      </c>
      <c r="EG4" s="30">
        <f>EXP((-EG1/12)/4)*2.5%</f>
        <v>1.5329732621252546E-3</v>
      </c>
      <c r="EH4" s="30">
        <f>EXP((-EH1/12)/4)*2.5%</f>
        <v>1.5013666973826988E-3</v>
      </c>
      <c r="EI4" s="30">
        <f>EXP((-EI1/12)/4)*2.5%</f>
        <v>1.4704117910607471E-3</v>
      </c>
      <c r="EJ4" s="30">
        <f>EXP((-EJ1/12)/4)*2.5%</f>
        <v>1.4400951073842505E-3</v>
      </c>
      <c r="EK4" s="30">
        <f>EXP((-EK1/12)/4)*2.5%</f>
        <v>1.4104034875944338E-3</v>
      </c>
      <c r="EL4" s="30">
        <f>EXP((-EL1/12)/4)*2.5%</f>
        <v>1.3813240442374251E-3</v>
      </c>
      <c r="EM4" s="30">
        <f>EXP((-EM1/12)/4)*2.5%</f>
        <v>1.3528441555705404E-3</v>
      </c>
      <c r="EN4" s="30">
        <f>EXP((-EN1/12)/4)*2.5%</f>
        <v>1.324951460083895E-3</v>
      </c>
      <c r="EO4" s="30">
        <f>EXP((-EO1/12)/4)*2.5%</f>
        <v>1.2976338511349766E-3</v>
      </c>
      <c r="EP4" s="30">
        <f>EXP((-EP1/12)/4)*2.5%</f>
        <v>1.2708794716938315E-3</v>
      </c>
      <c r="EQ4" s="30">
        <f>EXP((-EQ1/12)/4)*2.5%</f>
        <v>1.2446767091965987E-3</v>
      </c>
      <c r="ER4" s="30">
        <f>EXP((-ER1/12)/4)*2.5%</f>
        <v>1.2190141905051542E-3</v>
      </c>
      <c r="ES4" s="30">
        <f>EXP((-ES1/12)/4)*2.5%</f>
        <v>1.1938807769706742E-3</v>
      </c>
      <c r="ET4" s="30">
        <f>EXP((-ET1/12)/4)*2.5%</f>
        <v>1.1692655595989746E-3</v>
      </c>
      <c r="EU4" s="30">
        <f>EXP((-EU1/12)/4)*2.5%</f>
        <v>1.1451578543155369E-3</v>
      </c>
      <c r="EV4" s="30">
        <f>EXP((-EV1/12)/4)*2.5%</f>
        <v>1.1215471973281532E-3</v>
      </c>
      <c r="EW4" s="30">
        <f>EXP((-EW1/12)/4)*2.5%</f>
        <v>1.0984233405851856E-3</v>
      </c>
      <c r="EX4" s="30">
        <f>EXP((-EX1/12)/4)*2.5%</f>
        <v>1.0757762473274665E-3</v>
      </c>
      <c r="EY4" s="30">
        <f>EXP((-EY1/12)/4)*2.5%</f>
        <v>1.0535960877319102E-3</v>
      </c>
      <c r="EZ4" s="30">
        <f>EXP((-EZ1/12)/4)*2.5%</f>
        <v>1.0318732346449387E-3</v>
      </c>
      <c r="FA4" s="30">
        <f>EXP((-FA1/12)/4)*2.5%</f>
        <v>1.0105982594038826E-3</v>
      </c>
      <c r="FB4" s="30">
        <f>EXP((-FB1/12)/4)*2.5%</f>
        <v>9.8976192774452923E-4</v>
      </c>
      <c r="FC4" s="30">
        <f>EXP((-FC1/12)/4)*2.5%</f>
        <v>9.6935519579305026E-4</v>
      </c>
      <c r="FD4" s="30">
        <f>EXP((-FD1/12)/4)*2.5%</f>
        <v>9.4936920614056884E-4</v>
      </c>
      <c r="FE4" s="30">
        <f>EXP((-FE1/12)/4)*2.5%</f>
        <v>9.2979528399865844E-4</v>
      </c>
      <c r="FF4" s="30">
        <f>EXP((-FF1/12)/4)*2.5%</f>
        <v>9.106249334341059E-4</v>
      </c>
      <c r="FG4" s="30">
        <f>EXP((-FG1/12)/4)*2.5%</f>
        <v>8.9184983368130986E-4</v>
      </c>
      <c r="FH4" s="30">
        <f>EXP((-FH1/12)/4)*2.5%</f>
        <v>8.7346183553070524E-4</v>
      </c>
      <c r="FI4" s="30">
        <f>EXP((-FI1/12)/4)*2.5%</f>
        <v>8.5545295779165082E-4</v>
      </c>
      <c r="FJ4" s="30">
        <f>EXP((-FJ1/12)/4)*2.5%</f>
        <v>8.3781538382824827E-4</v>
      </c>
      <c r="FK4" s="30">
        <f>EXP((-FK1/12)/4)*2.5%</f>
        <v>8.2054145816658024E-4</v>
      </c>
      <c r="FL4" s="30">
        <f>EXP((-FL1/12)/4)*2.5%</f>
        <v>8.036236831719017E-4</v>
      </c>
      <c r="FM4" s="30">
        <f>EXP((-FM1/12)/4)*2.5%</f>
        <v>7.8705471579434245E-4</v>
      </c>
      <c r="FN4" s="30">
        <f>EXP((-FN1/12)/4)*2.5%</f>
        <v>7.7082736438170273E-4</v>
      </c>
      <c r="FO4" s="30">
        <f>EXP((-FO1/12)/4)*2.5%</f>
        <v>7.5493458555796254E-4</v>
      </c>
      <c r="FP4" s="30">
        <f>EXP((-FP1/12)/4)*2.5%</f>
        <v>7.3936948116615307E-4</v>
      </c>
      <c r="FQ4" s="30">
        <f>EXP((-FQ1/12)/4)*2.5%</f>
        <v>7.2412529527425443E-4</v>
      </c>
      <c r="FR4" s="30">
        <f>EXP((-FR1/12)/4)*2.5%</f>
        <v>7.0919541124282758E-4</v>
      </c>
      <c r="FS4" s="30">
        <f>EXP((-FS1/12)/4)*2.5%</f>
        <v>6.9457334885310632E-4</v>
      </c>
      <c r="FT4" s="30">
        <f>EXP((-FT1/12)/4)*2.5%</f>
        <v>6.8025276149429991E-4</v>
      </c>
      <c r="FU4" s="30">
        <f>EXP((-FU1/12)/4)*2.5%</f>
        <v>6.6622743340888715E-4</v>
      </c>
      <c r="FV4" s="30">
        <f>EXP((-FV1/12)/4)*2.5%</f>
        <v>6.5249127699470945E-4</v>
      </c>
      <c r="FW4" s="30">
        <f>EXP((-FW1/12)/4)*2.5%</f>
        <v>6.3903833016268514E-4</v>
      </c>
      <c r="FX4" s="30">
        <f>EXP((-FX1/12)/4)*2.5%</f>
        <v>6.2586275374900378E-4</v>
      </c>
      <c r="FY4" s="30">
        <f>EXP((-FY1/12)/4)*2.5%</f>
        <v>6.1295882898067602E-4</v>
      </c>
      <c r="FZ4" s="30">
        <f>EXP((-FZ1/12)/4)*2.5%</f>
        <v>6.0032095499333712E-4</v>
      </c>
      <c r="GA4" s="30">
        <f>EXP((-GA1/12)/4)*2.5%</f>
        <v>5.8794364640022767E-4</v>
      </c>
      <c r="GB4" s="30">
        <f>EXP((-GB1/12)/4)*2.5%</f>
        <v>5.7582153091129834E-4</v>
      </c>
      <c r="GC4" s="30">
        <f>EXP((-GC1/12)/4)*2.5%</f>
        <v>5.6394934700140168E-4</v>
      </c>
      <c r="GD4" s="30">
        <f>EXP((-GD1/12)/4)*2.5%</f>
        <v>5.5232194162656105E-4</v>
      </c>
      <c r="GE4" s="30">
        <f>EXP((-GE1/12)/4)*2.5%</f>
        <v>5.4093426798732728E-4</v>
      </c>
      <c r="GF4" s="30">
        <f>EXP((-GF1/12)/4)*2.5%</f>
        <v>5.2978138333824635E-4</v>
      </c>
      <c r="GG4" s="30">
        <f>EXP((-GG1/12)/4)*2.5%</f>
        <v>5.1885844684249353E-4</v>
      </c>
      <c r="GH4" s="30">
        <f>EXP((-GH1/12)/4)*2.5%</f>
        <v>5.081607174707406E-4</v>
      </c>
      <c r="GI4" s="30">
        <f>EXP((-GI1/12)/4)*2.5%</f>
        <v>4.9768355194334212E-4</v>
      </c>
      <c r="GJ4" s="30">
        <f>EXP((-GJ1/12)/4)*2.5%</f>
        <v>4.8742240271494987E-4</v>
      </c>
      <c r="GK4" s="30">
        <f>EXP((-GK1/12)/4)*2.5%</f>
        <v>4.7737281600068173E-4</v>
      </c>
      <c r="GL4" s="30">
        <f>EXP((-GL1/12)/4)*2.5%</f>
        <v>4.6753042984298463E-4</v>
      </c>
      <c r="GM4" s="30">
        <f>EXP((-GM1/12)/4)*2.5%</f>
        <v>4.5789097221835451E-4</v>
      </c>
      <c r="GN4" s="30">
        <f>EXP((-GN1/12)/4)*2.5%</f>
        <v>4.4845025918309451E-4</v>
      </c>
      <c r="GO4" s="30">
        <f>EXP((-GO1/12)/4)*2.5%</f>
        <v>4.3920419305729878E-4</v>
      </c>
      <c r="GP4" s="30">
        <f>EXP((-GP1/12)/4)*2.5%</f>
        <v>4.3014876064628461E-4</v>
      </c>
      <c r="GQ4" s="30">
        <f>EXP((-GQ1/12)/4)*2.5%</f>
        <v>4.2128003149868778E-4</v>
      </c>
      <c r="GR4" s="30">
        <f>EXP((-GR1/12)/4)*2.5%</f>
        <v>4.1259415620047824E-4</v>
      </c>
      <c r="GS4" s="30">
        <f>EXP((-GS1/12)/4)*2.5%</f>
        <v>4.040873647041469E-4</v>
      </c>
      <c r="GT4" s="30">
        <f>EXP((-GT1/12)/4)*2.5%</f>
        <v>3.9575596469233992E-4</v>
      </c>
      <c r="GU4" s="30">
        <f>EXP((-GU1/12)/4)*2.5%</f>
        <v>3.875963399752329E-4</v>
      </c>
      <c r="GV4" s="30">
        <f>EXP((-GV1/12)/4)*2.5%</f>
        <v>3.7960494892094867E-4</v>
      </c>
      <c r="GW4" s="30">
        <f>EXP((-GW1/12)/4)*2.5%</f>
        <v>3.7177832291833282E-4</v>
      </c>
      <c r="GX4" s="30">
        <f>EXP((-GX1/12)/4)*2.5%</f>
        <v>3.6411306487142675E-4</v>
      </c>
      <c r="GY4" s="30">
        <f>EXP((-GY1/12)/4)*2.5%</f>
        <v>3.5660584772498143E-4</v>
      </c>
      <c r="GZ4" s="30">
        <f>EXP((-GZ1/12)/4)*2.5%</f>
        <v>3.4925341302036845E-4</v>
      </c>
      <c r="HA4" s="30">
        <f>EXP((-HA1/12)/4)*2.5%</f>
        <v>3.4205256948126881E-4</v>
      </c>
      <c r="HB4" s="30">
        <f>EXP((-HB1/12)/4)*2.5%</f>
        <v>3.3500019162852073E-4</v>
      </c>
      <c r="HC4" s="30">
        <f>EXP((-HC1/12)/4)*2.5%</f>
        <v>3.2809321842352423E-4</v>
      </c>
      <c r="HD4" s="30">
        <f>EXP((-HD1/12)/4)*2.5%</f>
        <v>3.2132865193961797E-4</v>
      </c>
      <c r="HE4" s="30">
        <f>EXP((-HE1/12)/4)*2.5%</f>
        <v>3.1470355606084998E-4</v>
      </c>
      <c r="HF4" s="30">
        <f>EXP((-HF1/12)/4)*2.5%</f>
        <v>3.0821505520757357E-4</v>
      </c>
      <c r="HG4" s="30">
        <f>EXP((-HG1/12)/4)*2.5%</f>
        <v>3.0186033308832183E-4</v>
      </c>
      <c r="HH4" s="30">
        <f>EXP((-HH1/12)/4)*2.5%</f>
        <v>2.9563663147741544E-4</v>
      </c>
      <c r="HI4" s="30">
        <f>EXP((-HI1/12)/4)*2.5%</f>
        <v>2.8954124901777118E-4</v>
      </c>
      <c r="HJ4" s="30">
        <f>EXP((-HJ1/12)/4)*2.5%</f>
        <v>2.835715400483964E-4</v>
      </c>
      <c r="HK4" s="30">
        <f>EXP((-HK1/12)/4)*2.5%</f>
        <v>2.7772491345605767E-4</v>
      </c>
      <c r="HL4" s="30">
        <f>EXP((-HL1/12)/4)*2.5%</f>
        <v>2.7199883155062374E-4</v>
      </c>
      <c r="HM4" s="30">
        <f>EXP((-HM1/12)/4)*2.5%</f>
        <v>2.6639080896359829E-4</v>
      </c>
      <c r="HN4" s="30">
        <f>EXP((-HN1/12)/4)*2.5%</f>
        <v>2.608984115693626E-4</v>
      </c>
      <c r="HO4" s="30">
        <f>EXP((-HO1/12)/4)*2.5%</f>
        <v>2.555192554286581E-4</v>
      </c>
      <c r="HP4" s="30">
        <f>EXP((-HP1/12)/4)*2.5%</f>
        <v>2.5025100575385339E-4</v>
      </c>
      <c r="HQ4" s="30">
        <f>EXP((-HQ1/12)/4)*2.5%</f>
        <v>2.4509137589554572E-4</v>
      </c>
      <c r="HR4" s="30">
        <f>EXP((-HR1/12)/4)*2.5%</f>
        <v>2.4003812635005459E-4</v>
      </c>
      <c r="HS4" s="30">
        <f>EXP((-HS1/12)/4)*2.5%</f>
        <v>2.3508906378738017E-4</v>
      </c>
      <c r="HT4" s="30">
        <f>EXP((-HT1/12)/4)*2.5%</f>
        <v>2.3024204009920352E-4</v>
      </c>
      <c r="HU4" s="30">
        <f>EXP((-HU1/12)/4)*2.5%</f>
        <v>2.2549495146651283E-4</v>
      </c>
      <c r="HV4" s="30">
        <f>EXP((-HV1/12)/4)*2.5%</f>
        <v>2.2084573744645536E-4</v>
      </c>
      <c r="HW4" s="30">
        <f>EXP((-HW1/12)/4)*2.5%</f>
        <v>2.1629238007801586E-4</v>
      </c>
      <c r="HX4" s="30">
        <f>EXP((-HX1/12)/4)*2.5%</f>
        <v>2.1183290300613294E-4</v>
      </c>
      <c r="HY4" s="30">
        <f>EXP((-HY1/12)/4)*2.5%</f>
        <v>2.0746537062387533E-4</v>
      </c>
      <c r="HZ4" s="30">
        <f>EXP((-HZ1/12)/4)*2.5%</f>
        <v>2.0318788723230528E-4</v>
      </c>
      <c r="IA4" s="30">
        <f>EXP((-IA1/12)/4)*2.5%</f>
        <v>1.9899859621766124E-4</v>
      </c>
      <c r="IB4" s="30">
        <f>EXP((-IB1/12)/4)*2.5%</f>
        <v>1.9489567924550766E-4</v>
      </c>
      <c r="IC4" s="30">
        <f>EXP((-IC1/12)/4)*2.5%</f>
        <v>1.9087735547149905E-4</v>
      </c>
      <c r="ID4" s="30">
        <f>EXP((-ID1/12)/4)*2.5%</f>
        <v>1.8694188076841533E-4</v>
      </c>
      <c r="IE4" s="30">
        <f>EXP((-IE1/12)/4)*2.5%</f>
        <v>1.830875469691351E-4</v>
      </c>
      <c r="IF4" s="30">
        <f>EXP((-IF1/12)/4)*2.5%</f>
        <v>1.7931268112521747E-4</v>
      </c>
      <c r="IG4" s="30">
        <f>EXP((-IG1/12)/4)*2.5%</f>
        <v>1.7561564478076866E-4</v>
      </c>
      <c r="IH4" s="30">
        <f>EXP((-IH1/12)/4)*2.5%</f>
        <v>1.7199483326128134E-4</v>
      </c>
      <c r="II4" s="30">
        <f>EXP((-II1/12)/4)*2.5%</f>
        <v>1.6844867497713668E-4</v>
      </c>
    </row>
    <row r="5" spans="1:243" x14ac:dyDescent="0.3">
      <c r="A5" s="2" t="s">
        <v>64</v>
      </c>
      <c r="B5" s="2" t="s">
        <v>63</v>
      </c>
      <c r="C5" s="2" t="s">
        <v>66</v>
      </c>
      <c r="D5" s="31">
        <f>-D4</f>
        <v>-2.4484554533281005E-2</v>
      </c>
      <c r="E5" s="31">
        <f t="shared" ref="E5:BP5" si="0">-E4</f>
        <v>-2.3979736427728455E-2</v>
      </c>
      <c r="F5" s="31">
        <f t="shared" si="0"/>
        <v>-2.3485326570336897E-2</v>
      </c>
      <c r="G5" s="31">
        <f t="shared" si="0"/>
        <v>-2.3001110365733084E-2</v>
      </c>
      <c r="H5" s="31">
        <f t="shared" si="0"/>
        <v>-2.2526877643032267E-2</v>
      </c>
      <c r="I5" s="31">
        <f t="shared" si="0"/>
        <v>-2.2062422564614888E-2</v>
      </c>
      <c r="J5" s="31">
        <f t="shared" si="0"/>
        <v>-2.16075435367841E-2</v>
      </c>
      <c r="K5" s="31">
        <f t="shared" si="0"/>
        <v>-2.1162043122265356E-2</v>
      </c>
      <c r="L5" s="31">
        <f t="shared" si="0"/>
        <v>-2.0725727954510012E-2</v>
      </c>
      <c r="M5" s="31">
        <f t="shared" si="0"/>
        <v>-2.0298408653765875E-2</v>
      </c>
      <c r="N5" s="31">
        <f t="shared" si="0"/>
        <v>-1.9879899744878145E-2</v>
      </c>
      <c r="O5" s="31">
        <f t="shared" si="0"/>
        <v>-1.9470019576785125E-2</v>
      </c>
      <c r="P5" s="31">
        <f t="shared" si="0"/>
        <v>-1.9068590243673765E-2</v>
      </c>
      <c r="Q5" s="31">
        <f t="shared" si="0"/>
        <v>-1.8675437507760816E-2</v>
      </c>
      <c r="R5" s="31">
        <f t="shared" si="0"/>
        <v>-1.8290390723666044E-2</v>
      </c>
      <c r="S5" s="31">
        <f t="shared" si="0"/>
        <v>-1.7913282764344732E-2</v>
      </c>
      <c r="T5" s="31">
        <f t="shared" si="0"/>
        <v>-1.7543949948547251E-2</v>
      </c>
      <c r="U5" s="31">
        <f t="shared" si="0"/>
        <v>-1.7182231969774305E-2</v>
      </c>
      <c r="V5" s="31">
        <f t="shared" si="0"/>
        <v>-1.682797182669693E-2</v>
      </c>
      <c r="W5" s="31">
        <f t="shared" si="0"/>
        <v>-1.6481015755011093E-2</v>
      </c>
      <c r="X5" s="31">
        <f t="shared" si="0"/>
        <v>-1.6141213160697301E-2</v>
      </c>
      <c r="Y5" s="31">
        <f t="shared" si="0"/>
        <v>-1.5808416554656243E-2</v>
      </c>
      <c r="Z5" s="31">
        <f t="shared" si="0"/>
        <v>-1.5482481488692121E-2</v>
      </c>
      <c r="AA5" s="31">
        <f t="shared" si="0"/>
        <v>-1.5163266492815837E-2</v>
      </c>
      <c r="AB5" s="31">
        <f t="shared" si="0"/>
        <v>-1.4850633013840875E-2</v>
      </c>
      <c r="AC5" s="31">
        <f t="shared" si="0"/>
        <v>-1.454444535524521E-2</v>
      </c>
      <c r="AD5" s="31">
        <f t="shared" si="0"/>
        <v>-1.4244570618273077E-2</v>
      </c>
      <c r="AE5" s="31">
        <f t="shared" si="0"/>
        <v>-1.3950878644251178E-2</v>
      </c>
      <c r="AF5" s="31">
        <f t="shared" si="0"/>
        <v>-1.3663241958094133E-2</v>
      </c>
      <c r="AG5" s="31">
        <f t="shared" si="0"/>
        <v>-1.3381535712974757E-2</v>
      </c>
      <c r="AH5" s="31">
        <f t="shared" si="0"/>
        <v>-1.310563763613511E-2</v>
      </c>
      <c r="AI5" s="31">
        <f t="shared" si="0"/>
        <v>-1.28354279758148E-2</v>
      </c>
      <c r="AJ5" s="31">
        <f t="shared" si="0"/>
        <v>-1.2570789449273524E-2</v>
      </c>
      <c r="AK5" s="31">
        <f t="shared" si="0"/>
        <v>-1.2311607191885244E-2</v>
      </c>
      <c r="AL5" s="31">
        <f t="shared" si="0"/>
        <v>-1.2057768707281955E-2</v>
      </c>
      <c r="AM5" s="31">
        <f t="shared" si="0"/>
        <v>-1.1809163818525368E-2</v>
      </c>
      <c r="AN5" s="31">
        <f t="shared" si="0"/>
        <v>-1.1565684620285331E-2</v>
      </c>
      <c r="AO5" s="31">
        <f t="shared" si="0"/>
        <v>-1.1327225432004226E-2</v>
      </c>
      <c r="AP5" s="31">
        <f t="shared" si="0"/>
        <v>-1.1093682752026997E-2</v>
      </c>
      <c r="AQ5" s="31">
        <f t="shared" si="0"/>
        <v>-1.0864955212676955E-2</v>
      </c>
      <c r="AR5" s="31">
        <f t="shared" si="0"/>
        <v>-1.0640943536257786E-2</v>
      </c>
      <c r="AS5" s="31">
        <f t="shared" si="0"/>
        <v>-1.042155049196271E-2</v>
      </c>
      <c r="AT5" s="31">
        <f t="shared" si="0"/>
        <v>-1.0206680853672099E-2</v>
      </c>
      <c r="AU5" s="31">
        <f t="shared" si="0"/>
        <v>-9.9962413586211843E-3</v>
      </c>
      <c r="AV5" s="31">
        <f t="shared" si="0"/>
        <v>-9.7901406669199751E-3</v>
      </c>
      <c r="AW5" s="31">
        <f t="shared" si="0"/>
        <v>-9.5882893219077676E-3</v>
      </c>
      <c r="AX5" s="31">
        <f t="shared" si="0"/>
        <v>-9.3905997113250678E-3</v>
      </c>
      <c r="AY5" s="31">
        <f t="shared" si="0"/>
        <v>-9.1969860292860587E-3</v>
      </c>
      <c r="AZ5" s="31">
        <f t="shared" si="0"/>
        <v>-9.0073642390351219E-3</v>
      </c>
      <c r="BA5" s="31">
        <f t="shared" si="0"/>
        <v>-8.8216520364712229E-3</v>
      </c>
      <c r="BB5" s="31">
        <f t="shared" si="0"/>
        <v>-8.6397688144243638E-3</v>
      </c>
      <c r="BC5" s="31">
        <f t="shared" si="0"/>
        <v>-8.4616356276685564E-3</v>
      </c>
      <c r="BD5" s="31">
        <f t="shared" si="0"/>
        <v>-8.2871751586561671E-3</v>
      </c>
      <c r="BE5" s="31">
        <f t="shared" si="0"/>
        <v>-8.1163116839587431E-3</v>
      </c>
      <c r="BF5" s="31">
        <f t="shared" si="0"/>
        <v>-7.9489710413997456E-3</v>
      </c>
      <c r="BG5" s="31">
        <f t="shared" si="0"/>
        <v>-7.7850805978649422E-3</v>
      </c>
      <c r="BH5" s="31">
        <f t="shared" si="0"/>
        <v>-7.6245692177764821E-3</v>
      </c>
      <c r="BI5" s="31">
        <f t="shared" si="0"/>
        <v>-7.46736723221696E-3</v>
      </c>
      <c r="BJ5" s="31">
        <f t="shared" si="0"/>
        <v>-7.3134064086900694E-3</v>
      </c>
      <c r="BK5" s="31">
        <f t="shared" si="0"/>
        <v>-7.162619921504753E-3</v>
      </c>
      <c r="BL5" s="31">
        <f t="shared" si="0"/>
        <v>-7.0149423227699216E-3</v>
      </c>
      <c r="BM5" s="31">
        <f t="shared" si="0"/>
        <v>-6.8703095139872414E-3</v>
      </c>
      <c r="BN5" s="31">
        <f t="shared" si="0"/>
        <v>-6.7286587182295967E-3</v>
      </c>
      <c r="BO5" s="31">
        <f t="shared" si="0"/>
        <v>-6.5899284528931693E-3</v>
      </c>
      <c r="BP5" s="31">
        <f t="shared" si="0"/>
        <v>-6.4540585030113161E-3</v>
      </c>
      <c r="BQ5" s="31">
        <f t="shared" ref="BQ5:EB5" si="1">-BQ4</f>
        <v>-6.3209898951186623E-3</v>
      </c>
      <c r="BR5" s="31">
        <f t="shared" si="1"/>
        <v>-6.1906648716540426E-3</v>
      </c>
      <c r="BS5" s="31">
        <f t="shared" si="1"/>
        <v>-6.0630268658912172E-3</v>
      </c>
      <c r="BT5" s="31">
        <f t="shared" si="1"/>
        <v>-5.9380204773864537E-3</v>
      </c>
      <c r="BU5" s="31">
        <f t="shared" si="1"/>
        <v>-5.8155914479323181E-3</v>
      </c>
      <c r="BV5" s="31">
        <f t="shared" si="1"/>
        <v>-5.6956866380072574E-3</v>
      </c>
      <c r="BW5" s="31">
        <f t="shared" si="1"/>
        <v>-5.5782540037107456E-3</v>
      </c>
      <c r="BX5" s="31">
        <f t="shared" si="1"/>
        <v>-5.463242574173955E-3</v>
      </c>
      <c r="BY5" s="31">
        <f t="shared" si="1"/>
        <v>-5.3506024294361866E-3</v>
      </c>
      <c r="BZ5" s="31">
        <f t="shared" si="1"/>
        <v>-5.2402846787774453E-3</v>
      </c>
      <c r="CA5" s="31">
        <f t="shared" si="1"/>
        <v>-5.1322414394977325E-3</v>
      </c>
      <c r="CB5" s="31">
        <f t="shared" si="1"/>
        <v>-5.0264258161338725E-3</v>
      </c>
      <c r="CC5" s="31">
        <f t="shared" si="1"/>
        <v>-4.922791880104852E-3</v>
      </c>
      <c r="CD5" s="31">
        <f t="shared" si="1"/>
        <v>-4.8212946497768064E-3</v>
      </c>
      <c r="CE5" s="31">
        <f t="shared" si="1"/>
        <v>-4.7218900709390457E-3</v>
      </c>
      <c r="CF5" s="31">
        <f t="shared" si="1"/>
        <v>-4.6245349976826071E-3</v>
      </c>
      <c r="CG5" s="31">
        <f t="shared" si="1"/>
        <v>-4.5291871736730539E-3</v>
      </c>
      <c r="CH5" s="31">
        <f t="shared" si="1"/>
        <v>-4.4358052138093896E-3</v>
      </c>
      <c r="CI5" s="31">
        <f t="shared" si="1"/>
        <v>-4.3443485862611287E-3</v>
      </c>
      <c r="CJ5" s="31">
        <f t="shared" si="1"/>
        <v>-4.2547775948757133E-3</v>
      </c>
      <c r="CK5" s="31">
        <f t="shared" si="1"/>
        <v>-4.1670533619486633E-3</v>
      </c>
      <c r="CL5" s="31">
        <f t="shared" si="1"/>
        <v>-4.0811378113489605E-3</v>
      </c>
      <c r="CM5" s="31">
        <f t="shared" si="1"/>
        <v>-3.996993651992348E-3</v>
      </c>
      <c r="CN5" s="31">
        <f t="shared" si="1"/>
        <v>-3.9145843616553849E-3</v>
      </c>
      <c r="CO5" s="31">
        <f t="shared" si="1"/>
        <v>-3.8338741711232121E-3</v>
      </c>
      <c r="CP5" s="31">
        <f t="shared" si="1"/>
        <v>-3.7548280486641517E-3</v>
      </c>
      <c r="CQ5" s="31">
        <f t="shared" si="1"/>
        <v>-3.67741168482442E-3</v>
      </c>
      <c r="CR5" s="31">
        <f t="shared" si="1"/>
        <v>-3.601591477536332E-3</v>
      </c>
      <c r="CS5" s="31">
        <f t="shared" si="1"/>
        <v>-3.5273345175335378E-3</v>
      </c>
      <c r="CT5" s="31">
        <f t="shared" si="1"/>
        <v>-3.4546085740669733E-3</v>
      </c>
      <c r="CU5" s="31">
        <f t="shared" si="1"/>
        <v>-3.3833820809153177E-3</v>
      </c>
      <c r="CV5" s="31">
        <f t="shared" si="1"/>
        <v>-3.3136241226838733E-3</v>
      </c>
      <c r="CW5" s="31">
        <f t="shared" si="1"/>
        <v>-3.2453044213859501E-3</v>
      </c>
      <c r="CX5" s="31">
        <f t="shared" si="1"/>
        <v>-3.1783933233008898E-3</v>
      </c>
      <c r="CY5" s="31">
        <f t="shared" si="1"/>
        <v>-3.1128617861030743E-3</v>
      </c>
      <c r="CZ5" s="31">
        <f t="shared" si="1"/>
        <v>-3.0486813662562902E-3</v>
      </c>
      <c r="DA5" s="31">
        <f t="shared" si="1"/>
        <v>-2.9858242066679907E-3</v>
      </c>
      <c r="DB5" s="31">
        <f t="shared" si="1"/>
        <v>-2.9242630245981159E-3</v>
      </c>
      <c r="DC5" s="31">
        <f t="shared" si="1"/>
        <v>-2.8639710998171935E-3</v>
      </c>
      <c r="DD5" s="31">
        <f t="shared" si="1"/>
        <v>-2.8049222630085937E-3</v>
      </c>
      <c r="DE5" s="31">
        <f t="shared" si="1"/>
        <v>-2.7470908844099144E-3</v>
      </c>
      <c r="DF5" s="31">
        <f t="shared" si="1"/>
        <v>-2.6904518626885486E-3</v>
      </c>
      <c r="DG5" s="31">
        <f t="shared" si="1"/>
        <v>-2.6349806140466086E-3</v>
      </c>
      <c r="DH5" s="31">
        <f t="shared" si="1"/>
        <v>-2.5806530615504978E-3</v>
      </c>
      <c r="DI5" s="31">
        <f t="shared" si="1"/>
        <v>-2.5274456246804702E-3</v>
      </c>
      <c r="DJ5" s="31">
        <f t="shared" si="1"/>
        <v>-2.4753352090956578E-3</v>
      </c>
      <c r="DK5" s="31">
        <f t="shared" si="1"/>
        <v>-2.4242991966101266E-3</v>
      </c>
      <c r="DL5" s="31">
        <f t="shared" si="1"/>
        <v>-2.3743154353755994E-3</v>
      </c>
      <c r="DM5" s="31">
        <f t="shared" si="1"/>
        <v>-2.3253622302665876E-3</v>
      </c>
      <c r="DN5" s="31">
        <f t="shared" si="1"/>
        <v>-2.2774183334637677E-3</v>
      </c>
      <c r="DO5" s="31">
        <f t="shared" si="1"/>
        <v>-2.2304629352315028E-3</v>
      </c>
      <c r="DP5" s="31">
        <f t="shared" si="1"/>
        <v>-2.1844756548855099E-3</v>
      </c>
      <c r="DQ5" s="31">
        <f t="shared" si="1"/>
        <v>-2.1394365319467594E-3</v>
      </c>
      <c r="DR5" s="31">
        <f t="shared" si="1"/>
        <v>-2.0953260174777616E-3</v>
      </c>
      <c r="DS5" s="31">
        <f t="shared" si="1"/>
        <v>-2.0521249655974703E-3</v>
      </c>
      <c r="DT5" s="31">
        <f t="shared" si="1"/>
        <v>-2.0098146251711457E-3</v>
      </c>
      <c r="DU5" s="31">
        <f t="shared" si="1"/>
        <v>-1.9683766316715466E-3</v>
      </c>
      <c r="DV5" s="31">
        <f t="shared" si="1"/>
        <v>-1.927792999207918E-3</v>
      </c>
      <c r="DW5" s="31">
        <f t="shared" si="1"/>
        <v>-1.8880461127193443E-3</v>
      </c>
      <c r="DX5" s="31">
        <f t="shared" si="1"/>
        <v>-1.8491187203290402E-3</v>
      </c>
      <c r="DY5" s="31">
        <f t="shared" si="1"/>
        <v>-1.8109939258562865E-3</v>
      </c>
      <c r="DZ5" s="31">
        <f t="shared" si="1"/>
        <v>-1.773655181482756E-3</v>
      </c>
      <c r="EA5" s="31">
        <f t="shared" si="1"/>
        <v>-1.7370862805700387E-3</v>
      </c>
      <c r="EB5" s="31">
        <f t="shared" si="1"/>
        <v>-1.701271350625255E-3</v>
      </c>
      <c r="EC5" s="31">
        <f t="shared" ref="EC5:GN5" si="2">-EC4</f>
        <v>-1.6661948464117072E-3</v>
      </c>
      <c r="ED5" s="31">
        <f t="shared" si="2"/>
        <v>-1.6318415432015688E-3</v>
      </c>
      <c r="EE5" s="31">
        <f t="shared" si="2"/>
        <v>-1.5981965301676893E-3</v>
      </c>
      <c r="EF5" s="31">
        <f t="shared" si="2"/>
        <v>-1.5652452039116506E-3</v>
      </c>
      <c r="EG5" s="31">
        <f t="shared" si="2"/>
        <v>-1.5329732621252546E-3</v>
      </c>
      <c r="EH5" s="31">
        <f t="shared" si="2"/>
        <v>-1.5013666973826988E-3</v>
      </c>
      <c r="EI5" s="31">
        <f t="shared" si="2"/>
        <v>-1.4704117910607471E-3</v>
      </c>
      <c r="EJ5" s="31">
        <f t="shared" si="2"/>
        <v>-1.4400951073842505E-3</v>
      </c>
      <c r="EK5" s="31">
        <f t="shared" si="2"/>
        <v>-1.4104034875944338E-3</v>
      </c>
      <c r="EL5" s="31">
        <f t="shared" si="2"/>
        <v>-1.3813240442374251E-3</v>
      </c>
      <c r="EM5" s="31">
        <f t="shared" si="2"/>
        <v>-1.3528441555705404E-3</v>
      </c>
      <c r="EN5" s="31">
        <f t="shared" si="2"/>
        <v>-1.324951460083895E-3</v>
      </c>
      <c r="EO5" s="31">
        <f t="shared" si="2"/>
        <v>-1.2976338511349766E-3</v>
      </c>
      <c r="EP5" s="31">
        <f t="shared" si="2"/>
        <v>-1.2708794716938315E-3</v>
      </c>
      <c r="EQ5" s="31">
        <f t="shared" si="2"/>
        <v>-1.2446767091965987E-3</v>
      </c>
      <c r="ER5" s="31">
        <f t="shared" si="2"/>
        <v>-1.2190141905051542E-3</v>
      </c>
      <c r="ES5" s="31">
        <f t="shared" si="2"/>
        <v>-1.1938807769706742E-3</v>
      </c>
      <c r="ET5" s="31">
        <f t="shared" si="2"/>
        <v>-1.1692655595989746E-3</v>
      </c>
      <c r="EU5" s="31">
        <f t="shared" si="2"/>
        <v>-1.1451578543155369E-3</v>
      </c>
      <c r="EV5" s="31">
        <f t="shared" si="2"/>
        <v>-1.1215471973281532E-3</v>
      </c>
      <c r="EW5" s="31">
        <f t="shared" si="2"/>
        <v>-1.0984233405851856E-3</v>
      </c>
      <c r="EX5" s="31">
        <f t="shared" si="2"/>
        <v>-1.0757762473274665E-3</v>
      </c>
      <c r="EY5" s="31">
        <f t="shared" si="2"/>
        <v>-1.0535960877319102E-3</v>
      </c>
      <c r="EZ5" s="31">
        <f t="shared" si="2"/>
        <v>-1.0318732346449387E-3</v>
      </c>
      <c r="FA5" s="31">
        <f t="shared" si="2"/>
        <v>-1.0105982594038826E-3</v>
      </c>
      <c r="FB5" s="31">
        <f t="shared" si="2"/>
        <v>-9.8976192774452923E-4</v>
      </c>
      <c r="FC5" s="31">
        <f t="shared" si="2"/>
        <v>-9.6935519579305026E-4</v>
      </c>
      <c r="FD5" s="31">
        <f t="shared" si="2"/>
        <v>-9.4936920614056884E-4</v>
      </c>
      <c r="FE5" s="31">
        <f t="shared" si="2"/>
        <v>-9.2979528399865844E-4</v>
      </c>
      <c r="FF5" s="31">
        <f t="shared" si="2"/>
        <v>-9.106249334341059E-4</v>
      </c>
      <c r="FG5" s="31">
        <f t="shared" si="2"/>
        <v>-8.9184983368130986E-4</v>
      </c>
      <c r="FH5" s="31">
        <f t="shared" si="2"/>
        <v>-8.7346183553070524E-4</v>
      </c>
      <c r="FI5" s="31">
        <f t="shared" si="2"/>
        <v>-8.5545295779165082E-4</v>
      </c>
      <c r="FJ5" s="31">
        <f t="shared" si="2"/>
        <v>-8.3781538382824827E-4</v>
      </c>
      <c r="FK5" s="31">
        <f t="shared" si="2"/>
        <v>-8.2054145816658024E-4</v>
      </c>
      <c r="FL5" s="31">
        <f t="shared" si="2"/>
        <v>-8.036236831719017E-4</v>
      </c>
      <c r="FM5" s="31">
        <f t="shared" si="2"/>
        <v>-7.8705471579434245E-4</v>
      </c>
      <c r="FN5" s="31">
        <f t="shared" si="2"/>
        <v>-7.7082736438170273E-4</v>
      </c>
      <c r="FO5" s="31">
        <f t="shared" si="2"/>
        <v>-7.5493458555796254E-4</v>
      </c>
      <c r="FP5" s="31">
        <f t="shared" si="2"/>
        <v>-7.3936948116615307E-4</v>
      </c>
      <c r="FQ5" s="31">
        <f t="shared" si="2"/>
        <v>-7.2412529527425443E-4</v>
      </c>
      <c r="FR5" s="31">
        <f t="shared" si="2"/>
        <v>-7.0919541124282758E-4</v>
      </c>
      <c r="FS5" s="31">
        <f t="shared" si="2"/>
        <v>-6.9457334885310632E-4</v>
      </c>
      <c r="FT5" s="31">
        <f t="shared" si="2"/>
        <v>-6.8025276149429991E-4</v>
      </c>
      <c r="FU5" s="31">
        <f t="shared" si="2"/>
        <v>-6.6622743340888715E-4</v>
      </c>
      <c r="FV5" s="31">
        <f t="shared" si="2"/>
        <v>-6.5249127699470945E-4</v>
      </c>
      <c r="FW5" s="31">
        <f t="shared" si="2"/>
        <v>-6.3903833016268514E-4</v>
      </c>
      <c r="FX5" s="31">
        <f t="shared" si="2"/>
        <v>-6.2586275374900378E-4</v>
      </c>
      <c r="FY5" s="31">
        <f t="shared" si="2"/>
        <v>-6.1295882898067602E-4</v>
      </c>
      <c r="FZ5" s="31">
        <f t="shared" si="2"/>
        <v>-6.0032095499333712E-4</v>
      </c>
      <c r="GA5" s="31">
        <f t="shared" si="2"/>
        <v>-5.8794364640022767E-4</v>
      </c>
      <c r="GB5" s="31">
        <f t="shared" si="2"/>
        <v>-5.7582153091129834E-4</v>
      </c>
      <c r="GC5" s="31">
        <f t="shared" si="2"/>
        <v>-5.6394934700140168E-4</v>
      </c>
      <c r="GD5" s="31">
        <f t="shared" si="2"/>
        <v>-5.5232194162656105E-4</v>
      </c>
      <c r="GE5" s="31">
        <f t="shared" si="2"/>
        <v>-5.4093426798732728E-4</v>
      </c>
      <c r="GF5" s="31">
        <f t="shared" si="2"/>
        <v>-5.2978138333824635E-4</v>
      </c>
      <c r="GG5" s="31">
        <f t="shared" si="2"/>
        <v>-5.1885844684249353E-4</v>
      </c>
      <c r="GH5" s="31">
        <f t="shared" si="2"/>
        <v>-5.081607174707406E-4</v>
      </c>
      <c r="GI5" s="31">
        <f t="shared" si="2"/>
        <v>-4.9768355194334212E-4</v>
      </c>
      <c r="GJ5" s="31">
        <f t="shared" si="2"/>
        <v>-4.8742240271494987E-4</v>
      </c>
      <c r="GK5" s="31">
        <f t="shared" si="2"/>
        <v>-4.7737281600068173E-4</v>
      </c>
      <c r="GL5" s="31">
        <f t="shared" si="2"/>
        <v>-4.6753042984298463E-4</v>
      </c>
      <c r="GM5" s="31">
        <f t="shared" si="2"/>
        <v>-4.5789097221835451E-4</v>
      </c>
      <c r="GN5" s="31">
        <f t="shared" si="2"/>
        <v>-4.4845025918309451E-4</v>
      </c>
      <c r="GO5" s="31">
        <f t="shared" ref="GO5:II5" si="3">-GO4</f>
        <v>-4.3920419305729878E-4</v>
      </c>
      <c r="GP5" s="31">
        <f t="shared" si="3"/>
        <v>-4.3014876064628461E-4</v>
      </c>
      <c r="GQ5" s="31">
        <f t="shared" si="3"/>
        <v>-4.2128003149868778E-4</v>
      </c>
      <c r="GR5" s="31">
        <f t="shared" si="3"/>
        <v>-4.1259415620047824E-4</v>
      </c>
      <c r="GS5" s="31">
        <f t="shared" si="3"/>
        <v>-4.040873647041469E-4</v>
      </c>
      <c r="GT5" s="31">
        <f t="shared" si="3"/>
        <v>-3.9575596469233992E-4</v>
      </c>
      <c r="GU5" s="31">
        <f t="shared" si="3"/>
        <v>-3.875963399752329E-4</v>
      </c>
      <c r="GV5" s="31">
        <f t="shared" si="3"/>
        <v>-3.7960494892094867E-4</v>
      </c>
      <c r="GW5" s="31">
        <f t="shared" si="3"/>
        <v>-3.7177832291833282E-4</v>
      </c>
      <c r="GX5" s="31">
        <f t="shared" si="3"/>
        <v>-3.6411306487142675E-4</v>
      </c>
      <c r="GY5" s="31">
        <f t="shared" si="3"/>
        <v>-3.5660584772498143E-4</v>
      </c>
      <c r="GZ5" s="31">
        <f t="shared" si="3"/>
        <v>-3.4925341302036845E-4</v>
      </c>
      <c r="HA5" s="31">
        <f t="shared" si="3"/>
        <v>-3.4205256948126881E-4</v>
      </c>
      <c r="HB5" s="31">
        <f t="shared" si="3"/>
        <v>-3.3500019162852073E-4</v>
      </c>
      <c r="HC5" s="31">
        <f t="shared" si="3"/>
        <v>-3.2809321842352423E-4</v>
      </c>
      <c r="HD5" s="31">
        <f t="shared" si="3"/>
        <v>-3.2132865193961797E-4</v>
      </c>
      <c r="HE5" s="31">
        <f t="shared" si="3"/>
        <v>-3.1470355606084998E-4</v>
      </c>
      <c r="HF5" s="31">
        <f t="shared" si="3"/>
        <v>-3.0821505520757357E-4</v>
      </c>
      <c r="HG5" s="31">
        <f t="shared" si="3"/>
        <v>-3.0186033308832183E-4</v>
      </c>
      <c r="HH5" s="31">
        <f t="shared" si="3"/>
        <v>-2.9563663147741544E-4</v>
      </c>
      <c r="HI5" s="31">
        <f t="shared" si="3"/>
        <v>-2.8954124901777118E-4</v>
      </c>
      <c r="HJ5" s="31">
        <f t="shared" si="3"/>
        <v>-2.835715400483964E-4</v>
      </c>
      <c r="HK5" s="31">
        <f t="shared" si="3"/>
        <v>-2.7772491345605767E-4</v>
      </c>
      <c r="HL5" s="31">
        <f t="shared" si="3"/>
        <v>-2.7199883155062374E-4</v>
      </c>
      <c r="HM5" s="31">
        <f t="shared" si="3"/>
        <v>-2.6639080896359829E-4</v>
      </c>
      <c r="HN5" s="31">
        <f t="shared" si="3"/>
        <v>-2.608984115693626E-4</v>
      </c>
      <c r="HO5" s="31">
        <f t="shared" si="3"/>
        <v>-2.555192554286581E-4</v>
      </c>
      <c r="HP5" s="31">
        <f t="shared" si="3"/>
        <v>-2.5025100575385339E-4</v>
      </c>
      <c r="HQ5" s="31">
        <f t="shared" si="3"/>
        <v>-2.4509137589554572E-4</v>
      </c>
      <c r="HR5" s="31">
        <f t="shared" si="3"/>
        <v>-2.4003812635005459E-4</v>
      </c>
      <c r="HS5" s="31">
        <f t="shared" si="3"/>
        <v>-2.3508906378738017E-4</v>
      </c>
      <c r="HT5" s="31">
        <f t="shared" si="3"/>
        <v>-2.3024204009920352E-4</v>
      </c>
      <c r="HU5" s="31">
        <f t="shared" si="3"/>
        <v>-2.2549495146651283E-4</v>
      </c>
      <c r="HV5" s="31">
        <f t="shared" si="3"/>
        <v>-2.2084573744645536E-4</v>
      </c>
      <c r="HW5" s="31">
        <f t="shared" si="3"/>
        <v>-2.1629238007801586E-4</v>
      </c>
      <c r="HX5" s="31">
        <f t="shared" si="3"/>
        <v>-2.1183290300613294E-4</v>
      </c>
      <c r="HY5" s="31">
        <f t="shared" si="3"/>
        <v>-2.0746537062387533E-4</v>
      </c>
      <c r="HZ5" s="31">
        <f t="shared" si="3"/>
        <v>-2.0318788723230528E-4</v>
      </c>
      <c r="IA5" s="31">
        <f t="shared" si="3"/>
        <v>-1.9899859621766124E-4</v>
      </c>
      <c r="IB5" s="31">
        <f t="shared" si="3"/>
        <v>-1.9489567924550766E-4</v>
      </c>
      <c r="IC5" s="31">
        <f t="shared" si="3"/>
        <v>-1.9087735547149905E-4</v>
      </c>
      <c r="ID5" s="31">
        <f t="shared" si="3"/>
        <v>-1.8694188076841533E-4</v>
      </c>
      <c r="IE5" s="31">
        <f t="shared" si="3"/>
        <v>-1.830875469691351E-4</v>
      </c>
      <c r="IF5" s="31">
        <f t="shared" si="3"/>
        <v>-1.7931268112521747E-4</v>
      </c>
      <c r="IG5" s="31">
        <f t="shared" si="3"/>
        <v>-1.7561564478076866E-4</v>
      </c>
      <c r="IH5" s="31">
        <f t="shared" si="3"/>
        <v>-1.7199483326128134E-4</v>
      </c>
      <c r="II5" s="31">
        <f t="shared" si="3"/>
        <v>-1.6844867497713668E-4</v>
      </c>
    </row>
    <row r="6" spans="1:243" x14ac:dyDescent="0.3">
      <c r="A6" s="2" t="s">
        <v>64</v>
      </c>
      <c r="B6" s="2" t="s">
        <v>63</v>
      </c>
      <c r="C6" s="2" t="s">
        <v>67</v>
      </c>
      <c r="D6" s="30">
        <f>-0.65*EXP((-D1/12)/4)*2.5%+0.9*(1-EXP((-D1/12)/4))*1%</f>
        <v>-1.5729400078613814E-2</v>
      </c>
      <c r="E6" s="30">
        <f t="shared" ref="E6:BP6" si="4">-0.65*EXP((-E1/12)/4)*2.5%+0.9*(1-EXP((-E1/12)/4))*1%</f>
        <v>-1.5219533792005739E-2</v>
      </c>
      <c r="F6" s="30">
        <f t="shared" si="4"/>
        <v>-1.4720179836040265E-2</v>
      </c>
      <c r="G6" s="30">
        <f t="shared" si="4"/>
        <v>-1.4231121469390415E-2</v>
      </c>
      <c r="H6" s="30">
        <f t="shared" si="4"/>
        <v>-1.3752146419462588E-2</v>
      </c>
      <c r="I6" s="30">
        <f t="shared" si="4"/>
        <v>-1.3283046790261035E-2</v>
      </c>
      <c r="J6" s="30">
        <f t="shared" si="4"/>
        <v>-1.2823618972151941E-2</v>
      </c>
      <c r="K6" s="30">
        <f t="shared" si="4"/>
        <v>-1.2373663553488007E-2</v>
      </c>
      <c r="L6" s="30">
        <f t="shared" si="4"/>
        <v>-1.193298523405511E-2</v>
      </c>
      <c r="M6" s="30">
        <f t="shared" si="4"/>
        <v>-1.1501392740303531E-2</v>
      </c>
      <c r="N6" s="30">
        <f t="shared" si="4"/>
        <v>-1.1078698742326924E-2</v>
      </c>
      <c r="O6" s="30">
        <f t="shared" si="4"/>
        <v>-1.0664719772552976E-2</v>
      </c>
      <c r="P6" s="30">
        <f t="shared" si="4"/>
        <v>-1.0259276146110502E-2</v>
      </c>
      <c r="Q6" s="30">
        <f t="shared" si="4"/>
        <v>-9.8621918828384232E-3</v>
      </c>
      <c r="R6" s="30">
        <f t="shared" si="4"/>
        <v>-9.4732946309027052E-3</v>
      </c>
      <c r="S6" s="30">
        <f t="shared" si="4"/>
        <v>-9.0924155919881802E-3</v>
      </c>
      <c r="T6" s="30">
        <f t="shared" si="4"/>
        <v>-8.719389448032723E-3</v>
      </c>
      <c r="U6" s="30">
        <f t="shared" si="4"/>
        <v>-8.3540542894720484E-3</v>
      </c>
      <c r="V6" s="30">
        <f t="shared" si="4"/>
        <v>-7.9962515449638998E-3</v>
      </c>
      <c r="W6" s="30">
        <f t="shared" si="4"/>
        <v>-7.6458259125612056E-3</v>
      </c>
      <c r="X6" s="30">
        <f t="shared" si="4"/>
        <v>-7.3026252923042755E-3</v>
      </c>
      <c r="Y6" s="30">
        <f t="shared" si="4"/>
        <v>-6.9665007202028076E-3</v>
      </c>
      <c r="Z6" s="30">
        <f t="shared" si="4"/>
        <v>-6.6373063035790429E-3</v>
      </c>
      <c r="AA6" s="30">
        <f t="shared" si="4"/>
        <v>-6.3148991577439938E-3</v>
      </c>
      <c r="AB6" s="30">
        <f t="shared" si="4"/>
        <v>-5.9991393439792848E-3</v>
      </c>
      <c r="AC6" s="30">
        <f t="shared" si="4"/>
        <v>-5.6898898087976617E-3</v>
      </c>
      <c r="AD6" s="30">
        <f t="shared" si="4"/>
        <v>-5.3870163244558074E-3</v>
      </c>
      <c r="AE6" s="30">
        <f t="shared" si="4"/>
        <v>-5.0903874306936891E-3</v>
      </c>
      <c r="AF6" s="30">
        <f t="shared" si="4"/>
        <v>-4.7998743776750744E-3</v>
      </c>
      <c r="AG6" s="30">
        <f t="shared" si="4"/>
        <v>-4.5153510701045063E-3</v>
      </c>
      <c r="AH6" s="30">
        <f t="shared" si="4"/>
        <v>-4.2366940124964605E-3</v>
      </c>
      <c r="AI6" s="30">
        <f t="shared" si="4"/>
        <v>-3.9637822555729481E-3</v>
      </c>
      <c r="AJ6" s="30">
        <f t="shared" si="4"/>
        <v>-3.6964973437662585E-3</v>
      </c>
      <c r="AK6" s="30">
        <f t="shared" si="4"/>
        <v>-3.4347232638040947E-3</v>
      </c>
      <c r="AL6" s="30">
        <f t="shared" si="4"/>
        <v>-3.178346394354774E-3</v>
      </c>
      <c r="AM6" s="30">
        <f t="shared" si="4"/>
        <v>-2.9272554567106208E-3</v>
      </c>
      <c r="AN6" s="30">
        <f t="shared" si="4"/>
        <v>-2.6813414664881852E-3</v>
      </c>
      <c r="AO6" s="30">
        <f t="shared" si="4"/>
        <v>-2.4404976863242672E-3</v>
      </c>
      <c r="AP6" s="30">
        <f>-0.65*EXP((-AP1/12)/4)*2.5%+0.9*(1-EXP((-AP1/12)/4))*1%</f>
        <v>-2.2046195795472666E-3</v>
      </c>
      <c r="AQ6" s="30">
        <f t="shared" si="4"/>
        <v>-1.9736047648037259E-3</v>
      </c>
      <c r="AR6" s="30">
        <f t="shared" si="4"/>
        <v>-1.7473529716203638E-3</v>
      </c>
      <c r="AS6" s="30">
        <f t="shared" si="4"/>
        <v>-1.5257659968823363E-3</v>
      </c>
      <c r="AT6" s="30">
        <f t="shared" si="4"/>
        <v>-1.3087476622088198E-3</v>
      </c>
      <c r="AU6" s="30">
        <f t="shared" si="4"/>
        <v>-1.0962037722073957E-3</v>
      </c>
      <c r="AV6" s="30">
        <f t="shared" si="4"/>
        <v>-8.8804207358917503E-4</v>
      </c>
      <c r="AW6" s="30">
        <f t="shared" si="4"/>
        <v>-6.8417221512684454E-4</v>
      </c>
      <c r="AX6" s="30">
        <f t="shared" si="4"/>
        <v>-4.8450570843831895E-4</v>
      </c>
      <c r="AY6" s="30">
        <f t="shared" si="4"/>
        <v>-2.889558895789188E-4</v>
      </c>
      <c r="AZ6" s="30">
        <f t="shared" si="4"/>
        <v>-9.7437881425473105E-5</v>
      </c>
      <c r="BA6" s="30">
        <f t="shared" si="4"/>
        <v>9.0131443164065579E-5</v>
      </c>
      <c r="BB6" s="30">
        <f t="shared" si="4"/>
        <v>2.7383349743139232E-4</v>
      </c>
      <c r="BC6" s="30">
        <f t="shared" si="4"/>
        <v>4.5374801605475856E-4</v>
      </c>
      <c r="BD6" s="30">
        <f t="shared" si="4"/>
        <v>6.29953089757271E-4</v>
      </c>
      <c r="BE6" s="30">
        <f t="shared" si="4"/>
        <v>8.0252519920166916E-4</v>
      </c>
      <c r="BF6" s="30">
        <f t="shared" si="4"/>
        <v>9.7153924818625757E-4</v>
      </c>
      <c r="BG6" s="30">
        <f t="shared" si="4"/>
        <v>1.1370685961564096E-3</v>
      </c>
      <c r="BH6" s="30">
        <f t="shared" si="4"/>
        <v>1.2991850900457525E-3</v>
      </c>
      <c r="BI6" s="30">
        <f t="shared" si="4"/>
        <v>1.457959095460871E-3</v>
      </c>
      <c r="BJ6" s="30">
        <f t="shared" si="4"/>
        <v>1.6134595272230294E-3</v>
      </c>
      <c r="BK6" s="30">
        <f>-0.65*EXP((-BK1/12)/4)*2.5%+0.9*(1-EXP((-BK1/12)/4))*1%</f>
        <v>1.7657538792801991E-3</v>
      </c>
      <c r="BL6" s="30">
        <f t="shared" si="4"/>
        <v>1.9149082540023798E-3</v>
      </c>
      <c r="BM6" s="30">
        <f t="shared" si="4"/>
        <v>2.0609873908728864E-3</v>
      </c>
      <c r="BN6" s="30">
        <f t="shared" si="4"/>
        <v>2.2040546945881071E-3</v>
      </c>
      <c r="BO6" s="30">
        <f t="shared" si="4"/>
        <v>2.3441722625778989E-3</v>
      </c>
      <c r="BP6" s="30">
        <f t="shared" si="4"/>
        <v>2.4814009119585702E-3</v>
      </c>
      <c r="BQ6" s="30">
        <f t="shared" ref="BQ6:CV6" si="5">-0.65*EXP((-BQ1/12)/4)*2.5%+0.9*(1-EXP((-BQ1/12)/4))*1%</f>
        <v>2.615800205930152E-3</v>
      </c>
      <c r="BR6" s="30">
        <f t="shared" si="5"/>
        <v>2.7474284796294175E-3</v>
      </c>
      <c r="BS6" s="30">
        <f t="shared" si="5"/>
        <v>2.8763428654498711E-3</v>
      </c>
      <c r="BT6" s="30">
        <f t="shared" si="5"/>
        <v>3.0025993178396829E-3</v>
      </c>
      <c r="BU6" s="30">
        <f t="shared" si="5"/>
        <v>3.1262526375883592E-3</v>
      </c>
      <c r="BV6" s="30">
        <f t="shared" si="5"/>
        <v>3.2473564956126701E-3</v>
      </c>
      <c r="BW6" s="30">
        <f t="shared" si="5"/>
        <v>3.3659634562521468E-3</v>
      </c>
      <c r="BX6" s="30">
        <f t="shared" si="5"/>
        <v>3.4821250000843067E-3</v>
      </c>
      <c r="BY6" s="30">
        <f t="shared" si="5"/>
        <v>3.5958915462694523E-3</v>
      </c>
      <c r="BZ6" s="30">
        <f t="shared" si="5"/>
        <v>3.7073124744347792E-3</v>
      </c>
      <c r="CA6" s="30">
        <f t="shared" si="5"/>
        <v>3.8164361461072915E-3</v>
      </c>
      <c r="CB6" s="30">
        <f t="shared" si="5"/>
        <v>3.9233099257047896E-3</v>
      </c>
      <c r="CC6" s="30">
        <f t="shared" si="5"/>
        <v>4.0279802010941002E-3</v>
      </c>
      <c r="CD6" s="30">
        <f t="shared" si="5"/>
        <v>4.1304924037254259E-3</v>
      </c>
      <c r="CE6" s="30">
        <f t="shared" si="5"/>
        <v>4.2308910283515647E-3</v>
      </c>
      <c r="CF6" s="30">
        <f t="shared" si="5"/>
        <v>4.3292196523405675E-3</v>
      </c>
      <c r="CG6" s="30">
        <f t="shared" si="5"/>
        <v>4.4255209545902164E-3</v>
      </c>
      <c r="CH6" s="30">
        <f t="shared" si="5"/>
        <v>4.5198367340525169E-3</v>
      </c>
      <c r="CI6" s="30">
        <f t="shared" si="5"/>
        <v>4.6122079278762594E-3</v>
      </c>
      <c r="CJ6" s="30">
        <f t="shared" si="5"/>
        <v>4.7026746291755298E-3</v>
      </c>
      <c r="CK6" s="30">
        <f t="shared" si="5"/>
        <v>4.79127610443185E-3</v>
      </c>
      <c r="CL6" s="30">
        <f t="shared" si="5"/>
        <v>4.8780508105375504E-3</v>
      </c>
      <c r="CM6" s="30">
        <f t="shared" si="5"/>
        <v>4.963036411487729E-3</v>
      </c>
      <c r="CN6" s="30">
        <f t="shared" si="5"/>
        <v>5.0462697947280611E-3</v>
      </c>
      <c r="CO6" s="30">
        <f t="shared" si="5"/>
        <v>5.1277870871655569E-3</v>
      </c>
      <c r="CP6" s="30">
        <f t="shared" si="5"/>
        <v>5.2076236708492058E-3</v>
      </c>
      <c r="CQ6" s="30">
        <f t="shared" si="5"/>
        <v>5.2858141983273361E-3</v>
      </c>
      <c r="CR6" s="30">
        <f t="shared" si="5"/>
        <v>5.3623926076883047E-3</v>
      </c>
      <c r="CS6" s="30">
        <f t="shared" si="5"/>
        <v>5.4373921372911273E-3</v>
      </c>
      <c r="CT6" s="30">
        <f t="shared" si="5"/>
        <v>5.5108453401923573E-3</v>
      </c>
      <c r="CU6" s="30">
        <f t="shared" si="5"/>
        <v>5.5827840982755304E-3</v>
      </c>
      <c r="CV6" s="30">
        <f t="shared" si="5"/>
        <v>5.653239636089288E-3</v>
      </c>
      <c r="CW6" s="30">
        <f>-0.65*EXP((-CW1/12)/4)*2.5%+0.9*(1-EXP((-CW1/12)/4))*1%</f>
        <v>5.7222425344001905E-3</v>
      </c>
      <c r="CX6" s="30">
        <f>-0.65*EXP((-CX1/12)/4)*2.5%+0.9*(1-EXP((-CX1/12)/4))*1%</f>
        <v>5.7898227434661012E-3</v>
      </c>
      <c r="CY6" s="30">
        <f t="shared" ref="CY6:FJ6" si="6">-0.65*EXP((-CY1/12)/4)*2.5%+0.9*(1-EXP((-CY1/12)/4))*1%</f>
        <v>5.8560095960358948E-3</v>
      </c>
      <c r="CZ6" s="30">
        <f t="shared" si="6"/>
        <v>5.9208318200811468E-3</v>
      </c>
      <c r="DA6" s="30">
        <f t="shared" si="6"/>
        <v>5.9843175512653288E-3</v>
      </c>
      <c r="DB6" s="30">
        <f t="shared" si="6"/>
        <v>6.0464943451559025E-3</v>
      </c>
      <c r="DC6" s="30">
        <f t="shared" si="6"/>
        <v>6.1073891891846354E-3</v>
      </c>
      <c r="DD6" s="30">
        <f t="shared" si="6"/>
        <v>6.1670285143613215E-3</v>
      </c>
      <c r="DE6" s="30">
        <f t="shared" si="6"/>
        <v>6.2254382067459873E-3</v>
      </c>
      <c r="DF6" s="30">
        <f t="shared" si="6"/>
        <v>6.2826436186845663E-3</v>
      </c>
      <c r="DG6" s="30">
        <f t="shared" si="6"/>
        <v>6.338669579812925E-3</v>
      </c>
      <c r="DH6" s="30">
        <f t="shared" si="6"/>
        <v>6.393540407833998E-3</v>
      </c>
      <c r="DI6" s="30">
        <f t="shared" si="6"/>
        <v>6.4472799190727261E-3</v>
      </c>
      <c r="DJ6" s="30">
        <f t="shared" si="6"/>
        <v>6.4999114388133864E-3</v>
      </c>
      <c r="DK6" s="30">
        <f t="shared" si="6"/>
        <v>6.551457811423772E-3</v>
      </c>
      <c r="DL6" s="30">
        <f t="shared" si="6"/>
        <v>6.6019414102706448E-3</v>
      </c>
      <c r="DM6" s="30">
        <f t="shared" si="6"/>
        <v>6.6513841474307471E-3</v>
      </c>
      <c r="DN6" s="30">
        <f t="shared" si="6"/>
        <v>6.6998074832015954E-3</v>
      </c>
      <c r="DO6" s="30">
        <f t="shared" si="6"/>
        <v>6.747232435416182E-3</v>
      </c>
      <c r="DP6" s="30">
        <f t="shared" si="6"/>
        <v>6.793679588565635E-3</v>
      </c>
      <c r="DQ6" s="30">
        <f t="shared" si="6"/>
        <v>6.8391691027337729E-3</v>
      </c>
      <c r="DR6" s="30">
        <f t="shared" si="6"/>
        <v>6.8837207223474599E-3</v>
      </c>
      <c r="DS6" s="30">
        <f t="shared" si="6"/>
        <v>6.9273537847465557E-3</v>
      </c>
      <c r="DT6" s="30">
        <f t="shared" si="6"/>
        <v>6.9700872285771431E-3</v>
      </c>
      <c r="DU6" s="30">
        <f t="shared" si="6"/>
        <v>7.0119396020117374E-3</v>
      </c>
      <c r="DV6" s="30">
        <f t="shared" si="6"/>
        <v>7.0529290708000042E-3</v>
      </c>
      <c r="DW6" s="30">
        <f t="shared" si="6"/>
        <v>7.0930734261534616E-3</v>
      </c>
      <c r="DX6" s="30">
        <f t="shared" si="6"/>
        <v>7.1323900924676687E-3</v>
      </c>
      <c r="DY6" s="30">
        <f t="shared" si="6"/>
        <v>7.170896134885152E-3</v>
      </c>
      <c r="DZ6" s="30">
        <f t="shared" si="6"/>
        <v>7.208608266702418E-3</v>
      </c>
      <c r="EA6" s="30">
        <f t="shared" si="6"/>
        <v>7.2455428566242618E-3</v>
      </c>
      <c r="EB6" s="30">
        <f t="shared" si="6"/>
        <v>7.2817159358684923E-3</v>
      </c>
      <c r="EC6" s="30">
        <f t="shared" si="6"/>
        <v>7.3171432051241762E-3</v>
      </c>
      <c r="ED6" s="30">
        <f t="shared" si="6"/>
        <v>7.3518400413664165E-3</v>
      </c>
      <c r="EE6" s="30">
        <f t="shared" si="6"/>
        <v>7.3858215045306333E-3</v>
      </c>
      <c r="EF6" s="30">
        <f t="shared" si="6"/>
        <v>7.4191023440492339E-3</v>
      </c>
      <c r="EG6" s="30">
        <f t="shared" si="6"/>
        <v>7.4516970052534931E-3</v>
      </c>
      <c r="EH6" s="30">
        <f t="shared" si="6"/>
        <v>7.483619635643474E-3</v>
      </c>
      <c r="EI6" s="30">
        <f t="shared" si="6"/>
        <v>7.5148840910286459E-3</v>
      </c>
      <c r="EJ6" s="30">
        <f>-0.65*EXP((-EJ1/12)/4)*2.5%+0.9*(1-EXP((-EJ1/12)/4))*1%</f>
        <v>7.5455039415419072E-3</v>
      </c>
      <c r="EK6" s="30">
        <f t="shared" si="6"/>
        <v>7.5754924775296231E-3</v>
      </c>
      <c r="EL6" s="30">
        <f t="shared" si="6"/>
        <v>7.6048627153202011E-3</v>
      </c>
      <c r="EM6" s="30">
        <f t="shared" si="6"/>
        <v>7.6336274028737557E-3</v>
      </c>
      <c r="EN6" s="30">
        <f t="shared" si="6"/>
        <v>7.6617990253152676E-3</v>
      </c>
      <c r="EO6" s="30">
        <f t="shared" si="6"/>
        <v>7.6893898103536744E-3</v>
      </c>
      <c r="EP6" s="30">
        <f t="shared" si="6"/>
        <v>7.7164117335892296E-3</v>
      </c>
      <c r="EQ6" s="30">
        <f t="shared" si="6"/>
        <v>7.7428765237114354E-3</v>
      </c>
      <c r="ER6" s="30">
        <f t="shared" si="6"/>
        <v>7.7687956675897953E-3</v>
      </c>
      <c r="ES6" s="30">
        <f t="shared" si="6"/>
        <v>7.7941804152596196E-3</v>
      </c>
      <c r="ET6" s="30">
        <f t="shared" si="6"/>
        <v>7.8190417848050375E-3</v>
      </c>
      <c r="EU6" s="30">
        <f t="shared" si="6"/>
        <v>7.8433905671413083E-3</v>
      </c>
      <c r="EV6" s="30">
        <f t="shared" si="6"/>
        <v>7.8672373306985649E-3</v>
      </c>
      <c r="EW6" s="30">
        <f t="shared" si="6"/>
        <v>7.8905924260089626E-3</v>
      </c>
      <c r="EX6" s="30">
        <f t="shared" si="6"/>
        <v>7.9134659901992591E-3</v>
      </c>
      <c r="EY6" s="30">
        <f t="shared" si="6"/>
        <v>7.9358679513907709E-3</v>
      </c>
      <c r="EZ6" s="30">
        <f t="shared" si="6"/>
        <v>7.95780803300861E-3</v>
      </c>
      <c r="FA6" s="30">
        <f t="shared" si="6"/>
        <v>7.9792957580020786E-3</v>
      </c>
      <c r="FB6" s="30">
        <f t="shared" si="6"/>
        <v>8.0003404529780248E-3</v>
      </c>
      <c r="FC6" s="30">
        <f t="shared" si="6"/>
        <v>8.0209512522490204E-3</v>
      </c>
      <c r="FD6" s="30">
        <f t="shared" si="6"/>
        <v>8.0411371017980252E-3</v>
      </c>
      <c r="FE6" s="30">
        <f>-0.65*EXP((-FE1/12)/4)*2.5%+0.9*(1-EXP((-FE1/12)/4))*1%</f>
        <v>8.0609067631613567E-3</v>
      </c>
      <c r="FF6" s="30">
        <f t="shared" si="6"/>
        <v>8.0802688172315531E-3</v>
      </c>
      <c r="FG6" s="30">
        <f t="shared" si="6"/>
        <v>8.0992316679818783E-3</v>
      </c>
      <c r="FH6" s="30">
        <f t="shared" si="6"/>
        <v>8.1178035461139872E-3</v>
      </c>
      <c r="FI6" s="30">
        <f t="shared" si="6"/>
        <v>8.1359925126304328E-3</v>
      </c>
      <c r="FJ6" s="30">
        <f t="shared" si="6"/>
        <v>8.1538064623334697E-3</v>
      </c>
      <c r="FK6" s="30">
        <f t="shared" ref="FK6:GN6" si="7">-0.65*EXP((-FK1/12)/4)*2.5%+0.9*(1-EXP((-FK1/12)/4))*1%</f>
        <v>8.1712531272517541E-3</v>
      </c>
      <c r="FL6" s="30">
        <f t="shared" si="7"/>
        <v>8.1883400799963781E-3</v>
      </c>
      <c r="FM6" s="30">
        <f t="shared" si="7"/>
        <v>8.2050747370477142E-3</v>
      </c>
      <c r="FN6" s="30">
        <f t="shared" si="7"/>
        <v>8.2214643619744811E-3</v>
      </c>
      <c r="FO6" s="30">
        <f t="shared" si="7"/>
        <v>8.237516068586458E-3</v>
      </c>
      <c r="FP6" s="30">
        <f t="shared" si="7"/>
        <v>8.2532368240221862E-3</v>
      </c>
      <c r="FQ6" s="30">
        <f t="shared" si="7"/>
        <v>8.2686334517730019E-3</v>
      </c>
      <c r="FR6" s="30">
        <f t="shared" si="7"/>
        <v>8.2837126346447451E-3</v>
      </c>
      <c r="FS6" s="30">
        <f t="shared" si="7"/>
        <v>8.2984809176583647E-3</v>
      </c>
      <c r="FT6" s="30">
        <f t="shared" si="7"/>
        <v>8.3129447108907586E-3</v>
      </c>
      <c r="FU6" s="30">
        <f t="shared" si="7"/>
        <v>8.3271102922570246E-3</v>
      </c>
      <c r="FV6" s="30">
        <f t="shared" si="7"/>
        <v>8.3409838102353438E-3</v>
      </c>
      <c r="FW6" s="30">
        <f t="shared" si="7"/>
        <v>8.3545712865356891E-3</v>
      </c>
      <c r="FX6" s="30">
        <f t="shared" si="7"/>
        <v>8.3678786187135062E-3</v>
      </c>
      <c r="FY6" s="30">
        <f t="shared" si="7"/>
        <v>8.3809115827295187E-3</v>
      </c>
      <c r="FZ6" s="30">
        <f t="shared" si="7"/>
        <v>8.3936758354567296E-3</v>
      </c>
      <c r="GA6" s="30">
        <f t="shared" si="7"/>
        <v>8.4061769171357697E-3</v>
      </c>
      <c r="GB6" s="30">
        <f t="shared" si="7"/>
        <v>8.4184202537795887E-3</v>
      </c>
      <c r="GC6" s="30">
        <f t="shared" si="7"/>
        <v>8.4304111595285853E-3</v>
      </c>
      <c r="GD6" s="30">
        <f t="shared" si="7"/>
        <v>8.4421548389571732E-3</v>
      </c>
      <c r="GE6" s="30">
        <f t="shared" si="7"/>
        <v>8.453656389332799E-3</v>
      </c>
      <c r="GF6" s="30">
        <f t="shared" si="7"/>
        <v>8.4649208028283723E-3</v>
      </c>
      <c r="GG6" s="30">
        <f t="shared" si="7"/>
        <v>8.4759529686890822E-3</v>
      </c>
      <c r="GH6" s="30">
        <f t="shared" si="7"/>
        <v>8.4867576753545511E-3</v>
      </c>
      <c r="GI6" s="30">
        <f t="shared" si="7"/>
        <v>8.4973396125372254E-3</v>
      </c>
      <c r="GJ6" s="30">
        <f t="shared" si="7"/>
        <v>8.5077033732579022E-3</v>
      </c>
      <c r="GK6" s="30">
        <f t="shared" si="7"/>
        <v>8.5178534558393113E-3</v>
      </c>
      <c r="GL6" s="30">
        <f t="shared" si="7"/>
        <v>8.5277942658585869E-3</v>
      </c>
      <c r="GM6" s="30">
        <f t="shared" si="7"/>
        <v>8.5375301180594613E-3</v>
      </c>
      <c r="GN6" s="30">
        <f t="shared" si="7"/>
        <v>8.5470652382250746E-3</v>
      </c>
      <c r="GO6" s="30">
        <f>-0.65*EXP((-GO1/12)/4)*2.5%+0.9*(1-EXP((-GO1/12)/4))*1%</f>
        <v>8.5564037650121272E-3</v>
      </c>
      <c r="GP6" s="30">
        <f t="shared" ref="GP6:II6" si="8">-0.65*EXP((-GP1/12)/4)*2.5%+0.9*(1-EXP((-GP1/12)/4))*1%</f>
        <v>8.5655497517472517E-3</v>
      </c>
      <c r="GQ6" s="30">
        <f t="shared" si="8"/>
        <v>8.5745071681863263E-3</v>
      </c>
      <c r="GR6" s="30">
        <f t="shared" si="8"/>
        <v>8.5832799022375166E-3</v>
      </c>
      <c r="GS6" s="30">
        <f t="shared" si="8"/>
        <v>8.5918717616488127E-3</v>
      </c>
      <c r="GT6" s="30">
        <f t="shared" si="8"/>
        <v>8.6002864756607369E-3</v>
      </c>
      <c r="GU6" s="30">
        <f t="shared" si="8"/>
        <v>8.6085276966250141E-3</v>
      </c>
      <c r="GV6" s="30">
        <f t="shared" si="8"/>
        <v>8.6165990015898437E-3</v>
      </c>
      <c r="GW6" s="30">
        <f t="shared" si="8"/>
        <v>8.624503893852482E-3</v>
      </c>
      <c r="GX6" s="30">
        <f t="shared" si="8"/>
        <v>8.6322458044798597E-3</v>
      </c>
      <c r="GY6" s="30">
        <f t="shared" si="8"/>
        <v>8.6398280937977686E-3</v>
      </c>
      <c r="GZ6" s="30">
        <f t="shared" si="8"/>
        <v>8.647254052849428E-3</v>
      </c>
      <c r="HA6" s="30">
        <f t="shared" si="8"/>
        <v>8.6545269048239198E-3</v>
      </c>
      <c r="HB6" s="30">
        <f t="shared" si="8"/>
        <v>8.6616498064551947E-3</v>
      </c>
      <c r="HC6" s="30">
        <f t="shared" si="8"/>
        <v>8.6686258493922398E-3</v>
      </c>
      <c r="HD6" s="30">
        <f t="shared" si="8"/>
        <v>8.6754580615409863E-3</v>
      </c>
      <c r="HE6" s="30">
        <f t="shared" si="8"/>
        <v>8.6821494083785412E-3</v>
      </c>
      <c r="HF6" s="30">
        <f t="shared" si="8"/>
        <v>8.6887027942403518E-3</v>
      </c>
      <c r="HG6" s="30">
        <f t="shared" si="8"/>
        <v>8.6951210635807952E-3</v>
      </c>
      <c r="HH6" s="30">
        <f t="shared" si="8"/>
        <v>8.7014070022078099E-3</v>
      </c>
      <c r="HI6" s="30">
        <f t="shared" si="8"/>
        <v>8.7075633384920519E-3</v>
      </c>
      <c r="HJ6" s="30">
        <f t="shared" si="8"/>
        <v>8.7135927445511213E-3</v>
      </c>
      <c r="HK6" s="30">
        <f t="shared" si="8"/>
        <v>8.7194978374093846E-3</v>
      </c>
      <c r="HL6" s="30">
        <f t="shared" si="8"/>
        <v>8.725281180133871E-3</v>
      </c>
      <c r="HM6" s="30">
        <f t="shared" si="8"/>
        <v>8.7309452829467653E-3</v>
      </c>
      <c r="HN6" s="30">
        <f t="shared" si="8"/>
        <v>8.7364926043149438E-3</v>
      </c>
      <c r="HO6" s="30">
        <f t="shared" si="8"/>
        <v>8.7419255520170564E-3</v>
      </c>
      <c r="HP6" s="30">
        <f t="shared" si="8"/>
        <v>8.7472464841886078E-3</v>
      </c>
      <c r="HQ6" s="30">
        <f t="shared" si="8"/>
        <v>8.7524577103454994E-3</v>
      </c>
      <c r="HR6" s="30">
        <f t="shared" si="8"/>
        <v>8.7575614923864446E-3</v>
      </c>
      <c r="HS6" s="30">
        <f t="shared" si="8"/>
        <v>8.7625600455747479E-3</v>
      </c>
      <c r="HT6" s="30">
        <f t="shared" si="8"/>
        <v>8.7674555394998046E-3</v>
      </c>
      <c r="HU6" s="30">
        <f t="shared" si="8"/>
        <v>8.7722500990188232E-3</v>
      </c>
      <c r="HV6" s="30">
        <f t="shared" si="8"/>
        <v>8.7769458051790809E-3</v>
      </c>
      <c r="HW6" s="30">
        <f t="shared" si="8"/>
        <v>8.7815446961212046E-3</v>
      </c>
      <c r="HX6" s="30">
        <f t="shared" si="8"/>
        <v>8.7860487679638066E-3</v>
      </c>
      <c r="HY6" s="30">
        <f t="shared" si="8"/>
        <v>8.7904599756698874E-3</v>
      </c>
      <c r="HZ6" s="30">
        <f t="shared" si="8"/>
        <v>8.7947802338953704E-3</v>
      </c>
      <c r="IA6" s="30">
        <f>-0.65*EXP((-IA1/12)/4)*2.5%+0.9*(1-EXP((-IA1/12)/4))*1%</f>
        <v>8.7990114178201628E-3</v>
      </c>
      <c r="IB6" s="30">
        <f t="shared" si="8"/>
        <v>8.8031553639620376E-3</v>
      </c>
      <c r="IC6" s="30">
        <f t="shared" si="8"/>
        <v>8.8072138709737856E-3</v>
      </c>
      <c r="ID6" s="30">
        <f t="shared" si="8"/>
        <v>8.8111887004239022E-3</v>
      </c>
      <c r="IE6" s="30">
        <f t="shared" si="8"/>
        <v>8.8150815775611749E-3</v>
      </c>
      <c r="IF6" s="30">
        <f t="shared" si="8"/>
        <v>8.8188941920635307E-3</v>
      </c>
      <c r="IG6" s="30">
        <f t="shared" si="8"/>
        <v>8.8226281987714254E-3</v>
      </c>
      <c r="IH6" s="30">
        <f t="shared" si="8"/>
        <v>8.8262852184061054E-3</v>
      </c>
      <c r="II6" s="30">
        <f t="shared" si="8"/>
        <v>8.829866838273092E-3</v>
      </c>
    </row>
    <row r="7" spans="1:243" x14ac:dyDescent="0.3">
      <c r="A7" s="2" t="s">
        <v>64</v>
      </c>
      <c r="B7" s="2" t="s">
        <v>63</v>
      </c>
      <c r="C7" s="2" t="s">
        <v>68</v>
      </c>
      <c r="D7" s="30">
        <f>0.8*EXP((-D1/12)/4)*2.5%-0.6*(1-EXP((-D1/12)/4))*1%</f>
        <v>1.9463936714612246E-2</v>
      </c>
      <c r="E7" s="30">
        <f t="shared" ref="E7:BP7" si="9">0.8*EXP((-E1/12)/4)*2.5%-0.6*(1-EXP((-E1/12)/4))*1%</f>
        <v>1.8938925884837594E-2</v>
      </c>
      <c r="F7" s="30">
        <f t="shared" si="9"/>
        <v>1.8424739633150375E-2</v>
      </c>
      <c r="G7" s="30">
        <f t="shared" si="9"/>
        <v>1.7921154780362408E-2</v>
      </c>
      <c r="H7" s="30">
        <f t="shared" si="9"/>
        <v>1.7427952748753559E-2</v>
      </c>
      <c r="I7" s="30">
        <f t="shared" si="9"/>
        <v>1.6944919467199483E-2</v>
      </c>
      <c r="J7" s="30">
        <f t="shared" si="9"/>
        <v>1.6471845278255463E-2</v>
      </c>
      <c r="K7" s="30">
        <f t="shared" si="9"/>
        <v>1.600852484715597E-2</v>
      </c>
      <c r="L7" s="30">
        <f t="shared" si="9"/>
        <v>1.5554757072690413E-2</v>
      </c>
      <c r="M7" s="30">
        <f t="shared" si="9"/>
        <v>1.5110344999916508E-2</v>
      </c>
      <c r="N7" s="30">
        <f t="shared" si="9"/>
        <v>1.4675095734673271E-2</v>
      </c>
      <c r="O7" s="30">
        <f t="shared" si="9"/>
        <v>1.4248820359856529E-2</v>
      </c>
      <c r="P7" s="30">
        <f t="shared" si="9"/>
        <v>1.3831333853420716E-2</v>
      </c>
      <c r="Q7" s="30">
        <f t="shared" si="9"/>
        <v>1.3422455008071248E-2</v>
      </c>
      <c r="R7" s="30">
        <f t="shared" si="9"/>
        <v>1.3022006352612686E-2</v>
      </c>
      <c r="S7" s="30">
        <f t="shared" si="9"/>
        <v>1.2629814074918522E-2</v>
      </c>
      <c r="T7" s="30">
        <f t="shared" si="9"/>
        <v>1.224570794648914E-2</v>
      </c>
      <c r="U7" s="30">
        <f t="shared" si="9"/>
        <v>1.1869521248565277E-2</v>
      </c>
      <c r="V7" s="30">
        <f t="shared" si="9"/>
        <v>1.1501090699764809E-2</v>
      </c>
      <c r="W7" s="30">
        <f t="shared" si="9"/>
        <v>1.1140256385211537E-2</v>
      </c>
      <c r="X7" s="30">
        <f t="shared" si="9"/>
        <v>1.0786861687125194E-2</v>
      </c>
      <c r="Y7" s="30">
        <f t="shared" si="9"/>
        <v>1.0440753216842494E-2</v>
      </c>
      <c r="Z7" s="30">
        <f t="shared" si="9"/>
        <v>1.0101780748239806E-2</v>
      </c>
      <c r="AA7" s="30">
        <f t="shared" si="9"/>
        <v>9.7697971525284692E-3</v>
      </c>
      <c r="AB7" s="30">
        <f t="shared" si="9"/>
        <v>9.4446583343945102E-3</v>
      </c>
      <c r="AC7" s="30">
        <f t="shared" si="9"/>
        <v>9.1262231694550187E-3</v>
      </c>
      <c r="AD7" s="30">
        <f t="shared" si="9"/>
        <v>8.8143534430039985E-3</v>
      </c>
      <c r="AE7" s="30">
        <f t="shared" si="9"/>
        <v>8.5089137900212271E-3</v>
      </c>
      <c r="AF7" s="30">
        <f t="shared" si="9"/>
        <v>8.2097716364178987E-3</v>
      </c>
      <c r="AG7" s="30">
        <f t="shared" si="9"/>
        <v>7.916797141493747E-3</v>
      </c>
      <c r="AH7" s="30">
        <f t="shared" si="9"/>
        <v>7.6298631415805144E-3</v>
      </c>
      <c r="AI7" s="30">
        <f t="shared" si="9"/>
        <v>7.3488450948473935E-3</v>
      </c>
      <c r="AJ7" s="30">
        <f t="shared" si="9"/>
        <v>7.0736210272444658E-3</v>
      </c>
      <c r="AK7" s="30">
        <f t="shared" si="9"/>
        <v>6.8040714795606552E-3</v>
      </c>
      <c r="AL7" s="30">
        <f t="shared" si="9"/>
        <v>6.5400794555732344E-3</v>
      </c>
      <c r="AM7" s="30">
        <f t="shared" si="9"/>
        <v>6.2815303712663844E-3</v>
      </c>
      <c r="AN7" s="30">
        <f t="shared" si="9"/>
        <v>6.0283120050967452E-3</v>
      </c>
      <c r="AO7" s="30">
        <f t="shared" si="9"/>
        <v>5.7803144492843943E-3</v>
      </c>
      <c r="AP7" s="30">
        <f t="shared" si="9"/>
        <v>5.5374300621080768E-3</v>
      </c>
      <c r="AQ7" s="30">
        <f t="shared" si="9"/>
        <v>5.2995534211840332E-3</v>
      </c>
      <c r="AR7" s="30">
        <f t="shared" si="9"/>
        <v>5.0665812777080984E-3</v>
      </c>
      <c r="AS7" s="30">
        <f t="shared" si="9"/>
        <v>4.8384125116412192E-3</v>
      </c>
      <c r="AT7" s="30">
        <f t="shared" si="9"/>
        <v>4.6149480878189836E-3</v>
      </c>
      <c r="AU7" s="30">
        <f t="shared" si="9"/>
        <v>4.3960910129660306E-3</v>
      </c>
      <c r="AV7" s="30">
        <f t="shared" si="9"/>
        <v>4.1817462935967737E-3</v>
      </c>
      <c r="AW7" s="30">
        <f t="shared" si="9"/>
        <v>3.9718208947840793E-3</v>
      </c>
      <c r="AX7" s="30">
        <f t="shared" si="9"/>
        <v>3.7662236997780705E-3</v>
      </c>
      <c r="AY7" s="30">
        <f t="shared" si="9"/>
        <v>3.5648654704575015E-3</v>
      </c>
      <c r="AZ7" s="30">
        <f t="shared" si="9"/>
        <v>3.3676588085965265E-3</v>
      </c>
      <c r="BA7" s="30">
        <f t="shared" si="9"/>
        <v>3.1745181179300718E-3</v>
      </c>
      <c r="BB7" s="30">
        <f t="shared" si="9"/>
        <v>2.985359567001339E-3</v>
      </c>
      <c r="BC7" s="30">
        <f t="shared" si="9"/>
        <v>2.800101052775299E-3</v>
      </c>
      <c r="BD7" s="30">
        <f t="shared" si="9"/>
        <v>2.6186621650024144E-3</v>
      </c>
      <c r="BE7" s="30">
        <f t="shared" si="9"/>
        <v>2.4409641513170929E-3</v>
      </c>
      <c r="BF7" s="30">
        <f t="shared" si="9"/>
        <v>2.2669298830557353E-3</v>
      </c>
      <c r="BG7" s="30">
        <f t="shared" si="9"/>
        <v>2.0964838217795399E-3</v>
      </c>
      <c r="BH7" s="30">
        <f t="shared" si="9"/>
        <v>1.9295519864875417E-3</v>
      </c>
      <c r="BI7" s="30">
        <f t="shared" si="9"/>
        <v>1.7660619215056393E-3</v>
      </c>
      <c r="BJ7" s="30">
        <f t="shared" si="9"/>
        <v>1.6059426650376725E-3</v>
      </c>
      <c r="BK7" s="30">
        <f t="shared" si="9"/>
        <v>1.4491247183649435E-3</v>
      </c>
      <c r="BL7" s="30">
        <f t="shared" si="9"/>
        <v>1.2955400156807184E-3</v>
      </c>
      <c r="BM7" s="30">
        <f t="shared" si="9"/>
        <v>1.1451218945467308E-3</v>
      </c>
      <c r="BN7" s="30">
        <f t="shared" si="9"/>
        <v>9.9780506695878058E-4</v>
      </c>
      <c r="BO7" s="30">
        <f t="shared" si="9"/>
        <v>8.5352559100889628E-4</v>
      </c>
      <c r="BP7" s="30">
        <f t="shared" si="9"/>
        <v>7.1222084313176878E-4</v>
      </c>
      <c r="BQ7" s="30">
        <f t="shared" ref="BQ7:EB7" si="10">0.8*EXP((-BQ1/12)/4)*2.5%-0.6*(1-EXP((-BQ1/12)/4))*1%</f>
        <v>5.7382949092340922E-4</v>
      </c>
      <c r="BR7" s="30">
        <f t="shared" si="10"/>
        <v>4.3829146652020479E-4</v>
      </c>
      <c r="BS7" s="30">
        <f t="shared" si="10"/>
        <v>3.0554794052686622E-4</v>
      </c>
      <c r="BT7" s="30">
        <f t="shared" si="10"/>
        <v>1.7554129648191235E-4</v>
      </c>
      <c r="BU7" s="30">
        <f t="shared" si="10"/>
        <v>4.8215105849610217E-5</v>
      </c>
      <c r="BV7" s="30">
        <f t="shared" si="10"/>
        <v>-7.6485896472451229E-5</v>
      </c>
      <c r="BW7" s="30">
        <f t="shared" si="10"/>
        <v>-1.9861583614082419E-4</v>
      </c>
      <c r="BX7" s="30">
        <f t="shared" si="10"/>
        <v>-3.1822772285908674E-4</v>
      </c>
      <c r="BY7" s="30">
        <f t="shared" si="10"/>
        <v>-4.3537347338636588E-4</v>
      </c>
      <c r="BZ7" s="30">
        <f t="shared" si="10"/>
        <v>-5.5010393407145617E-4</v>
      </c>
      <c r="CA7" s="30">
        <f t="shared" si="10"/>
        <v>-6.6246890292235867E-4</v>
      </c>
      <c r="CB7" s="30">
        <f t="shared" si="10"/>
        <v>-7.7251715122077236E-4</v>
      </c>
      <c r="CC7" s="30">
        <f t="shared" si="10"/>
        <v>-8.8029644469095423E-4</v>
      </c>
      <c r="CD7" s="30">
        <f t="shared" si="10"/>
        <v>-9.8585356423212117E-4</v>
      </c>
      <c r="CE7" s="30">
        <f t="shared" si="10"/>
        <v>-1.0892343262233926E-3</v>
      </c>
      <c r="CF7" s="30">
        <f t="shared" si="10"/>
        <v>-1.1904836024100893E-3</v>
      </c>
      <c r="CG7" s="30">
        <f t="shared" si="10"/>
        <v>-1.2896453393800239E-3</v>
      </c>
      <c r="CH7" s="30">
        <f t="shared" si="10"/>
        <v>-1.3867625776382343E-3</v>
      </c>
      <c r="CI7" s="30">
        <f t="shared" si="10"/>
        <v>-1.4818774702884253E-3</v>
      </c>
      <c r="CJ7" s="30">
        <f t="shared" si="10"/>
        <v>-1.5750313013292573E-3</v>
      </c>
      <c r="CK7" s="30">
        <f t="shared" si="10"/>
        <v>-1.6662645035733898E-3</v>
      </c>
      <c r="CL7" s="30">
        <f t="shared" si="10"/>
        <v>-1.7556166761970803E-3</v>
      </c>
      <c r="CM7" s="30">
        <f t="shared" si="10"/>
        <v>-1.8431266019279572E-3</v>
      </c>
      <c r="CN7" s="30">
        <f t="shared" si="10"/>
        <v>-1.9288322638783993E-3</v>
      </c>
      <c r="CO7" s="30">
        <f t="shared" si="10"/>
        <v>-2.0127708620318596E-3</v>
      </c>
      <c r="CP7" s="30">
        <f t="shared" si="10"/>
        <v>-2.094978829389282E-3</v>
      </c>
      <c r="CQ7" s="30">
        <f t="shared" si="10"/>
        <v>-2.1754918477826031E-3</v>
      </c>
      <c r="CR7" s="30">
        <f t="shared" si="10"/>
        <v>-2.2543448633622152E-3</v>
      </c>
      <c r="CS7" s="30">
        <f t="shared" si="10"/>
        <v>-2.3315721017651207E-3</v>
      </c>
      <c r="CT7" s="30">
        <f t="shared" si="10"/>
        <v>-2.4072070829703478E-3</v>
      </c>
      <c r="CU7" s="30">
        <f t="shared" si="10"/>
        <v>-2.4812826358480695E-3</v>
      </c>
      <c r="CV7" s="30">
        <f t="shared" si="10"/>
        <v>-2.5538309124087709E-3</v>
      </c>
      <c r="CW7" s="30">
        <f t="shared" si="10"/>
        <v>-2.6248834017586122E-3</v>
      </c>
      <c r="CX7" s="30">
        <f t="shared" si="10"/>
        <v>-2.6944709437670741E-3</v>
      </c>
      <c r="CY7" s="30">
        <f t="shared" si="10"/>
        <v>-2.762623742452802E-3</v>
      </c>
      <c r="CZ7" s="30">
        <f t="shared" si="10"/>
        <v>-2.8293713790934578E-3</v>
      </c>
      <c r="DA7" s="30">
        <f t="shared" si="10"/>
        <v>-2.8947428250652892E-3</v>
      </c>
      <c r="DB7" s="30">
        <f t="shared" si="10"/>
        <v>-2.9587664544179593E-3</v>
      </c>
      <c r="DC7" s="30">
        <f t="shared" si="10"/>
        <v>-3.0214700561901186E-3</v>
      </c>
      <c r="DD7" s="30">
        <f t="shared" si="10"/>
        <v>-3.0828808464710622E-3</v>
      </c>
      <c r="DE7" s="30">
        <f t="shared" si="10"/>
        <v>-3.1430254802136889E-3</v>
      </c>
      <c r="DF7" s="30">
        <f t="shared" si="10"/>
        <v>-3.2019300628039096E-3</v>
      </c>
      <c r="DG7" s="30">
        <f t="shared" si="10"/>
        <v>-3.2596201613915268E-3</v>
      </c>
      <c r="DH7" s="30">
        <f t="shared" si="10"/>
        <v>-3.3161208159874821E-3</v>
      </c>
      <c r="DI7" s="30">
        <f t="shared" si="10"/>
        <v>-3.3714565503323111E-3</v>
      </c>
      <c r="DJ7" s="30">
        <f t="shared" si="10"/>
        <v>-3.4256513825405158E-3</v>
      </c>
      <c r="DK7" s="30">
        <f t="shared" si="10"/>
        <v>-3.4787288355254686E-3</v>
      </c>
      <c r="DL7" s="30">
        <f t="shared" si="10"/>
        <v>-3.5307119472093767E-3</v>
      </c>
      <c r="DM7" s="30">
        <f t="shared" si="10"/>
        <v>-3.5816232805227491E-3</v>
      </c>
      <c r="DN7" s="30">
        <f t="shared" si="10"/>
        <v>-3.6314849331976814E-3</v>
      </c>
      <c r="DO7" s="30">
        <f t="shared" si="10"/>
        <v>-3.6803185473592371E-3</v>
      </c>
      <c r="DP7" s="30">
        <f t="shared" si="10"/>
        <v>-3.7281453189190695E-3</v>
      </c>
      <c r="DQ7" s="30">
        <f t="shared" si="10"/>
        <v>-3.7749860067753703E-3</v>
      </c>
      <c r="DR7" s="30">
        <f t="shared" si="10"/>
        <v>-3.8208609418231279E-3</v>
      </c>
      <c r="DS7" s="30">
        <f t="shared" si="10"/>
        <v>-3.8657900357786301E-3</v>
      </c>
      <c r="DT7" s="30">
        <f t="shared" si="10"/>
        <v>-3.9097927898220086E-3</v>
      </c>
      <c r="DU7" s="30">
        <f t="shared" si="10"/>
        <v>-3.9528883030615913E-3</v>
      </c>
      <c r="DV7" s="30">
        <f t="shared" si="10"/>
        <v>-3.995095280823765E-3</v>
      </c>
      <c r="DW7" s="30">
        <f t="shared" si="10"/>
        <v>-4.0364320427718819E-3</v>
      </c>
      <c r="DX7" s="30">
        <f t="shared" si="10"/>
        <v>-4.0769165308577977E-3</v>
      </c>
      <c r="DY7" s="30">
        <f t="shared" si="10"/>
        <v>-4.1165663171094623E-3</v>
      </c>
      <c r="DZ7" s="30">
        <f t="shared" si="10"/>
        <v>-4.1553986112579343E-3</v>
      </c>
      <c r="EA7" s="30">
        <f t="shared" si="10"/>
        <v>-4.1934302682071593E-3</v>
      </c>
      <c r="EB7" s="30">
        <f t="shared" si="10"/>
        <v>-4.2306777953497344E-3</v>
      </c>
      <c r="EC7" s="30">
        <f t="shared" ref="EC7:GN7" si="11">0.8*EXP((-EC1/12)/4)*2.5%-0.6*(1-EXP((-EC1/12)/4))*1%</f>
        <v>-4.2671573597318248E-3</v>
      </c>
      <c r="ED7" s="30">
        <f t="shared" si="11"/>
        <v>-4.3028847950703688E-3</v>
      </c>
      <c r="EE7" s="30">
        <f t="shared" si="11"/>
        <v>-4.3378756086256028E-3</v>
      </c>
      <c r="EF7" s="30">
        <f t="shared" si="11"/>
        <v>-4.3721449879318836E-3</v>
      </c>
      <c r="EG7" s="30">
        <f t="shared" si="11"/>
        <v>-4.405707807389735E-3</v>
      </c>
      <c r="EH7" s="30">
        <f t="shared" si="11"/>
        <v>-4.4385786347219923E-3</v>
      </c>
      <c r="EI7" s="30">
        <f t="shared" si="11"/>
        <v>-4.4707717372968235E-3</v>
      </c>
      <c r="EJ7" s="30">
        <f t="shared" si="11"/>
        <v>-4.502301088320379E-3</v>
      </c>
      <c r="EK7" s="30">
        <f t="shared" si="11"/>
        <v>-4.5331803729017897E-3</v>
      </c>
      <c r="EL7" s="30">
        <f t="shared" si="11"/>
        <v>-4.5634229939930772E-3</v>
      </c>
      <c r="EM7" s="30">
        <f t="shared" si="11"/>
        <v>-4.5930420782066377E-3</v>
      </c>
      <c r="EN7" s="30">
        <f t="shared" si="11"/>
        <v>-4.6220504815127489E-3</v>
      </c>
      <c r="EO7" s="30">
        <f t="shared" si="11"/>
        <v>-4.6504607948196237E-3</v>
      </c>
      <c r="EP7" s="30">
        <f t="shared" si="11"/>
        <v>-4.6782853494384147E-3</v>
      </c>
      <c r="EQ7" s="30">
        <f t="shared" si="11"/>
        <v>-4.7055362224355368E-3</v>
      </c>
      <c r="ER7" s="30">
        <f t="shared" si="11"/>
        <v>-4.7322252418746397E-3</v>
      </c>
      <c r="ES7" s="30">
        <f t="shared" si="11"/>
        <v>-4.758363991950499E-3</v>
      </c>
      <c r="ET7" s="30">
        <f t="shared" si="11"/>
        <v>-4.783963818017066E-3</v>
      </c>
      <c r="EU7" s="30">
        <f t="shared" si="11"/>
        <v>-4.8090358315118409E-3</v>
      </c>
      <c r="EV7" s="30">
        <f t="shared" si="11"/>
        <v>-4.8335909147787202E-3</v>
      </c>
      <c r="EW7" s="30">
        <f t="shared" si="11"/>
        <v>-4.8576397257914065E-3</v>
      </c>
      <c r="EX7" s="30">
        <f t="shared" si="11"/>
        <v>-4.8811927027794339E-3</v>
      </c>
      <c r="EY7" s="30">
        <f t="shared" si="11"/>
        <v>-4.9042600687588134E-3</v>
      </c>
      <c r="EZ7" s="30">
        <f t="shared" si="11"/>
        <v>-4.9268518359692638E-3</v>
      </c>
      <c r="FA7" s="30">
        <f t="shared" si="11"/>
        <v>-4.9489778102199617E-3</v>
      </c>
      <c r="FB7" s="30">
        <f t="shared" si="11"/>
        <v>-4.9706475951456887E-3</v>
      </c>
      <c r="FC7" s="30">
        <f t="shared" si="11"/>
        <v>-4.9918705963752277E-3</v>
      </c>
      <c r="FD7" s="30">
        <f t="shared" si="11"/>
        <v>-5.0126560256138087E-3</v>
      </c>
      <c r="FE7" s="30">
        <f t="shared" si="11"/>
        <v>-5.0330129046413947E-3</v>
      </c>
      <c r="FF7" s="30">
        <f t="shared" si="11"/>
        <v>-5.0529500692285297E-3</v>
      </c>
      <c r="FG7" s="30">
        <f t="shared" si="11"/>
        <v>-5.0724761729714378E-3</v>
      </c>
      <c r="FH7" s="30">
        <f t="shared" si="11"/>
        <v>-5.0915996910480665E-3</v>
      </c>
      <c r="FI7" s="30">
        <f t="shared" si="11"/>
        <v>-5.1103289238966839E-3</v>
      </c>
      <c r="FJ7" s="30">
        <f t="shared" si="11"/>
        <v>-5.1286720008186211E-3</v>
      </c>
      <c r="FK7" s="30">
        <f t="shared" si="11"/>
        <v>-5.1466368835067569E-3</v>
      </c>
      <c r="FL7" s="30">
        <f t="shared" si="11"/>
        <v>-5.1642313695012222E-3</v>
      </c>
      <c r="FM7" s="30">
        <f t="shared" si="11"/>
        <v>-5.1814630955738846E-3</v>
      </c>
      <c r="FN7" s="30">
        <f t="shared" si="11"/>
        <v>-5.1983395410430296E-3</v>
      </c>
      <c r="FO7" s="30">
        <f t="shared" si="11"/>
        <v>-5.214868031019719E-3</v>
      </c>
      <c r="FP7" s="30">
        <f t="shared" si="11"/>
        <v>-5.2310557395872006E-3</v>
      </c>
      <c r="FQ7" s="30">
        <f t="shared" si="11"/>
        <v>-5.2469096929147743E-3</v>
      </c>
      <c r="FR7" s="30">
        <f t="shared" si="11"/>
        <v>-5.262436772307459E-3</v>
      </c>
      <c r="FS7" s="30">
        <f t="shared" si="11"/>
        <v>-5.277643717192769E-3</v>
      </c>
      <c r="FT7" s="30">
        <f t="shared" si="11"/>
        <v>-5.292537128045928E-3</v>
      </c>
      <c r="FU7" s="30">
        <f t="shared" si="11"/>
        <v>-5.307123469254757E-3</v>
      </c>
      <c r="FV7" s="30">
        <f t="shared" si="11"/>
        <v>-5.321409071925502E-3</v>
      </c>
      <c r="FW7" s="30">
        <f t="shared" si="11"/>
        <v>-5.3354001366308071E-3</v>
      </c>
      <c r="FX7" s="30">
        <f t="shared" si="11"/>
        <v>-5.3491027361010357E-3</v>
      </c>
      <c r="FY7" s="30">
        <f t="shared" si="11"/>
        <v>-5.3625228178600963E-3</v>
      </c>
      <c r="FZ7" s="30">
        <f t="shared" si="11"/>
        <v>-5.3756662068069295E-3</v>
      </c>
      <c r="GA7" s="30">
        <f t="shared" si="11"/>
        <v>-5.3885386077437633E-3</v>
      </c>
      <c r="GB7" s="30">
        <f t="shared" si="11"/>
        <v>-5.401145607852249E-3</v>
      </c>
      <c r="GC7" s="30">
        <f t="shared" si="11"/>
        <v>-5.4134926791185416E-3</v>
      </c>
      <c r="GD7" s="30">
        <f t="shared" si="11"/>
        <v>-5.4255851807083772E-3</v>
      </c>
      <c r="GE7" s="30">
        <f t="shared" si="11"/>
        <v>-5.4374283612931796E-3</v>
      </c>
      <c r="GF7" s="30">
        <f t="shared" si="11"/>
        <v>-5.4490273613282238E-3</v>
      </c>
      <c r="GG7" s="30">
        <f t="shared" si="11"/>
        <v>-5.460387215283807E-3</v>
      </c>
      <c r="GH7" s="30">
        <f t="shared" si="11"/>
        <v>-5.4715128538304304E-3</v>
      </c>
      <c r="GI7" s="30">
        <f t="shared" si="11"/>
        <v>-5.4824091059789241E-3</v>
      </c>
      <c r="GJ7" s="30">
        <f t="shared" si="11"/>
        <v>-5.4930807011764511E-3</v>
      </c>
      <c r="GK7" s="30">
        <f t="shared" si="11"/>
        <v>-5.5035322713592903E-3</v>
      </c>
      <c r="GL7" s="30">
        <f t="shared" si="11"/>
        <v>-5.5137683529632962E-3</v>
      </c>
      <c r="GM7" s="30">
        <f t="shared" si="11"/>
        <v>-5.5237933888929109E-3</v>
      </c>
      <c r="GN7" s="30">
        <f t="shared" si="11"/>
        <v>-5.5336117304495818E-3</v>
      </c>
      <c r="GO7" s="30">
        <f t="shared" ref="GO7:II7" si="12">0.8*EXP((-GO1/12)/4)*2.5%-0.6*(1-EXP((-GO1/12)/4))*1%</f>
        <v>-5.5432276392204088E-3</v>
      </c>
      <c r="GP7" s="30">
        <f t="shared" si="12"/>
        <v>-5.5526452889278644E-3</v>
      </c>
      <c r="GQ7" s="30">
        <f t="shared" si="12"/>
        <v>-5.5618687672413644E-3</v>
      </c>
      <c r="GR7" s="30">
        <f t="shared" si="12"/>
        <v>-5.5709020775515034E-3</v>
      </c>
      <c r="GS7" s="30">
        <f t="shared" si="12"/>
        <v>-5.5797491407076861E-3</v>
      </c>
      <c r="GT7" s="30">
        <f t="shared" si="12"/>
        <v>-5.5884137967199665E-3</v>
      </c>
      <c r="GU7" s="30">
        <f t="shared" si="12"/>
        <v>-5.5968998064257576E-3</v>
      </c>
      <c r="GV7" s="30">
        <f t="shared" si="12"/>
        <v>-5.6052108531222137E-3</v>
      </c>
      <c r="GW7" s="30">
        <f t="shared" si="12"/>
        <v>-5.6133505441649332E-3</v>
      </c>
      <c r="GX7" s="30">
        <f t="shared" si="12"/>
        <v>-5.6213224125337162E-3</v>
      </c>
      <c r="GY7" s="30">
        <f t="shared" si="12"/>
        <v>-5.6291299183660196E-3</v>
      </c>
      <c r="GZ7" s="30">
        <f t="shared" si="12"/>
        <v>-5.6367764504588174E-3</v>
      </c>
      <c r="HA7" s="30">
        <f t="shared" si="12"/>
        <v>-5.6442653277394804E-3</v>
      </c>
      <c r="HB7" s="30">
        <f t="shared" si="12"/>
        <v>-5.6515998007063382E-3</v>
      </c>
      <c r="HC7" s="30">
        <f t="shared" si="12"/>
        <v>-5.6587830528395345E-3</v>
      </c>
      <c r="HD7" s="30">
        <f t="shared" si="12"/>
        <v>-5.6658182019827972E-3</v>
      </c>
      <c r="HE7" s="30">
        <f t="shared" si="12"/>
        <v>-5.6727083016967165E-3</v>
      </c>
      <c r="HF7" s="30">
        <f t="shared" si="12"/>
        <v>-5.6794563425841237E-3</v>
      </c>
      <c r="HG7" s="30">
        <f t="shared" si="12"/>
        <v>-5.686065253588145E-3</v>
      </c>
      <c r="HH7" s="30">
        <f t="shared" si="12"/>
        <v>-5.6925379032634876E-3</v>
      </c>
      <c r="HI7" s="30">
        <f t="shared" si="12"/>
        <v>-5.6988771010215173E-3</v>
      </c>
      <c r="HJ7" s="30">
        <f t="shared" si="12"/>
        <v>-5.7050855983496679E-3</v>
      </c>
      <c r="HK7" s="30">
        <f t="shared" si="12"/>
        <v>-5.7111660900056992E-3</v>
      </c>
      <c r="HL7" s="30">
        <f t="shared" si="12"/>
        <v>-5.7171212151873509E-3</v>
      </c>
      <c r="HM7" s="30">
        <f t="shared" si="12"/>
        <v>-5.7229535586778568E-3</v>
      </c>
      <c r="HN7" s="30">
        <f t="shared" si="12"/>
        <v>-5.7286656519678625E-3</v>
      </c>
      <c r="HO7" s="30">
        <f t="shared" si="12"/>
        <v>-5.7342599743541956E-3</v>
      </c>
      <c r="HP7" s="30">
        <f t="shared" si="12"/>
        <v>-5.7397389540159924E-3</v>
      </c>
      <c r="HQ7" s="30">
        <f t="shared" si="12"/>
        <v>-5.7451049690686326E-3</v>
      </c>
      <c r="HR7" s="30">
        <f t="shared" si="12"/>
        <v>-5.7503603485959433E-3</v>
      </c>
      <c r="HS7" s="30">
        <f t="shared" si="12"/>
        <v>-5.7555073736611246E-3</v>
      </c>
      <c r="HT7" s="30">
        <f t="shared" si="12"/>
        <v>-5.7605482782968282E-3</v>
      </c>
      <c r="HU7" s="30">
        <f t="shared" si="12"/>
        <v>-5.7654852504748265E-3</v>
      </c>
      <c r="HV7" s="30">
        <f t="shared" si="12"/>
        <v>-5.7703204330556857E-3</v>
      </c>
      <c r="HW7" s="30">
        <f t="shared" si="12"/>
        <v>-5.7750559247188634E-3</v>
      </c>
      <c r="HX7" s="30">
        <f t="shared" si="12"/>
        <v>-5.7796937808736217E-3</v>
      </c>
      <c r="HY7" s="30">
        <f t="shared" si="12"/>
        <v>-5.7842360145511701E-3</v>
      </c>
      <c r="HZ7" s="30">
        <f t="shared" si="12"/>
        <v>-5.7886845972784026E-3</v>
      </c>
      <c r="IA7" s="30">
        <f t="shared" si="12"/>
        <v>-5.7930414599336325E-3</v>
      </c>
      <c r="IB7" s="30">
        <f t="shared" si="12"/>
        <v>-5.7973084935846724E-3</v>
      </c>
      <c r="IC7" s="30">
        <f t="shared" si="12"/>
        <v>-5.8014875503096409E-3</v>
      </c>
      <c r="ID7" s="30">
        <f t="shared" si="12"/>
        <v>-5.8055804440008477E-3</v>
      </c>
      <c r="IE7" s="30">
        <f t="shared" si="12"/>
        <v>-5.809588951152099E-3</v>
      </c>
      <c r="IF7" s="30">
        <f t="shared" si="12"/>
        <v>-5.8135148116297735E-3</v>
      </c>
      <c r="IG7" s="30">
        <f t="shared" si="12"/>
        <v>-5.8173597294280009E-3</v>
      </c>
      <c r="IH7" s="30">
        <f t="shared" si="12"/>
        <v>-5.8211253734082669E-3</v>
      </c>
      <c r="II7" s="30">
        <f t="shared" si="12"/>
        <v>-5.8248133780237779E-3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Instruction pour le projet</vt:lpstr>
      <vt:lpstr>Bilan au 31_12_2025 </vt:lpstr>
      <vt:lpstr>Loi d'écoulement </vt:lpstr>
      <vt:lpstr>Plan Moyen Terme (PMT)</vt:lpstr>
      <vt:lpstr>Courbe des taux</vt:lpstr>
      <vt:lpstr>Stress test de liquidité</vt:lpstr>
      <vt:lpstr>stress test de taux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Yves Jocelin KASSI</dc:creator>
  <cp:lastModifiedBy>Yves Jocelin KASSI</cp:lastModifiedBy>
  <dcterms:created xsi:type="dcterms:W3CDTF">2026-01-26T09:49:31Z</dcterms:created>
  <dcterms:modified xsi:type="dcterms:W3CDTF">2026-01-26T15:20:12Z</dcterms:modified>
</cp:coreProperties>
</file>