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hsa\montcarlo\"/>
    </mc:Choice>
  </mc:AlternateContent>
  <xr:revisionPtr revIDLastSave="0" documentId="8_{FCADDAF2-18FE-4428-88F3-C345320382C5}" xr6:coauthVersionLast="47" xr6:coauthVersionMax="47" xr10:uidLastSave="{00000000-0000-0000-0000-000000000000}"/>
  <bookViews>
    <workbookView xWindow="-98" yWindow="-98" windowWidth="21795" windowHeight="12975" xr2:uid="{2F7B60CB-9E28-490A-A13B-A4E4A2CEE96C}"/>
  </bookViews>
  <sheets>
    <sheet name="Instruction pour le projet" sheetId="8" r:id="rId1"/>
    <sheet name="Bilan au 31_12_2025_BAUL" sheetId="1" r:id="rId2"/>
    <sheet name="Bilan au 31_12_2025_BAU T" sheetId="9" r:id="rId3"/>
    <sheet name="BAU_Liquidité_Dynamique" sheetId="10" r:id="rId4"/>
    <sheet name="Loi d'écoulement " sheetId="2" r:id="rId5"/>
    <sheet name="Plan Moyen Terme (PMT)" sheetId="3" r:id="rId6"/>
    <sheet name="Courbe des taux" sheetId="5" r:id="rId7"/>
    <sheet name="Stress test de liquidité" sheetId="6" r:id="rId8"/>
    <sheet name="Dynamique stressé" sheetId="11" r:id="rId9"/>
    <sheet name="stress test de taux"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8" i="3" l="1"/>
  <c r="H19" i="3"/>
  <c r="H20" i="3"/>
  <c r="H21" i="3"/>
  <c r="H22" i="3"/>
  <c r="H17" i="3"/>
  <c r="G18" i="3"/>
  <c r="G19" i="3"/>
  <c r="G20" i="3"/>
  <c r="G21" i="3"/>
  <c r="G22" i="3"/>
  <c r="G17" i="3"/>
  <c r="F22" i="3"/>
  <c r="F18" i="3"/>
  <c r="F19" i="3"/>
  <c r="F20" i="3"/>
  <c r="F21" i="3"/>
  <c r="F17" i="3"/>
  <c r="H27" i="3"/>
  <c r="H28" i="3"/>
  <c r="H29" i="3"/>
  <c r="H30" i="3"/>
  <c r="H31" i="3"/>
  <c r="H32" i="3"/>
  <c r="H33" i="3"/>
  <c r="H26" i="3"/>
  <c r="G27" i="3"/>
  <c r="G28" i="3"/>
  <c r="G29" i="3"/>
  <c r="G30" i="3"/>
  <c r="G31" i="3"/>
  <c r="G32" i="3"/>
  <c r="G33" i="3"/>
  <c r="G26" i="3"/>
  <c r="F27" i="3"/>
  <c r="F28" i="3"/>
  <c r="F29" i="3"/>
  <c r="F30" i="3"/>
  <c r="F31" i="3"/>
  <c r="F32" i="3"/>
  <c r="F33" i="3"/>
  <c r="F26" i="3"/>
  <c r="H10" i="3"/>
  <c r="H11" i="3"/>
  <c r="H12" i="3"/>
  <c r="G12" i="3"/>
  <c r="G10" i="3"/>
  <c r="G11" i="3"/>
  <c r="F10" i="3"/>
  <c r="F11" i="3"/>
  <c r="F12" i="3"/>
  <c r="H9" i="3"/>
  <c r="F9" i="3"/>
  <c r="G9" i="3"/>
  <c r="H6" i="3"/>
  <c r="H7" i="3"/>
  <c r="H8" i="3"/>
  <c r="G6" i="3"/>
  <c r="G7" i="3"/>
  <c r="G8" i="3"/>
  <c r="F6" i="3"/>
  <c r="F7" i="3"/>
  <c r="F8" i="3"/>
  <c r="F5" i="6"/>
  <c r="H113" i="11"/>
  <c r="G113" i="11"/>
  <c r="Q112" i="11"/>
  <c r="AR111" i="11"/>
  <c r="AQ111" i="11"/>
  <c r="AP111" i="11"/>
  <c r="AO111" i="11"/>
  <c r="AN111" i="11"/>
  <c r="AM111" i="11"/>
  <c r="AL111" i="11"/>
  <c r="AK111" i="11"/>
  <c r="AJ111" i="11"/>
  <c r="AI111" i="11"/>
  <c r="AH111" i="11"/>
  <c r="AG111" i="11"/>
  <c r="AF111" i="11"/>
  <c r="AE111" i="11"/>
  <c r="AD111" i="11"/>
  <c r="AC111" i="11"/>
  <c r="AB111" i="11"/>
  <c r="AA111" i="11"/>
  <c r="Z111" i="11"/>
  <c r="Y111" i="11"/>
  <c r="X111" i="11"/>
  <c r="W111" i="11"/>
  <c r="V111" i="11"/>
  <c r="U111" i="11"/>
  <c r="T111" i="11"/>
  <c r="S111" i="11"/>
  <c r="R111" i="11"/>
  <c r="Q111" i="11"/>
  <c r="P111" i="11"/>
  <c r="O111" i="11"/>
  <c r="N111" i="11"/>
  <c r="M111" i="11"/>
  <c r="L111" i="11"/>
  <c r="K111" i="11"/>
  <c r="J111" i="11"/>
  <c r="I111" i="11"/>
  <c r="AF110" i="11"/>
  <c r="AE110" i="11"/>
  <c r="AD110" i="11"/>
  <c r="AC110" i="11"/>
  <c r="AB110" i="11"/>
  <c r="AA110" i="11"/>
  <c r="Z110" i="11"/>
  <c r="Y110" i="11"/>
  <c r="X110" i="11"/>
  <c r="W110" i="11"/>
  <c r="V110" i="11"/>
  <c r="U110" i="11"/>
  <c r="T110" i="11"/>
  <c r="S110" i="11"/>
  <c r="R110" i="11"/>
  <c r="Q110" i="11"/>
  <c r="P110" i="11"/>
  <c r="O110" i="11"/>
  <c r="N110" i="11"/>
  <c r="M110" i="11"/>
  <c r="L110" i="11"/>
  <c r="K110" i="11"/>
  <c r="J110" i="11"/>
  <c r="I110" i="11"/>
  <c r="T109" i="11"/>
  <c r="S109" i="11"/>
  <c r="R109" i="11"/>
  <c r="Q109" i="11"/>
  <c r="P109" i="11"/>
  <c r="O109" i="11"/>
  <c r="N109" i="11"/>
  <c r="M109" i="11"/>
  <c r="L109" i="11"/>
  <c r="K109" i="11"/>
  <c r="J109" i="11"/>
  <c r="I109" i="11"/>
  <c r="DY105" i="11"/>
  <c r="DX105" i="11"/>
  <c r="DW105" i="11"/>
  <c r="DV105" i="11"/>
  <c r="DU105" i="11"/>
  <c r="DT105" i="11"/>
  <c r="DS105" i="11"/>
  <c r="DR105" i="11"/>
  <c r="DQ105" i="11"/>
  <c r="DP105" i="11"/>
  <c r="DO105" i="11"/>
  <c r="DN105" i="11"/>
  <c r="DM105" i="11"/>
  <c r="DL105" i="11"/>
  <c r="DK105" i="11"/>
  <c r="DJ105" i="11"/>
  <c r="DI105" i="11"/>
  <c r="DH105" i="11"/>
  <c r="DG105" i="11"/>
  <c r="DF105" i="11"/>
  <c r="DE105" i="11"/>
  <c r="DD105" i="11"/>
  <c r="DC105" i="11"/>
  <c r="DB105" i="11"/>
  <c r="DA105" i="11"/>
  <c r="CZ105" i="11"/>
  <c r="CY105" i="11"/>
  <c r="CX105" i="11"/>
  <c r="CW105" i="11"/>
  <c r="CV105" i="11"/>
  <c r="CU105" i="11"/>
  <c r="CT105" i="11"/>
  <c r="CS105" i="11"/>
  <c r="CR105" i="11"/>
  <c r="CQ105" i="11"/>
  <c r="CP105" i="11"/>
  <c r="CO105" i="11"/>
  <c r="CN105" i="11"/>
  <c r="CM105" i="11"/>
  <c r="CL105" i="11"/>
  <c r="CK105" i="11"/>
  <c r="CJ105" i="11"/>
  <c r="CI105" i="11"/>
  <c r="CH105" i="11"/>
  <c r="CG105" i="11"/>
  <c r="CF105" i="11"/>
  <c r="CE105" i="11"/>
  <c r="CD105" i="11"/>
  <c r="CC105" i="11"/>
  <c r="CB105" i="11"/>
  <c r="CA105" i="11"/>
  <c r="BZ105" i="11"/>
  <c r="BY105" i="11"/>
  <c r="BX105" i="11"/>
  <c r="BW105" i="11"/>
  <c r="BV105" i="11"/>
  <c r="BU105" i="11"/>
  <c r="BT105" i="11"/>
  <c r="BS105" i="11"/>
  <c r="BR105" i="11"/>
  <c r="BQ105" i="11"/>
  <c r="BP105" i="11"/>
  <c r="BO105" i="11"/>
  <c r="BN105" i="11"/>
  <c r="BM105" i="11"/>
  <c r="BL105" i="11"/>
  <c r="BK105" i="11"/>
  <c r="BJ105" i="11"/>
  <c r="BI105" i="11"/>
  <c r="BH105" i="11"/>
  <c r="BG105" i="11"/>
  <c r="BF105" i="11"/>
  <c r="BE105" i="11"/>
  <c r="BD105" i="11"/>
  <c r="BC105" i="11"/>
  <c r="BB105" i="11"/>
  <c r="BA105" i="11"/>
  <c r="AZ105" i="11"/>
  <c r="AY105" i="11"/>
  <c r="AX105" i="11"/>
  <c r="AW105" i="11"/>
  <c r="AV105" i="11"/>
  <c r="AU105" i="11"/>
  <c r="AT105" i="11"/>
  <c r="AS105" i="11"/>
  <c r="AR105" i="11"/>
  <c r="AQ105" i="11"/>
  <c r="AP105" i="11"/>
  <c r="AO105" i="11"/>
  <c r="AN105" i="11"/>
  <c r="AM105" i="11"/>
  <c r="AL105" i="11"/>
  <c r="AK105" i="11"/>
  <c r="AJ105" i="11"/>
  <c r="AI105" i="11"/>
  <c r="AH105" i="11"/>
  <c r="AG105" i="11"/>
  <c r="AF105" i="11"/>
  <c r="AE105" i="11"/>
  <c r="AD105" i="11"/>
  <c r="AC105" i="11"/>
  <c r="AB105" i="11"/>
  <c r="AA105" i="11"/>
  <c r="Z105" i="11"/>
  <c r="Y105" i="11"/>
  <c r="X105" i="11"/>
  <c r="W105" i="11"/>
  <c r="V105" i="11"/>
  <c r="U105" i="11"/>
  <c r="T105" i="11"/>
  <c r="S105" i="11"/>
  <c r="R105" i="11"/>
  <c r="Q105" i="11"/>
  <c r="P105" i="11"/>
  <c r="O105" i="11"/>
  <c r="N105" i="11"/>
  <c r="M105" i="11"/>
  <c r="L105" i="11"/>
  <c r="K105" i="11"/>
  <c r="J105" i="11"/>
  <c r="DY104" i="11"/>
  <c r="DX104" i="11"/>
  <c r="DW104" i="11"/>
  <c r="DT104" i="11"/>
  <c r="DS104" i="11"/>
  <c r="DR104" i="11"/>
  <c r="DP104" i="11"/>
  <c r="DO104" i="11"/>
  <c r="DL104" i="11"/>
  <c r="CO104" i="11"/>
  <c r="CN104" i="11"/>
  <c r="CI104" i="11"/>
  <c r="CG104" i="11"/>
  <c r="CD104" i="11"/>
  <c r="CB104" i="11"/>
  <c r="BZ104" i="11"/>
  <c r="BX104" i="11"/>
  <c r="BW104" i="11"/>
  <c r="BO104" i="11"/>
  <c r="BN104" i="11"/>
  <c r="BK104" i="11"/>
  <c r="BH104" i="11"/>
  <c r="BE104" i="11"/>
  <c r="AS104" i="11"/>
  <c r="DY103" i="11"/>
  <c r="DX103" i="11"/>
  <c r="DV103" i="11"/>
  <c r="DU103" i="11"/>
  <c r="DS103" i="11"/>
  <c r="DQ103" i="11"/>
  <c r="DP103" i="11"/>
  <c r="DL103" i="11"/>
  <c r="DK103" i="11"/>
  <c r="DI103" i="11"/>
  <c r="DG103" i="11"/>
  <c r="DF103" i="11"/>
  <c r="DE103" i="11"/>
  <c r="DD103" i="11"/>
  <c r="DC103" i="11"/>
  <c r="DB103" i="11"/>
  <c r="CZ103" i="11"/>
  <c r="CY103" i="11"/>
  <c r="CX103" i="11"/>
  <c r="CW103" i="11"/>
  <c r="CU103" i="11"/>
  <c r="CS103" i="11"/>
  <c r="CR103" i="11"/>
  <c r="CQ103" i="11"/>
  <c r="CP103" i="11"/>
  <c r="CN103" i="11"/>
  <c r="CJ103" i="11"/>
  <c r="CI103" i="11"/>
  <c r="CH103" i="11"/>
  <c r="CF103" i="11"/>
  <c r="CD103" i="11"/>
  <c r="CC103" i="11"/>
  <c r="CB103" i="11"/>
  <c r="CA103" i="11"/>
  <c r="BY103" i="11"/>
  <c r="BX103" i="11"/>
  <c r="BW103" i="11"/>
  <c r="BV103" i="11"/>
  <c r="BT103" i="11"/>
  <c r="BS103" i="11"/>
  <c r="BR103" i="11"/>
  <c r="BQ103" i="11"/>
  <c r="BO103" i="11"/>
  <c r="BM103" i="11"/>
  <c r="BL103" i="11"/>
  <c r="BH103" i="11"/>
  <c r="BG103" i="11"/>
  <c r="BF103" i="11"/>
  <c r="BC103" i="11"/>
  <c r="BB103" i="11"/>
  <c r="BA103" i="11"/>
  <c r="AZ103" i="11"/>
  <c r="AY103" i="11"/>
  <c r="AX103" i="11"/>
  <c r="AW103" i="11"/>
  <c r="AU103" i="11"/>
  <c r="AT103" i="11"/>
  <c r="AS103" i="11"/>
  <c r="AR103" i="11"/>
  <c r="AO103" i="11"/>
  <c r="AN103" i="11"/>
  <c r="AL103" i="11"/>
  <c r="AK103" i="11"/>
  <c r="AJ103" i="11"/>
  <c r="AG103" i="11"/>
  <c r="DH103" i="11" s="1"/>
  <c r="DY102" i="11"/>
  <c r="DX102" i="11"/>
  <c r="DW102" i="11"/>
  <c r="DV102" i="11"/>
  <c r="DU102" i="11"/>
  <c r="DT102" i="11"/>
  <c r="DS102" i="11"/>
  <c r="DR102" i="11"/>
  <c r="DQ102" i="11"/>
  <c r="DP102" i="11"/>
  <c r="DO102" i="11"/>
  <c r="DN102" i="11"/>
  <c r="DM102" i="11"/>
  <c r="DL102" i="11"/>
  <c r="DK102" i="11"/>
  <c r="DI102" i="11"/>
  <c r="DH102" i="11"/>
  <c r="DG102" i="11"/>
  <c r="DF102" i="11"/>
  <c r="DD102" i="11"/>
  <c r="DC102" i="11"/>
  <c r="DB102" i="11"/>
  <c r="DA102" i="11"/>
  <c r="CZ102" i="11"/>
  <c r="CY102" i="11"/>
  <c r="CX102" i="11"/>
  <c r="CW102" i="11"/>
  <c r="CV102" i="11"/>
  <c r="CU102" i="11"/>
  <c r="CT102" i="11"/>
  <c r="CS102" i="11"/>
  <c r="CR102" i="11"/>
  <c r="CQ102" i="11"/>
  <c r="CP102" i="11"/>
  <c r="CO102" i="11"/>
  <c r="CM102" i="11"/>
  <c r="CL102" i="11"/>
  <c r="CK102" i="11"/>
  <c r="CJ102" i="11"/>
  <c r="CH102" i="11"/>
  <c r="CG102" i="11"/>
  <c r="CF102" i="11"/>
  <c r="CE102" i="11"/>
  <c r="CD102" i="11"/>
  <c r="CC102" i="11"/>
  <c r="CB102" i="11"/>
  <c r="CA102" i="11"/>
  <c r="BZ102" i="11"/>
  <c r="BY102" i="11"/>
  <c r="BX102" i="11"/>
  <c r="BW102" i="11"/>
  <c r="BV102" i="11"/>
  <c r="BU102" i="11"/>
  <c r="BT102" i="11"/>
  <c r="BS102" i="11"/>
  <c r="BQ102" i="11"/>
  <c r="BP102" i="11"/>
  <c r="BO102" i="11"/>
  <c r="BN102" i="11"/>
  <c r="BL102" i="11"/>
  <c r="BK102" i="11"/>
  <c r="BJ102" i="11"/>
  <c r="BI102" i="11"/>
  <c r="BH102" i="11"/>
  <c r="BG102" i="11"/>
  <c r="BF102" i="11"/>
  <c r="BE102" i="11"/>
  <c r="BD102" i="11"/>
  <c r="BC102" i="11"/>
  <c r="BB102" i="11"/>
  <c r="BA102" i="11"/>
  <c r="AZ102" i="11"/>
  <c r="AY102" i="11"/>
  <c r="AX102" i="11"/>
  <c r="AW102" i="11"/>
  <c r="AU102" i="11"/>
  <c r="AT102" i="11"/>
  <c r="AS102" i="11"/>
  <c r="AR102" i="11"/>
  <c r="AP102" i="11"/>
  <c r="AO102" i="11"/>
  <c r="AN102" i="11"/>
  <c r="AM102" i="11"/>
  <c r="AL102" i="11"/>
  <c r="AK102" i="11"/>
  <c r="AJ102" i="11"/>
  <c r="AI102" i="11"/>
  <c r="AH102" i="11"/>
  <c r="AG102" i="11"/>
  <c r="AF102" i="11"/>
  <c r="AE102" i="11"/>
  <c r="AD102" i="11"/>
  <c r="AC102" i="11"/>
  <c r="AB102" i="11"/>
  <c r="AA102" i="11"/>
  <c r="Y102" i="11"/>
  <c r="X102" i="11"/>
  <c r="W102" i="11"/>
  <c r="V102" i="11"/>
  <c r="U102" i="11"/>
  <c r="DJ102" i="11" s="1"/>
  <c r="DY101" i="11"/>
  <c r="DX101" i="11"/>
  <c r="DW101" i="11"/>
  <c r="DV101" i="11"/>
  <c r="DU101" i="11"/>
  <c r="DT101" i="11"/>
  <c r="DS101" i="11"/>
  <c r="DR101" i="11"/>
  <c r="DQ101" i="11"/>
  <c r="DP101" i="11"/>
  <c r="DO101" i="11"/>
  <c r="DN101" i="11"/>
  <c r="DM101" i="11"/>
  <c r="DL101" i="11"/>
  <c r="DK101" i="11"/>
  <c r="DJ101" i="11"/>
  <c r="DI101" i="11"/>
  <c r="DH101" i="11"/>
  <c r="DG101" i="11"/>
  <c r="DF101" i="11"/>
  <c r="DE101" i="11"/>
  <c r="DD101" i="11"/>
  <c r="DC101" i="11"/>
  <c r="DB101" i="11"/>
  <c r="DA101" i="11"/>
  <c r="CZ101" i="11"/>
  <c r="CY101" i="11"/>
  <c r="CX101" i="11"/>
  <c r="CW101" i="11"/>
  <c r="CV101" i="11"/>
  <c r="CU101" i="11"/>
  <c r="CT101" i="11"/>
  <c r="CS101" i="11"/>
  <c r="CR101" i="11"/>
  <c r="CQ101" i="11"/>
  <c r="CP101" i="11"/>
  <c r="CO101" i="11"/>
  <c r="CN101" i="11"/>
  <c r="CM101" i="11"/>
  <c r="CL101" i="11"/>
  <c r="CK101" i="11"/>
  <c r="CJ101" i="11"/>
  <c r="CI101" i="11"/>
  <c r="CH101" i="11"/>
  <c r="CG101" i="11"/>
  <c r="CF101" i="11"/>
  <c r="CE101" i="11"/>
  <c r="CD101" i="11"/>
  <c r="CC101" i="11"/>
  <c r="CB101" i="11"/>
  <c r="CA101" i="11"/>
  <c r="BZ101" i="11"/>
  <c r="BY101" i="11"/>
  <c r="BX101" i="11"/>
  <c r="BW101" i="11"/>
  <c r="BV101" i="11"/>
  <c r="BU101" i="11"/>
  <c r="BT101" i="11"/>
  <c r="BS101" i="11"/>
  <c r="BR101" i="11"/>
  <c r="BQ101" i="11"/>
  <c r="BP101" i="11"/>
  <c r="BO101" i="11"/>
  <c r="BN101" i="11"/>
  <c r="BM101" i="11"/>
  <c r="BL101" i="11"/>
  <c r="BK101" i="11"/>
  <c r="BJ101" i="11"/>
  <c r="BI101" i="11"/>
  <c r="BH101" i="11"/>
  <c r="BG101" i="11"/>
  <c r="BF101" i="11"/>
  <c r="BE101" i="11"/>
  <c r="BD101" i="11"/>
  <c r="BC101" i="11"/>
  <c r="BB101" i="11"/>
  <c r="BA101" i="11"/>
  <c r="AZ101" i="11"/>
  <c r="AY101" i="11"/>
  <c r="AX101" i="11"/>
  <c r="AW101" i="11"/>
  <c r="AV101" i="11"/>
  <c r="AU101" i="11"/>
  <c r="AT101" i="11"/>
  <c r="AS101" i="11"/>
  <c r="AR101" i="11"/>
  <c r="AQ101" i="11"/>
  <c r="AP101" i="11"/>
  <c r="AO101" i="11"/>
  <c r="AN101" i="11"/>
  <c r="AM101" i="11"/>
  <c r="AL101" i="11"/>
  <c r="AK101" i="11"/>
  <c r="AJ101" i="11"/>
  <c r="AI101" i="11"/>
  <c r="AH101" i="11"/>
  <c r="AG101" i="11"/>
  <c r="AF101" i="11"/>
  <c r="AE101" i="11"/>
  <c r="AD101" i="11"/>
  <c r="AC101" i="11"/>
  <c r="AB101" i="11"/>
  <c r="AA101" i="11"/>
  <c r="Z101" i="11"/>
  <c r="Y101" i="11"/>
  <c r="X101" i="11"/>
  <c r="W101" i="11"/>
  <c r="V101" i="11"/>
  <c r="U101" i="11"/>
  <c r="T101" i="11"/>
  <c r="S101" i="11"/>
  <c r="R101" i="11"/>
  <c r="Q101" i="11"/>
  <c r="P101" i="11"/>
  <c r="O101" i="11"/>
  <c r="N101" i="11"/>
  <c r="M101" i="11"/>
  <c r="L101" i="11"/>
  <c r="K101" i="11"/>
  <c r="J101" i="11"/>
  <c r="DY100" i="11"/>
  <c r="DX100" i="11"/>
  <c r="DW100" i="11"/>
  <c r="DU100" i="11"/>
  <c r="DT100" i="11"/>
  <c r="DR100" i="11"/>
  <c r="DQ100" i="11"/>
  <c r="DP100" i="11"/>
  <c r="DM100" i="11"/>
  <c r="DL100" i="11"/>
  <c r="DK100" i="11"/>
  <c r="DJ100" i="11"/>
  <c r="DG100" i="11"/>
  <c r="DF100" i="11"/>
  <c r="DD100" i="11"/>
  <c r="DC100" i="11"/>
  <c r="DB100" i="11"/>
  <c r="DA100" i="11"/>
  <c r="CX100" i="11"/>
  <c r="CV100" i="11"/>
  <c r="CU100" i="11"/>
  <c r="CS100" i="11"/>
  <c r="CQ100" i="11"/>
  <c r="CP100" i="11"/>
  <c r="CN100" i="11"/>
  <c r="CM100" i="11"/>
  <c r="CL100" i="11"/>
  <c r="CJ100" i="11"/>
  <c r="CH100" i="11"/>
  <c r="CG100" i="11"/>
  <c r="CF100" i="11"/>
  <c r="CE100" i="11"/>
  <c r="CD100" i="11"/>
  <c r="CC100" i="11"/>
  <c r="CB100" i="11"/>
  <c r="BY100" i="11"/>
  <c r="BU100" i="11"/>
  <c r="BT100" i="11"/>
  <c r="BS100" i="11"/>
  <c r="BQ100" i="11"/>
  <c r="BO100" i="11"/>
  <c r="BN100" i="11"/>
  <c r="BL100" i="11"/>
  <c r="BK100" i="11"/>
  <c r="BI100" i="11"/>
  <c r="BH100" i="11"/>
  <c r="BG100" i="11"/>
  <c r="BF100" i="11"/>
  <c r="BD100" i="11"/>
  <c r="BC100" i="11"/>
  <c r="BB100" i="11"/>
  <c r="BA100" i="11"/>
  <c r="AY100" i="11"/>
  <c r="AX100" i="11"/>
  <c r="AW100" i="11"/>
  <c r="AT100" i="11"/>
  <c r="AS100" i="11"/>
  <c r="DY99" i="11"/>
  <c r="DU99" i="11"/>
  <c r="DT99" i="11"/>
  <c r="DS99" i="11"/>
  <c r="DO99" i="11"/>
  <c r="DN99" i="11"/>
  <c r="DM99" i="11"/>
  <c r="DL99" i="11"/>
  <c r="DJ99" i="11"/>
  <c r="DI99" i="11"/>
  <c r="DH99" i="11"/>
  <c r="DG99" i="11"/>
  <c r="CS99" i="11"/>
  <c r="CP99" i="11"/>
  <c r="CN99" i="11"/>
  <c r="CM99" i="11"/>
  <c r="CL99" i="11"/>
  <c r="CJ99" i="11"/>
  <c r="CI99" i="11"/>
  <c r="CH99" i="11"/>
  <c r="CG99" i="11"/>
  <c r="CF99" i="11"/>
  <c r="CE99" i="11"/>
  <c r="CD99" i="11"/>
  <c r="CC99" i="11"/>
  <c r="CB99" i="11"/>
  <c r="BV99" i="11"/>
  <c r="BJ99" i="11"/>
  <c r="BI99" i="11"/>
  <c r="BH99" i="11"/>
  <c r="BF99" i="11"/>
  <c r="BE99" i="11"/>
  <c r="BD99" i="11"/>
  <c r="BC99" i="11"/>
  <c r="AZ99" i="11"/>
  <c r="AX99" i="11"/>
  <c r="AT99" i="11"/>
  <c r="AR99" i="11"/>
  <c r="AQ99" i="11"/>
  <c r="AO99" i="11"/>
  <c r="AN99" i="11"/>
  <c r="AM99" i="11"/>
  <c r="AG99" i="11"/>
  <c r="CW99" i="11" s="1"/>
  <c r="DU98" i="11"/>
  <c r="DQ98" i="11"/>
  <c r="DP98" i="11"/>
  <c r="DO98" i="11"/>
  <c r="DK98" i="11"/>
  <c r="DJ98" i="11"/>
  <c r="DI98" i="11"/>
  <c r="DG98" i="11"/>
  <c r="DF98" i="11"/>
  <c r="DE98" i="11"/>
  <c r="DD98" i="11"/>
  <c r="DB98" i="11"/>
  <c r="DA98" i="11"/>
  <c r="CZ98" i="11"/>
  <c r="CY98" i="11"/>
  <c r="CI98" i="11"/>
  <c r="CH98" i="11"/>
  <c r="CE98" i="11"/>
  <c r="CD98" i="11"/>
  <c r="CC98" i="11"/>
  <c r="CA98" i="11"/>
  <c r="BZ98" i="11"/>
  <c r="BX98" i="11"/>
  <c r="BW98" i="11"/>
  <c r="BV98" i="11"/>
  <c r="BU98" i="11"/>
  <c r="BS98" i="11"/>
  <c r="BR98" i="11"/>
  <c r="BQ98" i="11"/>
  <c r="BP98" i="11"/>
  <c r="AY98" i="11"/>
  <c r="AX98" i="11"/>
  <c r="AW98" i="11"/>
  <c r="AV98" i="11"/>
  <c r="AT98" i="11"/>
  <c r="AS98" i="11"/>
  <c r="AR98" i="11"/>
  <c r="AQ98" i="11"/>
  <c r="AN98" i="11"/>
  <c r="AM98" i="11"/>
  <c r="AL98" i="11"/>
  <c r="AK98" i="11"/>
  <c r="AI98" i="11"/>
  <c r="AE98" i="11"/>
  <c r="AD98" i="11"/>
  <c r="U98" i="11"/>
  <c r="DX98" i="11" s="1"/>
  <c r="DY97" i="11"/>
  <c r="DX97" i="11"/>
  <c r="DW97" i="11"/>
  <c r="DV97" i="11"/>
  <c r="DU97" i="11"/>
  <c r="DT97" i="11"/>
  <c r="DS97" i="11"/>
  <c r="DR97" i="11"/>
  <c r="DQ97" i="11"/>
  <c r="DP97" i="11"/>
  <c r="DO97" i="11"/>
  <c r="DN97" i="11"/>
  <c r="DM97" i="11"/>
  <c r="DL97" i="11"/>
  <c r="DK97" i="11"/>
  <c r="DJ97" i="11"/>
  <c r="DI97" i="11"/>
  <c r="DH97" i="11"/>
  <c r="DG97" i="11"/>
  <c r="DF97" i="11"/>
  <c r="DE97" i="11"/>
  <c r="DD97" i="11"/>
  <c r="DC97" i="11"/>
  <c r="DB97" i="11"/>
  <c r="DA97" i="11"/>
  <c r="CZ97" i="11"/>
  <c r="CY97" i="11"/>
  <c r="CX97" i="11"/>
  <c r="CW97" i="11"/>
  <c r="CV97" i="11"/>
  <c r="CU97" i="11"/>
  <c r="CT97" i="11"/>
  <c r="CS97" i="11"/>
  <c r="CR97" i="11"/>
  <c r="CQ97" i="11"/>
  <c r="CP97" i="11"/>
  <c r="CO97" i="11"/>
  <c r="CN97" i="11"/>
  <c r="CM97" i="11"/>
  <c r="CL97" i="11"/>
  <c r="CK97" i="11"/>
  <c r="CJ97" i="11"/>
  <c r="CI97" i="11"/>
  <c r="CH97" i="11"/>
  <c r="CG97" i="11"/>
  <c r="CF97" i="11"/>
  <c r="CE97" i="11"/>
  <c r="CD97" i="11"/>
  <c r="CC97" i="11"/>
  <c r="CB97" i="11"/>
  <c r="CA97" i="11"/>
  <c r="BZ97" i="11"/>
  <c r="BY97" i="11"/>
  <c r="BX97" i="11"/>
  <c r="BW97" i="11"/>
  <c r="BV97" i="11"/>
  <c r="BU97" i="11"/>
  <c r="BT97" i="11"/>
  <c r="BS97" i="11"/>
  <c r="BR97" i="11"/>
  <c r="BQ97" i="11"/>
  <c r="BP97" i="11"/>
  <c r="BO97" i="11"/>
  <c r="BN97" i="11"/>
  <c r="BM97" i="11"/>
  <c r="BL97" i="11"/>
  <c r="BK97" i="11"/>
  <c r="BJ97" i="11"/>
  <c r="BI97" i="11"/>
  <c r="BH97" i="11"/>
  <c r="BG97" i="11"/>
  <c r="BF97" i="11"/>
  <c r="BE97" i="11"/>
  <c r="BD97" i="11"/>
  <c r="BC97" i="11"/>
  <c r="BB97" i="11"/>
  <c r="BA97" i="11"/>
  <c r="AZ97" i="11"/>
  <c r="AY97" i="11"/>
  <c r="AX97" i="11"/>
  <c r="AW97" i="11"/>
  <c r="AV97" i="11"/>
  <c r="AU97" i="11"/>
  <c r="AT97" i="11"/>
  <c r="AS97" i="11"/>
  <c r="AR97" i="11"/>
  <c r="AQ97" i="11"/>
  <c r="AP97" i="11"/>
  <c r="AO97" i="11"/>
  <c r="AN97" i="11"/>
  <c r="AM97" i="11"/>
  <c r="AL97" i="11"/>
  <c r="AK97" i="11"/>
  <c r="AJ97" i="11"/>
  <c r="AI97" i="11"/>
  <c r="AH97" i="11"/>
  <c r="AG97" i="11"/>
  <c r="AF97" i="11"/>
  <c r="AE97" i="11"/>
  <c r="AD97" i="11"/>
  <c r="AC97" i="11"/>
  <c r="AB97" i="11"/>
  <c r="AA97" i="11"/>
  <c r="Z97" i="11"/>
  <c r="Y97" i="11"/>
  <c r="X97" i="11"/>
  <c r="W97" i="11"/>
  <c r="V97" i="11"/>
  <c r="U97" i="11"/>
  <c r="T97" i="11"/>
  <c r="S97" i="11"/>
  <c r="R97" i="11"/>
  <c r="Q97" i="11"/>
  <c r="P97" i="11"/>
  <c r="O97" i="11"/>
  <c r="N97" i="11"/>
  <c r="M97" i="11"/>
  <c r="L97" i="11"/>
  <c r="K97" i="11"/>
  <c r="J97" i="11"/>
  <c r="DY96" i="11"/>
  <c r="DX96" i="11"/>
  <c r="DW96" i="11"/>
  <c r="DU96" i="11"/>
  <c r="DT96" i="11"/>
  <c r="DS96" i="11"/>
  <c r="DR96" i="11"/>
  <c r="DQ96" i="11"/>
  <c r="DP96" i="11"/>
  <c r="DO96" i="11"/>
  <c r="DM96" i="11"/>
  <c r="DK96" i="11"/>
  <c r="DJ96" i="11"/>
  <c r="DI96" i="11"/>
  <c r="DH96" i="11"/>
  <c r="DG96" i="11"/>
  <c r="DF96" i="11"/>
  <c r="DE96" i="11"/>
  <c r="DD96" i="11"/>
  <c r="DC96" i="11"/>
  <c r="DB96" i="11"/>
  <c r="DA96" i="11"/>
  <c r="CZ96" i="11"/>
  <c r="CX96" i="11"/>
  <c r="CW96" i="11"/>
  <c r="CV96" i="11"/>
  <c r="CU96" i="11"/>
  <c r="CT96" i="11"/>
  <c r="CS96" i="11"/>
  <c r="CR96" i="11"/>
  <c r="CQ96" i="11"/>
  <c r="CN96" i="11"/>
  <c r="CM96" i="11"/>
  <c r="CL96" i="11"/>
  <c r="CK96" i="11"/>
  <c r="CJ96" i="11"/>
  <c r="CI96" i="11"/>
  <c r="CH96" i="11"/>
  <c r="CG96" i="11"/>
  <c r="CF96" i="11"/>
  <c r="CE96" i="11"/>
  <c r="CD96" i="11"/>
  <c r="CC96" i="11"/>
  <c r="CA96" i="11"/>
  <c r="BZ96" i="11"/>
  <c r="BY96" i="11"/>
  <c r="BX96" i="11"/>
  <c r="BW96" i="11"/>
  <c r="BV96" i="11"/>
  <c r="BU96" i="11"/>
  <c r="BS96" i="11"/>
  <c r="BR96" i="11"/>
  <c r="BP96" i="11"/>
  <c r="BO96" i="11"/>
  <c r="BN96" i="11"/>
  <c r="BM96" i="11"/>
  <c r="BL96" i="11"/>
  <c r="BK96" i="11"/>
  <c r="BJ96" i="11"/>
  <c r="BI96" i="11"/>
  <c r="BH96" i="11"/>
  <c r="BG96" i="11"/>
  <c r="BF96" i="11"/>
  <c r="BD96" i="11"/>
  <c r="BC96" i="11"/>
  <c r="BB96" i="11"/>
  <c r="BA96" i="11"/>
  <c r="AZ96" i="11"/>
  <c r="AY96" i="11"/>
  <c r="AW96" i="11"/>
  <c r="AV96" i="11"/>
  <c r="AU96" i="11"/>
  <c r="AT96" i="11"/>
  <c r="AS96" i="11"/>
  <c r="DY95" i="11"/>
  <c r="DX95" i="11"/>
  <c r="DW95" i="11"/>
  <c r="DV95" i="11"/>
  <c r="DT95" i="11"/>
  <c r="DS95" i="11"/>
  <c r="DR95" i="11"/>
  <c r="DQ95" i="11"/>
  <c r="DP95" i="11"/>
  <c r="DN95" i="11"/>
  <c r="DM95" i="11"/>
  <c r="DL95" i="11"/>
  <c r="DK95" i="11"/>
  <c r="DJ95" i="11"/>
  <c r="DG95" i="11"/>
  <c r="DF95" i="11"/>
  <c r="DE95" i="11"/>
  <c r="DD95" i="11"/>
  <c r="DC95" i="11"/>
  <c r="DA95" i="11"/>
  <c r="CZ95" i="11"/>
  <c r="CY95" i="11"/>
  <c r="CX95" i="11"/>
  <c r="CV95" i="11"/>
  <c r="CU95" i="11"/>
  <c r="CT95" i="11"/>
  <c r="CS95" i="11"/>
  <c r="CQ95" i="11"/>
  <c r="CP95" i="11"/>
  <c r="CO95" i="11"/>
  <c r="CN95" i="11"/>
  <c r="CL95" i="11"/>
  <c r="CK95" i="11"/>
  <c r="CJ95" i="11"/>
  <c r="CI95" i="11"/>
  <c r="CG95" i="11"/>
  <c r="CF95" i="11"/>
  <c r="CE95" i="11"/>
  <c r="CC95" i="11"/>
  <c r="CB95" i="11"/>
  <c r="CA95" i="11"/>
  <c r="BZ95" i="11"/>
  <c r="BX95" i="11"/>
  <c r="BW95" i="11"/>
  <c r="BV95" i="11"/>
  <c r="BT95" i="11"/>
  <c r="BS95" i="11"/>
  <c r="BR95" i="11"/>
  <c r="BP95" i="11"/>
  <c r="BO95" i="11"/>
  <c r="BN95" i="11"/>
  <c r="BM95" i="11"/>
  <c r="BL95" i="11"/>
  <c r="BK95" i="11"/>
  <c r="BJ95" i="11"/>
  <c r="BI95" i="11"/>
  <c r="BG95" i="11"/>
  <c r="BE95" i="11"/>
  <c r="BD95" i="11"/>
  <c r="BC95" i="11"/>
  <c r="BB95" i="11"/>
  <c r="AZ95" i="11"/>
  <c r="AY95" i="11"/>
  <c r="AW95" i="11"/>
  <c r="AV95" i="11"/>
  <c r="AT95" i="11"/>
  <c r="AS95" i="11"/>
  <c r="AR95" i="11"/>
  <c r="AQ95" i="11"/>
  <c r="AP95" i="11"/>
  <c r="AO95" i="11"/>
  <c r="AN95" i="11"/>
  <c r="AM95" i="11"/>
  <c r="AL95" i="11"/>
  <c r="AK95" i="11"/>
  <c r="AJ95" i="11"/>
  <c r="AI95" i="11"/>
  <c r="AG95" i="11"/>
  <c r="DX94" i="11"/>
  <c r="DW94" i="11"/>
  <c r="DU94" i="11"/>
  <c r="DQ94" i="11"/>
  <c r="DP94" i="11"/>
  <c r="DN94" i="11"/>
  <c r="DM94" i="11"/>
  <c r="DL94" i="11"/>
  <c r="DK94" i="11"/>
  <c r="DI94" i="11"/>
  <c r="DH94" i="11"/>
  <c r="DG94" i="11"/>
  <c r="DF94" i="11"/>
  <c r="DE94" i="11"/>
  <c r="DD94" i="11"/>
  <c r="DB94" i="11"/>
  <c r="DA94" i="11"/>
  <c r="CU94" i="11"/>
  <c r="CT94" i="11"/>
  <c r="CS94" i="11"/>
  <c r="CQ94" i="11"/>
  <c r="CP94" i="11"/>
  <c r="CO94" i="11"/>
  <c r="CN94" i="11"/>
  <c r="CM94" i="11"/>
  <c r="CK94" i="11"/>
  <c r="CJ94" i="11"/>
  <c r="CI94" i="11"/>
  <c r="CH94" i="11"/>
  <c r="CF94" i="11"/>
  <c r="CD94" i="11"/>
  <c r="CC94" i="11"/>
  <c r="CB94" i="11"/>
  <c r="CA94" i="11"/>
  <c r="BU94" i="11"/>
  <c r="BT94" i="11"/>
  <c r="BS94" i="11"/>
  <c r="BQ94" i="11"/>
  <c r="BP94" i="11"/>
  <c r="BO94" i="11"/>
  <c r="BN94" i="11"/>
  <c r="BM94" i="11"/>
  <c r="BL94" i="11"/>
  <c r="BK94" i="11"/>
  <c r="BJ94" i="11"/>
  <c r="BH94" i="11"/>
  <c r="BF94" i="11"/>
  <c r="BE94" i="11"/>
  <c r="BC94" i="11"/>
  <c r="AY94" i="11"/>
  <c r="AX94" i="11"/>
  <c r="AU94" i="11"/>
  <c r="AT94" i="11"/>
  <c r="AS94" i="11"/>
  <c r="AQ94" i="11"/>
  <c r="AP94" i="11"/>
  <c r="AO94" i="11"/>
  <c r="AN94" i="11"/>
  <c r="AM94" i="11"/>
  <c r="AL94" i="11"/>
  <c r="AK94" i="11"/>
  <c r="AJ94" i="11"/>
  <c r="AG94" i="11"/>
  <c r="AF94" i="11"/>
  <c r="AD94" i="11"/>
  <c r="AA94" i="11"/>
  <c r="Z94" i="11"/>
  <c r="Y94" i="11"/>
  <c r="X94" i="11"/>
  <c r="U94" i="11"/>
  <c r="DY93" i="11"/>
  <c r="DX93" i="11"/>
  <c r="DW93" i="11"/>
  <c r="DV93" i="11"/>
  <c r="DU93" i="11"/>
  <c r="DT93" i="11"/>
  <c r="DS93" i="11"/>
  <c r="DR93" i="11"/>
  <c r="DQ93" i="11"/>
  <c r="DP93" i="11"/>
  <c r="DO93" i="11"/>
  <c r="DN93" i="11"/>
  <c r="DM93" i="11"/>
  <c r="DL93" i="11"/>
  <c r="DK93" i="11"/>
  <c r="DJ93" i="11"/>
  <c r="DI93" i="11"/>
  <c r="DH93" i="11"/>
  <c r="DG93" i="11"/>
  <c r="DF93" i="11"/>
  <c r="DE93" i="11"/>
  <c r="DD93" i="11"/>
  <c r="DC93" i="11"/>
  <c r="DB93" i="11"/>
  <c r="DA93" i="11"/>
  <c r="CZ93" i="11"/>
  <c r="CY93" i="11"/>
  <c r="CX93" i="11"/>
  <c r="CW93" i="11"/>
  <c r="CV93" i="11"/>
  <c r="CU93" i="11"/>
  <c r="CT93" i="11"/>
  <c r="CS93" i="11"/>
  <c r="CR93" i="11"/>
  <c r="CQ93" i="11"/>
  <c r="CP93" i="11"/>
  <c r="CO93" i="11"/>
  <c r="CN93" i="11"/>
  <c r="CM93" i="11"/>
  <c r="CL93" i="11"/>
  <c r="CK93" i="11"/>
  <c r="CJ93" i="11"/>
  <c r="CI93" i="11"/>
  <c r="CH93" i="11"/>
  <c r="CG93" i="11"/>
  <c r="CF93" i="11"/>
  <c r="CE93" i="11"/>
  <c r="CD93" i="11"/>
  <c r="CC93" i="11"/>
  <c r="CB93" i="11"/>
  <c r="CA93" i="11"/>
  <c r="BZ93" i="11"/>
  <c r="BY93" i="11"/>
  <c r="BX93" i="11"/>
  <c r="BW93" i="11"/>
  <c r="BV93" i="11"/>
  <c r="BU93" i="11"/>
  <c r="BT93" i="11"/>
  <c r="BS93" i="11"/>
  <c r="BR93" i="11"/>
  <c r="BQ93" i="11"/>
  <c r="BP93" i="11"/>
  <c r="BO93" i="11"/>
  <c r="BN93" i="11"/>
  <c r="BM93" i="11"/>
  <c r="BL93" i="11"/>
  <c r="BK93" i="11"/>
  <c r="BJ93" i="11"/>
  <c r="BI93" i="11"/>
  <c r="BH93" i="11"/>
  <c r="BG93" i="11"/>
  <c r="BF93" i="11"/>
  <c r="BE93" i="11"/>
  <c r="BD93" i="11"/>
  <c r="BC93" i="11"/>
  <c r="BB93" i="11"/>
  <c r="BA93" i="11"/>
  <c r="AZ93" i="11"/>
  <c r="AY93" i="11"/>
  <c r="AX93" i="11"/>
  <c r="AW93" i="11"/>
  <c r="AV93" i="11"/>
  <c r="AU93" i="11"/>
  <c r="AT93" i="11"/>
  <c r="AS93" i="11"/>
  <c r="AR93" i="11"/>
  <c r="AQ93" i="11"/>
  <c r="AP93" i="11"/>
  <c r="AO93" i="11"/>
  <c r="AN93" i="11"/>
  <c r="AM93" i="11"/>
  <c r="AL93" i="11"/>
  <c r="AK93" i="11"/>
  <c r="AJ93" i="11"/>
  <c r="AI93" i="11"/>
  <c r="AH93" i="11"/>
  <c r="AG93" i="11"/>
  <c r="AF93" i="11"/>
  <c r="AE93" i="11"/>
  <c r="AD93" i="11"/>
  <c r="AC93" i="11"/>
  <c r="AB93" i="11"/>
  <c r="AA93" i="11"/>
  <c r="Z93" i="11"/>
  <c r="Y93" i="11"/>
  <c r="X93" i="11"/>
  <c r="W93" i="11"/>
  <c r="V93" i="11"/>
  <c r="U93" i="11"/>
  <c r="T93" i="11"/>
  <c r="S93" i="11"/>
  <c r="R93" i="11"/>
  <c r="Q93" i="11"/>
  <c r="P93" i="11"/>
  <c r="O93" i="11"/>
  <c r="N93" i="11"/>
  <c r="M93" i="11"/>
  <c r="L93" i="11"/>
  <c r="K93" i="11"/>
  <c r="J93" i="11"/>
  <c r="DV92" i="11"/>
  <c r="CJ92" i="11"/>
  <c r="CG92" i="11"/>
  <c r="CF92" i="11"/>
  <c r="CB92" i="11"/>
  <c r="CA92" i="11"/>
  <c r="AS92" i="11"/>
  <c r="DL92" i="11" s="1"/>
  <c r="DY91" i="11"/>
  <c r="DW91" i="11"/>
  <c r="DV91" i="11"/>
  <c r="DU91" i="11"/>
  <c r="DR91" i="11"/>
  <c r="CI91" i="11"/>
  <c r="BX91" i="11"/>
  <c r="BV91" i="11"/>
  <c r="BU91" i="11"/>
  <c r="BT91" i="11"/>
  <c r="BP91" i="11"/>
  <c r="BO91" i="11"/>
  <c r="BN91" i="11"/>
  <c r="AG91" i="11"/>
  <c r="CX91" i="11" s="1"/>
  <c r="DY90" i="11"/>
  <c r="DX90" i="11"/>
  <c r="DW90" i="11"/>
  <c r="DU90" i="11"/>
  <c r="DT90" i="11"/>
  <c r="DS90" i="11"/>
  <c r="DR90" i="11"/>
  <c r="DQ90" i="11"/>
  <c r="DN90" i="11"/>
  <c r="DM90" i="11"/>
  <c r="DL90" i="11"/>
  <c r="DG90" i="11"/>
  <c r="DE90" i="11"/>
  <c r="DC90" i="11"/>
  <c r="DB90" i="11"/>
  <c r="DA90" i="11"/>
  <c r="CZ90" i="11"/>
  <c r="CX90" i="11"/>
  <c r="CW90" i="11"/>
  <c r="CV90" i="11"/>
  <c r="CU90" i="11"/>
  <c r="CT90" i="11"/>
  <c r="CS90" i="11"/>
  <c r="CR90" i="11"/>
  <c r="CP90" i="11"/>
  <c r="CN90" i="11"/>
  <c r="CM90" i="11"/>
  <c r="CL90" i="11"/>
  <c r="CG90" i="11"/>
  <c r="CF90" i="11"/>
  <c r="CE90" i="11"/>
  <c r="CC90" i="11"/>
  <c r="BZ90" i="11"/>
  <c r="BY90" i="11"/>
  <c r="BX90" i="11"/>
  <c r="BW90" i="11"/>
  <c r="BV90" i="11"/>
  <c r="BU90" i="11"/>
  <c r="BT90" i="11"/>
  <c r="BQ90" i="11"/>
  <c r="BP90" i="11"/>
  <c r="BO90" i="11"/>
  <c r="BN90" i="11"/>
  <c r="BL90" i="11"/>
  <c r="BK90" i="11"/>
  <c r="BJ90" i="11"/>
  <c r="BG90" i="11"/>
  <c r="BF90" i="11"/>
  <c r="BB90" i="11"/>
  <c r="BA90" i="11"/>
  <c r="AZ90" i="11"/>
  <c r="AY90" i="11"/>
  <c r="AW90" i="11"/>
  <c r="AV90" i="11"/>
  <c r="AT90" i="11"/>
  <c r="AS90" i="11"/>
  <c r="AR90" i="11"/>
  <c r="AQ90" i="11"/>
  <c r="AO90" i="11"/>
  <c r="AN90" i="11"/>
  <c r="AM90" i="11"/>
  <c r="AL90" i="11"/>
  <c r="AK90" i="11"/>
  <c r="AG90" i="11"/>
  <c r="AF90" i="11"/>
  <c r="AE90" i="11"/>
  <c r="AC90" i="11"/>
  <c r="AB90" i="11"/>
  <c r="Z90" i="11"/>
  <c r="Y90" i="11"/>
  <c r="W90" i="11"/>
  <c r="V90" i="11"/>
  <c r="U90" i="11"/>
  <c r="DY89" i="11"/>
  <c r="DX89" i="11"/>
  <c r="DW89" i="11"/>
  <c r="DV89" i="11"/>
  <c r="DU89" i="11"/>
  <c r="DT89" i="11"/>
  <c r="DS89" i="11"/>
  <c r="DR89" i="11"/>
  <c r="DQ89" i="11"/>
  <c r="DP89" i="11"/>
  <c r="DO89" i="11"/>
  <c r="DN89" i="11"/>
  <c r="DM89" i="11"/>
  <c r="DL89" i="11"/>
  <c r="DK89" i="11"/>
  <c r="DJ89" i="11"/>
  <c r="DI89" i="11"/>
  <c r="DH89" i="11"/>
  <c r="DG89" i="11"/>
  <c r="DF89" i="11"/>
  <c r="DE89" i="11"/>
  <c r="DD89" i="11"/>
  <c r="DC89" i="11"/>
  <c r="DB89" i="11"/>
  <c r="DA89" i="11"/>
  <c r="CZ89" i="11"/>
  <c r="CY89" i="11"/>
  <c r="CX89" i="11"/>
  <c r="CW89" i="11"/>
  <c r="CV89" i="11"/>
  <c r="CU89" i="11"/>
  <c r="CT89" i="11"/>
  <c r="CS89" i="11"/>
  <c r="CR89" i="11"/>
  <c r="CQ89" i="11"/>
  <c r="CP89" i="11"/>
  <c r="CO89" i="11"/>
  <c r="CN89" i="11"/>
  <c r="CM89" i="11"/>
  <c r="CL89" i="11"/>
  <c r="CK89" i="11"/>
  <c r="CJ89" i="11"/>
  <c r="CI89" i="11"/>
  <c r="CH89" i="11"/>
  <c r="CG89" i="11"/>
  <c r="CF89" i="11"/>
  <c r="CE89" i="11"/>
  <c r="CD89" i="11"/>
  <c r="CC89" i="11"/>
  <c r="CB89" i="11"/>
  <c r="CA89" i="11"/>
  <c r="BZ89" i="11"/>
  <c r="BY89" i="11"/>
  <c r="BX89" i="11"/>
  <c r="BW89" i="11"/>
  <c r="BV89" i="11"/>
  <c r="BU89" i="11"/>
  <c r="BT89" i="11"/>
  <c r="BS89" i="11"/>
  <c r="BR89" i="11"/>
  <c r="BQ89" i="11"/>
  <c r="BP89" i="11"/>
  <c r="BO89" i="11"/>
  <c r="BN89" i="11"/>
  <c r="BM89" i="11"/>
  <c r="BL89" i="11"/>
  <c r="BK89" i="11"/>
  <c r="BJ89" i="11"/>
  <c r="BI89" i="11"/>
  <c r="BH89" i="11"/>
  <c r="BG89" i="11"/>
  <c r="BF89" i="11"/>
  <c r="BE89" i="11"/>
  <c r="BD89" i="11"/>
  <c r="BC89" i="11"/>
  <c r="BB89" i="11"/>
  <c r="BA89" i="11"/>
  <c r="AZ89" i="11"/>
  <c r="AY89" i="11"/>
  <c r="AX89" i="11"/>
  <c r="AW89" i="11"/>
  <c r="AV89" i="11"/>
  <c r="AU89" i="11"/>
  <c r="AT89" i="11"/>
  <c r="AS89" i="11"/>
  <c r="AR89" i="11"/>
  <c r="AQ89" i="11"/>
  <c r="AP89" i="11"/>
  <c r="AO89" i="11"/>
  <c r="AN89" i="11"/>
  <c r="AM89" i="11"/>
  <c r="AL89" i="11"/>
  <c r="AK89" i="11"/>
  <c r="AJ89" i="11"/>
  <c r="AI89" i="11"/>
  <c r="AH89" i="11"/>
  <c r="AG89" i="11"/>
  <c r="AF89" i="11"/>
  <c r="AE89" i="11"/>
  <c r="AD89" i="11"/>
  <c r="AC89" i="11"/>
  <c r="AB89" i="11"/>
  <c r="AA89" i="11"/>
  <c r="Z89" i="11"/>
  <c r="Y89" i="11"/>
  <c r="X89" i="11"/>
  <c r="W89" i="11"/>
  <c r="V89" i="11"/>
  <c r="U89" i="11"/>
  <c r="U80" i="11" s="1"/>
  <c r="T89" i="11"/>
  <c r="S89" i="11"/>
  <c r="R89" i="11"/>
  <c r="Q89" i="11"/>
  <c r="P89" i="11"/>
  <c r="O89" i="11"/>
  <c r="N89" i="11"/>
  <c r="M89" i="11"/>
  <c r="L89" i="11"/>
  <c r="K89" i="11"/>
  <c r="J89" i="11"/>
  <c r="DY88" i="11"/>
  <c r="DX88" i="11"/>
  <c r="DW88" i="11"/>
  <c r="DU88" i="11"/>
  <c r="DT88" i="11"/>
  <c r="DS88" i="11"/>
  <c r="DP88" i="11"/>
  <c r="DO88" i="11"/>
  <c r="DN88" i="11"/>
  <c r="DM88" i="11"/>
  <c r="DJ88" i="11"/>
  <c r="DI88" i="11"/>
  <c r="DH88" i="11"/>
  <c r="CI88" i="11"/>
  <c r="CG88" i="11"/>
  <c r="CF88" i="11"/>
  <c r="CE88" i="11"/>
  <c r="CD88" i="11"/>
  <c r="CA88" i="11"/>
  <c r="BZ88" i="11"/>
  <c r="BO88" i="11"/>
  <c r="BM88" i="11"/>
  <c r="BL88" i="11"/>
  <c r="BJ88" i="11"/>
  <c r="BI88" i="11"/>
  <c r="BH88" i="11"/>
  <c r="AS88" i="11"/>
  <c r="CP88" i="11" s="1"/>
  <c r="DX87" i="11"/>
  <c r="DW87" i="11"/>
  <c r="DV87" i="11"/>
  <c r="DU87" i="11"/>
  <c r="DT87" i="11"/>
  <c r="DS87" i="11"/>
  <c r="DR87" i="11"/>
  <c r="DQ87" i="11"/>
  <c r="DP87" i="11"/>
  <c r="DO87" i="11"/>
  <c r="DN87" i="11"/>
  <c r="DM87" i="11"/>
  <c r="DK87" i="11"/>
  <c r="DI87" i="11"/>
  <c r="DH87" i="11"/>
  <c r="DG87" i="11"/>
  <c r="DD87" i="11"/>
  <c r="DB87" i="11"/>
  <c r="DA87" i="11"/>
  <c r="CZ87" i="11"/>
  <c r="CY87" i="11"/>
  <c r="CX87" i="11"/>
  <c r="CW87" i="11"/>
  <c r="CV87" i="11"/>
  <c r="CU87" i="11"/>
  <c r="CT87" i="11"/>
  <c r="CS87" i="11"/>
  <c r="CR87" i="11"/>
  <c r="CQ87" i="11"/>
  <c r="CP87" i="11"/>
  <c r="CO87" i="11"/>
  <c r="CN87" i="11"/>
  <c r="CK87" i="11"/>
  <c r="CJ87" i="11"/>
  <c r="CI87" i="11"/>
  <c r="CF87" i="11"/>
  <c r="CD87" i="11"/>
  <c r="CC87" i="11"/>
  <c r="CB87" i="11"/>
  <c r="CA87" i="11"/>
  <c r="BZ87" i="11"/>
  <c r="BY87" i="11"/>
  <c r="BX87" i="11"/>
  <c r="BW87" i="11"/>
  <c r="BV87" i="11"/>
  <c r="BU87" i="11"/>
  <c r="BT87" i="11"/>
  <c r="BS87" i="11"/>
  <c r="BR87" i="11"/>
  <c r="BQ87" i="11"/>
  <c r="BO87" i="11"/>
  <c r="BN87" i="11"/>
  <c r="BL87" i="11"/>
  <c r="BI87" i="11"/>
  <c r="BH87" i="11"/>
  <c r="BG87" i="11"/>
  <c r="BE87" i="11"/>
  <c r="BD87" i="11"/>
  <c r="BC87" i="11"/>
  <c r="BB87" i="11"/>
  <c r="BA87" i="11"/>
  <c r="AZ87" i="11"/>
  <c r="AY87" i="11"/>
  <c r="AX87" i="11"/>
  <c r="AW87" i="11"/>
  <c r="AV87" i="11"/>
  <c r="AU87" i="11"/>
  <c r="AT87" i="11"/>
  <c r="AR87" i="11"/>
  <c r="AQ87" i="11"/>
  <c r="AP87" i="11"/>
  <c r="AN87" i="11"/>
  <c r="AK87" i="11"/>
  <c r="AJ87" i="11"/>
  <c r="AI87" i="11"/>
  <c r="AH87" i="11"/>
  <c r="AG87" i="11"/>
  <c r="DY86" i="11"/>
  <c r="DX86" i="11"/>
  <c r="DW86" i="11"/>
  <c r="DV86" i="11"/>
  <c r="DU86" i="11"/>
  <c r="DT86" i="11"/>
  <c r="DS86" i="11"/>
  <c r="DR86" i="11"/>
  <c r="DQ86" i="11"/>
  <c r="DP86" i="11"/>
  <c r="DN86" i="11"/>
  <c r="DM86" i="11"/>
  <c r="DK86" i="11"/>
  <c r="DJ86" i="11"/>
  <c r="DH86" i="11"/>
  <c r="DG86" i="11"/>
  <c r="DF86" i="11"/>
  <c r="DE86" i="11"/>
  <c r="DD86" i="11"/>
  <c r="DC86" i="11"/>
  <c r="DB86" i="11"/>
  <c r="DA86" i="11"/>
  <c r="CZ86" i="11"/>
  <c r="CY86" i="11"/>
  <c r="CX86" i="11"/>
  <c r="CW86" i="11"/>
  <c r="CV86" i="11"/>
  <c r="CU86" i="11"/>
  <c r="CT86" i="11"/>
  <c r="CS86" i="11"/>
  <c r="CQ86" i="11"/>
  <c r="CO86" i="11"/>
  <c r="CN86" i="11"/>
  <c r="CM86" i="11"/>
  <c r="CK86" i="11"/>
  <c r="CJ86" i="11"/>
  <c r="CI86" i="11"/>
  <c r="CH86" i="11"/>
  <c r="CG86" i="11"/>
  <c r="CF86" i="11"/>
  <c r="CE86" i="11"/>
  <c r="CD86" i="11"/>
  <c r="CC86" i="11"/>
  <c r="CB86" i="11"/>
  <c r="CA86" i="11"/>
  <c r="BZ86" i="11"/>
  <c r="BY86" i="11"/>
  <c r="BX86" i="11"/>
  <c r="BW86" i="11"/>
  <c r="BV86" i="11"/>
  <c r="BS86" i="11"/>
  <c r="BR86" i="11"/>
  <c r="BQ86" i="11"/>
  <c r="BP86" i="11"/>
  <c r="BN86" i="11"/>
  <c r="BM86" i="11"/>
  <c r="BL86" i="11"/>
  <c r="BK86" i="11"/>
  <c r="BJ86" i="11"/>
  <c r="BI86" i="11"/>
  <c r="BH86" i="11"/>
  <c r="BG86" i="11"/>
  <c r="BF86" i="11"/>
  <c r="BE86" i="11"/>
  <c r="BD86" i="11"/>
  <c r="BC86" i="11"/>
  <c r="BB86" i="11"/>
  <c r="BA86" i="11"/>
  <c r="AZ86" i="11"/>
  <c r="AY86" i="11"/>
  <c r="AV86" i="11"/>
  <c r="AU86" i="11"/>
  <c r="AT86" i="11"/>
  <c r="AS86" i="11"/>
  <c r="AQ86" i="11"/>
  <c r="AP86" i="11"/>
  <c r="AO86" i="11"/>
  <c r="AN86" i="11"/>
  <c r="AM86" i="11"/>
  <c r="AL86" i="11"/>
  <c r="AK86" i="11"/>
  <c r="AJ86" i="11"/>
  <c r="AI86" i="11"/>
  <c r="AH86" i="11"/>
  <c r="AG86" i="11"/>
  <c r="AF86" i="11"/>
  <c r="AE86" i="11"/>
  <c r="AD86" i="11"/>
  <c r="AC86" i="11"/>
  <c r="AA86" i="11"/>
  <c r="Y86" i="11"/>
  <c r="X86" i="11"/>
  <c r="W86" i="11"/>
  <c r="V86" i="11"/>
  <c r="U86" i="11"/>
  <c r="DY85" i="11"/>
  <c r="DX85" i="11"/>
  <c r="DW85" i="11"/>
  <c r="DV85" i="11"/>
  <c r="DU85" i="11"/>
  <c r="DT85" i="11"/>
  <c r="DS85" i="11"/>
  <c r="DR85" i="11"/>
  <c r="DQ85" i="11"/>
  <c r="DP85" i="11"/>
  <c r="DO85" i="11"/>
  <c r="DN85" i="11"/>
  <c r="DM85" i="11"/>
  <c r="DL85" i="11"/>
  <c r="DK85" i="11"/>
  <c r="DJ85" i="11"/>
  <c r="DI85" i="11"/>
  <c r="DH85" i="11"/>
  <c r="DG85" i="11"/>
  <c r="DF85" i="11"/>
  <c r="DE85" i="11"/>
  <c r="DD85" i="11"/>
  <c r="DC85" i="11"/>
  <c r="DB85" i="11"/>
  <c r="DA85" i="11"/>
  <c r="CZ85" i="11"/>
  <c r="CY85" i="11"/>
  <c r="CX85" i="11"/>
  <c r="CW85" i="11"/>
  <c r="CV85" i="11"/>
  <c r="CU85" i="11"/>
  <c r="CT85" i="11"/>
  <c r="CS85" i="11"/>
  <c r="CR85" i="11"/>
  <c r="CQ85" i="11"/>
  <c r="CP85" i="11"/>
  <c r="CO85" i="11"/>
  <c r="CN85" i="11"/>
  <c r="CM85" i="11"/>
  <c r="CL85" i="11"/>
  <c r="CK85" i="11"/>
  <c r="CJ85" i="11"/>
  <c r="CI85" i="11"/>
  <c r="CH85" i="11"/>
  <c r="CG85" i="11"/>
  <c r="CF85" i="11"/>
  <c r="CE85" i="11"/>
  <c r="CD85" i="11"/>
  <c r="CC85" i="11"/>
  <c r="CB85" i="11"/>
  <c r="CA85" i="11"/>
  <c r="BZ85" i="11"/>
  <c r="BY85" i="11"/>
  <c r="BX85" i="11"/>
  <c r="BW85" i="11"/>
  <c r="BV85" i="11"/>
  <c r="BU85" i="11"/>
  <c r="BT85" i="11"/>
  <c r="BS85" i="11"/>
  <c r="BR85" i="11"/>
  <c r="BQ85" i="11"/>
  <c r="BP85" i="11"/>
  <c r="BO85" i="11"/>
  <c r="BN85" i="11"/>
  <c r="BM85" i="11"/>
  <c r="BL85" i="11"/>
  <c r="BK85" i="11"/>
  <c r="BJ85" i="11"/>
  <c r="BI85" i="11"/>
  <c r="BH85" i="11"/>
  <c r="BG85" i="11"/>
  <c r="BF85" i="11"/>
  <c r="BE85" i="11"/>
  <c r="BD85" i="11"/>
  <c r="BC85" i="11"/>
  <c r="BB85" i="11"/>
  <c r="BA85" i="11"/>
  <c r="AZ85" i="11"/>
  <c r="AY85" i="11"/>
  <c r="AX85" i="11"/>
  <c r="AW85" i="11"/>
  <c r="AV85" i="11"/>
  <c r="AU85" i="11"/>
  <c r="AT85" i="11"/>
  <c r="AS85" i="11"/>
  <c r="AR85" i="11"/>
  <c r="AQ85" i="11"/>
  <c r="AP85" i="11"/>
  <c r="AO85" i="11"/>
  <c r="AN85" i="11"/>
  <c r="AM85" i="11"/>
  <c r="AL85" i="11"/>
  <c r="AK85" i="11"/>
  <c r="AJ85" i="11"/>
  <c r="AI85" i="11"/>
  <c r="AH85" i="11"/>
  <c r="AG85" i="11"/>
  <c r="AF85" i="11"/>
  <c r="AE85" i="11"/>
  <c r="AD85" i="11"/>
  <c r="AC85" i="11"/>
  <c r="AB85" i="11"/>
  <c r="AA85" i="11"/>
  <c r="Z85" i="11"/>
  <c r="Y85" i="11"/>
  <c r="X85" i="11"/>
  <c r="W85" i="11"/>
  <c r="V85" i="11"/>
  <c r="U85" i="11"/>
  <c r="T85" i="11"/>
  <c r="S85" i="11"/>
  <c r="R85" i="11"/>
  <c r="Q85" i="11"/>
  <c r="P85" i="11"/>
  <c r="O85" i="11"/>
  <c r="N85" i="11"/>
  <c r="M85" i="11"/>
  <c r="L85" i="11"/>
  <c r="K85" i="11"/>
  <c r="J85" i="11"/>
  <c r="DW84" i="11"/>
  <c r="DS84" i="11"/>
  <c r="DQ84" i="11"/>
  <c r="DP84" i="11"/>
  <c r="DO84" i="11"/>
  <c r="DL84" i="11"/>
  <c r="DK84" i="11"/>
  <c r="CG84" i="11"/>
  <c r="CF84" i="11"/>
  <c r="CE84" i="11"/>
  <c r="CD84" i="11"/>
  <c r="CB84" i="11"/>
  <c r="BY84" i="11"/>
  <c r="BW84" i="11"/>
  <c r="BV84" i="11"/>
  <c r="AS84" i="11"/>
  <c r="DE84" i="11" s="1"/>
  <c r="DY83" i="11"/>
  <c r="DX83" i="11"/>
  <c r="DW83" i="11"/>
  <c r="DV83" i="11"/>
  <c r="DT83" i="11"/>
  <c r="DS83" i="11"/>
  <c r="DQ83" i="11"/>
  <c r="DP83" i="11"/>
  <c r="DN83" i="11"/>
  <c r="DM83" i="11"/>
  <c r="DI83" i="11"/>
  <c r="DH83" i="11"/>
  <c r="DG83" i="11"/>
  <c r="DE83" i="11"/>
  <c r="DD83" i="11"/>
  <c r="DC83" i="11"/>
  <c r="DB83" i="11"/>
  <c r="DA83" i="11"/>
  <c r="CZ83" i="11"/>
  <c r="CY83" i="11"/>
  <c r="CX83" i="11"/>
  <c r="CW83" i="11"/>
  <c r="CU83" i="11"/>
  <c r="CT83" i="11"/>
  <c r="CR83" i="11"/>
  <c r="CQ83" i="11"/>
  <c r="CP83" i="11"/>
  <c r="CO83" i="11"/>
  <c r="CJ83" i="11"/>
  <c r="CI83" i="11"/>
  <c r="CG83" i="11"/>
  <c r="CF83" i="11"/>
  <c r="CE83" i="11"/>
  <c r="CD83" i="11"/>
  <c r="CC83" i="11"/>
  <c r="CB83" i="11"/>
  <c r="CA83" i="11"/>
  <c r="BY83" i="11"/>
  <c r="BX83" i="11"/>
  <c r="BW83" i="11"/>
  <c r="BV83" i="11"/>
  <c r="BU83" i="11"/>
  <c r="BT83" i="11"/>
  <c r="BS83" i="11"/>
  <c r="BP83" i="11"/>
  <c r="BM83" i="11"/>
  <c r="BL83" i="11"/>
  <c r="BK83" i="11"/>
  <c r="BH83" i="11"/>
  <c r="BG83" i="11"/>
  <c r="BF83" i="11"/>
  <c r="BE83" i="11"/>
  <c r="BC83" i="11"/>
  <c r="BB83" i="11"/>
  <c r="BA83" i="11"/>
  <c r="AZ83" i="11"/>
  <c r="AY83" i="11"/>
  <c r="AX83" i="11"/>
  <c r="AW83" i="11"/>
  <c r="AV83" i="11"/>
  <c r="AU83" i="11"/>
  <c r="AS83" i="11"/>
  <c r="AR83" i="11"/>
  <c r="AO83" i="11"/>
  <c r="AM83" i="11"/>
  <c r="AK83" i="11"/>
  <c r="AJ83" i="11"/>
  <c r="AI83" i="11"/>
  <c r="AG83" i="11"/>
  <c r="DY82" i="11"/>
  <c r="DX82" i="11"/>
  <c r="DW82" i="11"/>
  <c r="DV82" i="11"/>
  <c r="DU82" i="11"/>
  <c r="DT82" i="11"/>
  <c r="DS82" i="11"/>
  <c r="DR82" i="11"/>
  <c r="DQ82" i="11"/>
  <c r="DP82" i="11"/>
  <c r="DO82" i="11"/>
  <c r="DN82" i="11"/>
  <c r="DM82" i="11"/>
  <c r="DL82" i="11"/>
  <c r="DK82" i="11"/>
  <c r="DJ82" i="11"/>
  <c r="DI82" i="11"/>
  <c r="DH82" i="11"/>
  <c r="DG82" i="11"/>
  <c r="DF82" i="11"/>
  <c r="DD82" i="11"/>
  <c r="DC82" i="11"/>
  <c r="DB82" i="11"/>
  <c r="DA82" i="11"/>
  <c r="CZ82" i="11"/>
  <c r="CY82" i="11"/>
  <c r="CX82" i="11"/>
  <c r="CW82" i="11"/>
  <c r="CV82" i="11"/>
  <c r="CU82" i="11"/>
  <c r="CT82" i="11"/>
  <c r="CS82" i="11"/>
  <c r="CR82" i="11"/>
  <c r="CQ82" i="11"/>
  <c r="CP82" i="11"/>
  <c r="CO82" i="11"/>
  <c r="CN82" i="11"/>
  <c r="CM82" i="11"/>
  <c r="CL82" i="11"/>
  <c r="CK82" i="11"/>
  <c r="CJ82" i="11"/>
  <c r="CH82" i="11"/>
  <c r="CG82" i="11"/>
  <c r="CF82" i="11"/>
  <c r="CE82" i="11"/>
  <c r="CD82" i="11"/>
  <c r="CC82" i="11"/>
  <c r="CB82" i="11"/>
  <c r="CA82" i="11"/>
  <c r="BZ82" i="11"/>
  <c r="BY82" i="11"/>
  <c r="BX82" i="11"/>
  <c r="BW82" i="11"/>
  <c r="BV82" i="11"/>
  <c r="BU82" i="11"/>
  <c r="BT82" i="11"/>
  <c r="BS82" i="11"/>
  <c r="BR82" i="11"/>
  <c r="BQ82" i="11"/>
  <c r="BP82" i="11"/>
  <c r="BO82" i="11"/>
  <c r="BN82" i="11"/>
  <c r="BL82" i="11"/>
  <c r="BK82" i="11"/>
  <c r="BJ82" i="11"/>
  <c r="BI82" i="11"/>
  <c r="BH82" i="11"/>
  <c r="BG82" i="11"/>
  <c r="BF82" i="11"/>
  <c r="BE82" i="11"/>
  <c r="BD82" i="11"/>
  <c r="BC82" i="11"/>
  <c r="BB82" i="11"/>
  <c r="BA82" i="11"/>
  <c r="AZ82" i="11"/>
  <c r="AY82" i="11"/>
  <c r="AX82" i="11"/>
  <c r="AW82" i="11"/>
  <c r="AV82" i="11"/>
  <c r="AU82" i="11"/>
  <c r="AT82" i="11"/>
  <c r="AS82" i="11"/>
  <c r="AR82" i="11"/>
  <c r="AP82" i="11"/>
  <c r="AO82" i="11"/>
  <c r="AN82" i="11"/>
  <c r="AM82" i="11"/>
  <c r="AL82" i="11"/>
  <c r="AK82" i="11"/>
  <c r="AJ82" i="11"/>
  <c r="AI82" i="11"/>
  <c r="AH82" i="11"/>
  <c r="AG82" i="11"/>
  <c r="AF82" i="11"/>
  <c r="AE82" i="11"/>
  <c r="AD82" i="11"/>
  <c r="AC82" i="11"/>
  <c r="AB82" i="11"/>
  <c r="AA82" i="11"/>
  <c r="Z82" i="11"/>
  <c r="Y82" i="11"/>
  <c r="X82" i="11"/>
  <c r="W82" i="11"/>
  <c r="V82" i="11"/>
  <c r="U82" i="11"/>
  <c r="DE82" i="11" s="1"/>
  <c r="DY81" i="11"/>
  <c r="DX81" i="11"/>
  <c r="DW81" i="11"/>
  <c r="DV81" i="11"/>
  <c r="DU81" i="11"/>
  <c r="DT81" i="11"/>
  <c r="DS81" i="11"/>
  <c r="DR81" i="11"/>
  <c r="DQ81" i="11"/>
  <c r="DP81" i="11"/>
  <c r="DO81" i="11"/>
  <c r="DN81" i="11"/>
  <c r="DM81" i="11"/>
  <c r="DL81" i="11"/>
  <c r="DK81" i="11"/>
  <c r="DJ81" i="11"/>
  <c r="DI81" i="11"/>
  <c r="DH81" i="11"/>
  <c r="DG81" i="11"/>
  <c r="DF81" i="11"/>
  <c r="DE81" i="11"/>
  <c r="DD81" i="11"/>
  <c r="DC81" i="11"/>
  <c r="DB81" i="11"/>
  <c r="DA81" i="11"/>
  <c r="CZ81" i="11"/>
  <c r="CY81" i="11"/>
  <c r="CX81" i="11"/>
  <c r="CW81" i="11"/>
  <c r="CV81" i="11"/>
  <c r="CU81" i="11"/>
  <c r="CT81" i="11"/>
  <c r="CS81" i="11"/>
  <c r="CR81" i="11"/>
  <c r="CQ81" i="11"/>
  <c r="CP81" i="11"/>
  <c r="CO81" i="11"/>
  <c r="CN81" i="11"/>
  <c r="CM81" i="11"/>
  <c r="CL81" i="11"/>
  <c r="CK81" i="11"/>
  <c r="CJ81" i="11"/>
  <c r="CI81" i="11"/>
  <c r="CH81" i="11"/>
  <c r="CG81" i="11"/>
  <c r="CF81" i="11"/>
  <c r="CE81" i="11"/>
  <c r="CD81" i="11"/>
  <c r="CC81" i="11"/>
  <c r="CB81" i="11"/>
  <c r="CA81" i="11"/>
  <c r="BZ81" i="11"/>
  <c r="BY81" i="11"/>
  <c r="BX81" i="11"/>
  <c r="BW81" i="11"/>
  <c r="BV81" i="11"/>
  <c r="BU81" i="11"/>
  <c r="BT81" i="11"/>
  <c r="BS81" i="11"/>
  <c r="BR81" i="11"/>
  <c r="BQ81" i="11"/>
  <c r="BP81" i="11"/>
  <c r="BO81" i="11"/>
  <c r="BN81" i="11"/>
  <c r="BM81" i="11"/>
  <c r="BL81" i="11"/>
  <c r="BK81" i="11"/>
  <c r="BJ81" i="11"/>
  <c r="BI81" i="11"/>
  <c r="BH81" i="11"/>
  <c r="BG81" i="11"/>
  <c r="BF81" i="11"/>
  <c r="BE81" i="11"/>
  <c r="BD81" i="11"/>
  <c r="BC81" i="11"/>
  <c r="BB81" i="11"/>
  <c r="BA81" i="11"/>
  <c r="AZ81" i="11"/>
  <c r="AY81" i="11"/>
  <c r="AX81" i="11"/>
  <c r="AW81" i="11"/>
  <c r="AV81" i="11"/>
  <c r="AU81" i="11"/>
  <c r="AT81" i="11"/>
  <c r="AS81" i="11"/>
  <c r="AR81" i="11"/>
  <c r="AQ81" i="11"/>
  <c r="AP81" i="11"/>
  <c r="AO81" i="11"/>
  <c r="AN81" i="11"/>
  <c r="AM81" i="11"/>
  <c r="AL81" i="11"/>
  <c r="AK81" i="11"/>
  <c r="AJ81" i="11"/>
  <c r="AI81" i="11"/>
  <c r="AH81" i="11"/>
  <c r="AG81" i="11"/>
  <c r="AF81" i="11"/>
  <c r="AE81" i="11"/>
  <c r="AD81" i="11"/>
  <c r="AC81" i="11"/>
  <c r="AB81" i="11"/>
  <c r="AA81" i="11"/>
  <c r="Z81" i="11"/>
  <c r="Y81" i="11"/>
  <c r="X81" i="11"/>
  <c r="W81" i="11"/>
  <c r="V81" i="11"/>
  <c r="U81" i="11"/>
  <c r="T81" i="11"/>
  <c r="S81" i="11"/>
  <c r="R81" i="11"/>
  <c r="Q81" i="11"/>
  <c r="Q80" i="11" s="1"/>
  <c r="P81" i="11"/>
  <c r="P80" i="11" s="1"/>
  <c r="O81" i="11"/>
  <c r="N81" i="11"/>
  <c r="N80" i="11" s="1"/>
  <c r="M81" i="11"/>
  <c r="M80" i="11" s="1"/>
  <c r="M112" i="11" s="1"/>
  <c r="L81" i="11"/>
  <c r="L80" i="11" s="1"/>
  <c r="K81" i="11"/>
  <c r="K80" i="11" s="1"/>
  <c r="K112" i="11" s="1"/>
  <c r="J81" i="11"/>
  <c r="T80" i="11"/>
  <c r="O80" i="11"/>
  <c r="I80" i="11"/>
  <c r="CC79" i="11"/>
  <c r="CB79" i="11"/>
  <c r="CA79" i="11"/>
  <c r="BZ79" i="11"/>
  <c r="BY79" i="11"/>
  <c r="BX79" i="11"/>
  <c r="BW79" i="11"/>
  <c r="BU79" i="11"/>
  <c r="BT79" i="11"/>
  <c r="BS79" i="11"/>
  <c r="BR79" i="11"/>
  <c r="BP79" i="11"/>
  <c r="BO79" i="11"/>
  <c r="BN79" i="11"/>
  <c r="BM79" i="11"/>
  <c r="BL79" i="11"/>
  <c r="BK79" i="11"/>
  <c r="BJ79" i="11"/>
  <c r="BH79" i="11"/>
  <c r="BF79" i="11"/>
  <c r="BE79" i="11"/>
  <c r="BD79" i="11"/>
  <c r="BC79" i="11"/>
  <c r="BB79" i="11"/>
  <c r="BA79" i="11"/>
  <c r="AZ79" i="11"/>
  <c r="AY79" i="11"/>
  <c r="AW79" i="11"/>
  <c r="AV79" i="11"/>
  <c r="AU79" i="11"/>
  <c r="AT79" i="11"/>
  <c r="AS79" i="11"/>
  <c r="CC78" i="11"/>
  <c r="CB78" i="11"/>
  <c r="CA78" i="11"/>
  <c r="BZ78" i="11"/>
  <c r="BY78" i="11"/>
  <c r="BX78" i="11"/>
  <c r="BU78" i="11"/>
  <c r="BT78" i="11"/>
  <c r="BS78" i="11"/>
  <c r="BR78" i="11"/>
  <c r="BQ78" i="11"/>
  <c r="BP78" i="11"/>
  <c r="BO78" i="11"/>
  <c r="BN78" i="11"/>
  <c r="BM78" i="11"/>
  <c r="BL78" i="11"/>
  <c r="BH78" i="11"/>
  <c r="BG78" i="11"/>
  <c r="BE78" i="11"/>
  <c r="BD78" i="11"/>
  <c r="BC78" i="11"/>
  <c r="BB78" i="11"/>
  <c r="BA78" i="11"/>
  <c r="AX78" i="11"/>
  <c r="AW78" i="11"/>
  <c r="AV78" i="11"/>
  <c r="AU78" i="11"/>
  <c r="AT78" i="11"/>
  <c r="AS78" i="11"/>
  <c r="AR78" i="11"/>
  <c r="AQ78" i="11"/>
  <c r="AP78" i="11"/>
  <c r="AO78" i="11"/>
  <c r="AN78" i="11"/>
  <c r="AK78" i="11"/>
  <c r="AJ78" i="11"/>
  <c r="AI78" i="11"/>
  <c r="AG78" i="11"/>
  <c r="CC77" i="11"/>
  <c r="CB77" i="11"/>
  <c r="BZ77" i="11"/>
  <c r="BX77" i="11"/>
  <c r="BV77" i="11"/>
  <c r="BU77" i="11"/>
  <c r="BT77" i="11"/>
  <c r="BS77" i="11"/>
  <c r="BR77" i="11"/>
  <c r="BQ77" i="11"/>
  <c r="BP77" i="11"/>
  <c r="BO77" i="11"/>
  <c r="BN77" i="11"/>
  <c r="BM77" i="11"/>
  <c r="BJ77" i="11"/>
  <c r="BI77" i="11"/>
  <c r="BH77" i="11"/>
  <c r="BF77" i="11"/>
  <c r="BD77" i="11"/>
  <c r="BC77" i="11"/>
  <c r="AZ77" i="11"/>
  <c r="AY77" i="11"/>
  <c r="AX77" i="11"/>
  <c r="AW77" i="11"/>
  <c r="AU77" i="11"/>
  <c r="AT77" i="11"/>
  <c r="AS77" i="11"/>
  <c r="AR77" i="11"/>
  <c r="AQ77" i="11"/>
  <c r="AP77" i="11"/>
  <c r="AO77" i="11"/>
  <c r="AL77" i="11"/>
  <c r="AK77" i="11"/>
  <c r="AJ77" i="11"/>
  <c r="AG77" i="11"/>
  <c r="AF77" i="11"/>
  <c r="AD77" i="11"/>
  <c r="AC77" i="11"/>
  <c r="AB77" i="11"/>
  <c r="AA77" i="11"/>
  <c r="Y77" i="11"/>
  <c r="X77" i="11"/>
  <c r="W77" i="11"/>
  <c r="V77" i="11"/>
  <c r="U77" i="11"/>
  <c r="DY76" i="11"/>
  <c r="DX76" i="11"/>
  <c r="DW76" i="11"/>
  <c r="DV76" i="11"/>
  <c r="DU76" i="11"/>
  <c r="DT76" i="11"/>
  <c r="DS76" i="11"/>
  <c r="DR76" i="11"/>
  <c r="DQ76" i="11"/>
  <c r="DP76" i="11"/>
  <c r="DO76" i="11"/>
  <c r="DN76" i="11"/>
  <c r="DM76" i="11"/>
  <c r="DL76" i="11"/>
  <c r="DK76" i="11"/>
  <c r="DJ76" i="11"/>
  <c r="DI76" i="11"/>
  <c r="DH76" i="11"/>
  <c r="DG76" i="11"/>
  <c r="DF76" i="11"/>
  <c r="DE76" i="11"/>
  <c r="DD76" i="11"/>
  <c r="DC76" i="11"/>
  <c r="DB76" i="11"/>
  <c r="DA76" i="11"/>
  <c r="CZ76" i="11"/>
  <c r="CY76" i="11"/>
  <c r="CX76" i="11"/>
  <c r="CW76" i="11"/>
  <c r="CV76" i="11"/>
  <c r="CU76" i="11"/>
  <c r="CT76" i="11"/>
  <c r="CS76" i="11"/>
  <c r="CR76" i="11"/>
  <c r="CQ76" i="11"/>
  <c r="CP76" i="11"/>
  <c r="CO76" i="11"/>
  <c r="CN76" i="11"/>
  <c r="CM76" i="11"/>
  <c r="CL76" i="11"/>
  <c r="CK76" i="11"/>
  <c r="CJ76" i="11"/>
  <c r="CI76" i="11"/>
  <c r="CH76" i="11"/>
  <c r="CG76" i="11"/>
  <c r="CF76" i="11"/>
  <c r="CE76" i="11"/>
  <c r="CD76" i="11"/>
  <c r="CC76" i="11"/>
  <c r="CB76" i="11"/>
  <c r="CA76" i="11"/>
  <c r="BZ76" i="11"/>
  <c r="BY76" i="11"/>
  <c r="BX76" i="11"/>
  <c r="BW76" i="11"/>
  <c r="BV76" i="11"/>
  <c r="BU76" i="11"/>
  <c r="BT76" i="11"/>
  <c r="BS76" i="11"/>
  <c r="BR76" i="11"/>
  <c r="BQ76" i="11"/>
  <c r="BP76" i="11"/>
  <c r="BO76" i="11"/>
  <c r="BN76" i="11"/>
  <c r="BM76" i="11"/>
  <c r="BL76" i="11"/>
  <c r="BK76" i="11"/>
  <c r="BJ76" i="11"/>
  <c r="BI76" i="11"/>
  <c r="BH76" i="11"/>
  <c r="BG76" i="11"/>
  <c r="BF76" i="11"/>
  <c r="BE76" i="11"/>
  <c r="BD76" i="11"/>
  <c r="BC76" i="11"/>
  <c r="BB76" i="11"/>
  <c r="BA76" i="11"/>
  <c r="AZ76" i="11"/>
  <c r="AY76" i="11"/>
  <c r="AX76" i="11"/>
  <c r="AW76" i="11"/>
  <c r="AV76" i="11"/>
  <c r="AU76" i="11"/>
  <c r="AT76" i="11"/>
  <c r="AS76" i="11"/>
  <c r="AR76" i="11"/>
  <c r="AQ76" i="11"/>
  <c r="AP76" i="11"/>
  <c r="AO76" i="11"/>
  <c r="AN76" i="11"/>
  <c r="AM76" i="11"/>
  <c r="AL76" i="11"/>
  <c r="AK76" i="11"/>
  <c r="AJ76" i="11"/>
  <c r="AI76" i="11"/>
  <c r="AH76" i="11"/>
  <c r="AG76" i="11"/>
  <c r="AF76" i="11"/>
  <c r="AE76" i="11"/>
  <c r="AD76" i="11"/>
  <c r="AC76" i="11"/>
  <c r="AB76" i="11"/>
  <c r="AA76" i="11"/>
  <c r="Z76" i="11"/>
  <c r="Y76" i="11"/>
  <c r="X76" i="11"/>
  <c r="W76" i="11"/>
  <c r="V76" i="11"/>
  <c r="U76" i="11"/>
  <c r="T76" i="11"/>
  <c r="S76" i="11"/>
  <c r="R76" i="11"/>
  <c r="Q76" i="11"/>
  <c r="P76" i="11"/>
  <c r="O76" i="11"/>
  <c r="N76" i="11"/>
  <c r="M76" i="11"/>
  <c r="L76" i="11"/>
  <c r="K76" i="11"/>
  <c r="J76" i="11"/>
  <c r="DY75" i="11"/>
  <c r="DW75" i="11"/>
  <c r="DN75" i="11"/>
  <c r="DL75" i="11"/>
  <c r="DK75" i="11"/>
  <c r="DJ75" i="11"/>
  <c r="DI75" i="11"/>
  <c r="DE75" i="11"/>
  <c r="DD75" i="11"/>
  <c r="DC75" i="11"/>
  <c r="CZ75" i="11"/>
  <c r="CY75" i="11"/>
  <c r="CB75" i="11"/>
  <c r="CA75" i="11"/>
  <c r="BZ75" i="11"/>
  <c r="BY75" i="11"/>
  <c r="BX75" i="11"/>
  <c r="BW75" i="11"/>
  <c r="BV75" i="11"/>
  <c r="BU75" i="11"/>
  <c r="BT75" i="11"/>
  <c r="BS75" i="11"/>
  <c r="BR75" i="11"/>
  <c r="BQ75" i="11"/>
  <c r="BB75" i="11"/>
  <c r="BA75" i="11"/>
  <c r="AS75" i="11"/>
  <c r="DR74" i="11"/>
  <c r="DP74" i="11"/>
  <c r="DF74" i="11"/>
  <c r="DE74" i="11"/>
  <c r="DD74" i="11"/>
  <c r="DB74" i="11"/>
  <c r="DA74" i="11"/>
  <c r="CZ74" i="11"/>
  <c r="CY74" i="11"/>
  <c r="CX74" i="11"/>
  <c r="CW74" i="11"/>
  <c r="BT74" i="11"/>
  <c r="BS74" i="11"/>
  <c r="BQ74" i="11"/>
  <c r="BP74" i="11"/>
  <c r="BN74" i="11"/>
  <c r="BM74" i="11"/>
  <c r="BL74" i="11"/>
  <c r="BJ74" i="11"/>
  <c r="BH74" i="11"/>
  <c r="BG74" i="11"/>
  <c r="AV74" i="11"/>
  <c r="AG74" i="11"/>
  <c r="CL74" i="11" s="1"/>
  <c r="DH73" i="11"/>
  <c r="DG73" i="11"/>
  <c r="DF73" i="11"/>
  <c r="DD73" i="11"/>
  <c r="DC73" i="11"/>
  <c r="DB73" i="11"/>
  <c r="BQ73" i="11"/>
  <c r="BP73" i="11"/>
  <c r="BO73" i="11"/>
  <c r="BN73" i="11"/>
  <c r="BM73" i="11"/>
  <c r="BL73" i="11"/>
  <c r="U73" i="11"/>
  <c r="CR73" i="11" s="1"/>
  <c r="DY72" i="11"/>
  <c r="DX72" i="11"/>
  <c r="DW72" i="11"/>
  <c r="DV72" i="11"/>
  <c r="DU72" i="11"/>
  <c r="DT72" i="11"/>
  <c r="DS72" i="11"/>
  <c r="DR72" i="11"/>
  <c r="DQ72" i="11"/>
  <c r="DP72" i="11"/>
  <c r="DO72" i="11"/>
  <c r="DN72" i="11"/>
  <c r="DM72" i="11"/>
  <c r="DL72" i="11"/>
  <c r="DK72" i="11"/>
  <c r="DJ72" i="11"/>
  <c r="DI72" i="11"/>
  <c r="DH72" i="11"/>
  <c r="DG72" i="11"/>
  <c r="DF72" i="11"/>
  <c r="DE72" i="11"/>
  <c r="DD72" i="11"/>
  <c r="DC72" i="11"/>
  <c r="DB72" i="11"/>
  <c r="DA72" i="11"/>
  <c r="CZ72" i="11"/>
  <c r="CY72" i="11"/>
  <c r="CX72" i="11"/>
  <c r="CW72" i="11"/>
  <c r="CV72" i="11"/>
  <c r="CU72" i="11"/>
  <c r="CT72" i="11"/>
  <c r="CS72" i="11"/>
  <c r="CR72" i="11"/>
  <c r="CQ72" i="11"/>
  <c r="CP72" i="11"/>
  <c r="CO72" i="11"/>
  <c r="CN72" i="11"/>
  <c r="CM72" i="11"/>
  <c r="CL72" i="11"/>
  <c r="CK72" i="11"/>
  <c r="CJ72" i="11"/>
  <c r="CI72" i="11"/>
  <c r="CH72" i="11"/>
  <c r="CG72" i="11"/>
  <c r="CF72" i="11"/>
  <c r="CE72" i="11"/>
  <c r="CD72" i="11"/>
  <c r="CC72" i="11"/>
  <c r="CB72" i="11"/>
  <c r="CA72" i="11"/>
  <c r="BZ72" i="11"/>
  <c r="BY72" i="11"/>
  <c r="BX72" i="11"/>
  <c r="BW72" i="11"/>
  <c r="BV72" i="11"/>
  <c r="BU72" i="11"/>
  <c r="BT72" i="11"/>
  <c r="BS72" i="11"/>
  <c r="BR72" i="11"/>
  <c r="BQ72" i="11"/>
  <c r="BP72" i="11"/>
  <c r="BO72" i="11"/>
  <c r="BN72" i="11"/>
  <c r="BM72" i="11"/>
  <c r="BL72" i="11"/>
  <c r="BK72" i="11"/>
  <c r="BJ72" i="11"/>
  <c r="BI72" i="11"/>
  <c r="BH72" i="11"/>
  <c r="BG72" i="11"/>
  <c r="BF72" i="11"/>
  <c r="BE72" i="11"/>
  <c r="BD72" i="11"/>
  <c r="BC72" i="11"/>
  <c r="BB72" i="11"/>
  <c r="BA72" i="11"/>
  <c r="AZ72" i="11"/>
  <c r="AY72" i="11"/>
  <c r="AX72" i="11"/>
  <c r="AW72" i="11"/>
  <c r="AV72" i="11"/>
  <c r="AU72" i="11"/>
  <c r="AT72" i="11"/>
  <c r="AS72" i="11"/>
  <c r="AR72" i="11"/>
  <c r="AQ72" i="11"/>
  <c r="AP72" i="11"/>
  <c r="AO72" i="11"/>
  <c r="AN72" i="11"/>
  <c r="AM72" i="11"/>
  <c r="AL72" i="11"/>
  <c r="AK72" i="11"/>
  <c r="AJ72" i="11"/>
  <c r="AI72" i="11"/>
  <c r="AH72" i="11"/>
  <c r="AG72" i="11"/>
  <c r="AF72" i="11"/>
  <c r="AE72" i="11"/>
  <c r="AD72" i="11"/>
  <c r="AC72" i="11"/>
  <c r="AB72" i="11"/>
  <c r="AA72" i="11"/>
  <c r="Z72" i="11"/>
  <c r="Y72" i="11"/>
  <c r="X72" i="11"/>
  <c r="W72" i="11"/>
  <c r="V72" i="11"/>
  <c r="U72" i="11"/>
  <c r="T72" i="11"/>
  <c r="S72" i="11"/>
  <c r="R72" i="11"/>
  <c r="Q72" i="11"/>
  <c r="P72" i="11"/>
  <c r="O72" i="11"/>
  <c r="N72" i="11"/>
  <c r="M72" i="11"/>
  <c r="L72" i="11"/>
  <c r="K72" i="11"/>
  <c r="J72" i="11"/>
  <c r="AS71" i="11"/>
  <c r="DY70" i="11"/>
  <c r="DX70" i="11"/>
  <c r="DW70" i="11"/>
  <c r="DV70" i="11"/>
  <c r="DU70" i="11"/>
  <c r="DT70" i="11"/>
  <c r="DQ70" i="11"/>
  <c r="DP70" i="11"/>
  <c r="DO70" i="11"/>
  <c r="DM70" i="11"/>
  <c r="DL70" i="11"/>
  <c r="DK70" i="11"/>
  <c r="DJ70" i="11"/>
  <c r="DI70" i="11"/>
  <c r="DF70" i="11"/>
  <c r="DE70" i="11"/>
  <c r="DD70" i="11"/>
  <c r="DB70" i="11"/>
  <c r="DA70" i="11"/>
  <c r="CZ70" i="11"/>
  <c r="CY70" i="11"/>
  <c r="CX70" i="11"/>
  <c r="CW70" i="11"/>
  <c r="CT70" i="11"/>
  <c r="CS70" i="11"/>
  <c r="CR70" i="11"/>
  <c r="CQ70" i="11"/>
  <c r="CP70" i="11"/>
  <c r="CO70" i="11"/>
  <c r="CN70" i="11"/>
  <c r="CL70" i="11"/>
  <c r="CK70" i="11"/>
  <c r="CH70" i="11"/>
  <c r="CG70" i="11"/>
  <c r="CF70" i="11"/>
  <c r="CD70" i="11"/>
  <c r="CC70" i="11"/>
  <c r="CB70" i="11"/>
  <c r="CA70" i="11"/>
  <c r="BY70" i="11"/>
  <c r="BW70" i="11"/>
  <c r="BV70" i="11"/>
  <c r="BU70" i="11"/>
  <c r="BT70" i="11"/>
  <c r="BS70" i="11"/>
  <c r="BR70" i="11"/>
  <c r="BQ70" i="11"/>
  <c r="BP70" i="11"/>
  <c r="BO70" i="11"/>
  <c r="BN70" i="11"/>
  <c r="BM70" i="11"/>
  <c r="BI70" i="11"/>
  <c r="BH70" i="11"/>
  <c r="BF70" i="11"/>
  <c r="BE70" i="11"/>
  <c r="BC70" i="11"/>
  <c r="BB70" i="11"/>
  <c r="AZ70" i="11"/>
  <c r="AY70" i="11"/>
  <c r="AX70" i="11"/>
  <c r="AW70" i="11"/>
  <c r="AV70" i="11"/>
  <c r="AU70" i="11"/>
  <c r="AT70" i="11"/>
  <c r="AS70" i="11"/>
  <c r="AR70" i="11"/>
  <c r="AQ70" i="11"/>
  <c r="AP70" i="11"/>
  <c r="AO70" i="11"/>
  <c r="AL70" i="11"/>
  <c r="AK70" i="11"/>
  <c r="AJ70" i="11"/>
  <c r="AG70" i="11"/>
  <c r="DY69" i="11"/>
  <c r="DX69" i="11"/>
  <c r="DW69" i="11"/>
  <c r="DV69" i="11"/>
  <c r="DU69" i="11"/>
  <c r="DT69" i="11"/>
  <c r="DS69" i="11"/>
  <c r="DR69" i="11"/>
  <c r="DQ69" i="11"/>
  <c r="DP69" i="11"/>
  <c r="DO69" i="11"/>
  <c r="DN69" i="11"/>
  <c r="DM69" i="11"/>
  <c r="DL69" i="11"/>
  <c r="DK69" i="11"/>
  <c r="DJ69" i="11"/>
  <c r="DI69" i="11"/>
  <c r="DH69" i="11"/>
  <c r="DG69" i="11"/>
  <c r="DF69" i="11"/>
  <c r="DD69" i="11"/>
  <c r="DC69" i="11"/>
  <c r="DB69" i="11"/>
  <c r="DA69" i="11"/>
  <c r="CZ69" i="11"/>
  <c r="CY69" i="11"/>
  <c r="CX69" i="11"/>
  <c r="CW69" i="11"/>
  <c r="CV69" i="11"/>
  <c r="CU69" i="11"/>
  <c r="CT69" i="11"/>
  <c r="CS69" i="11"/>
  <c r="CR69" i="11"/>
  <c r="CQ69" i="11"/>
  <c r="CP69" i="11"/>
  <c r="CO69" i="11"/>
  <c r="CN69" i="11"/>
  <c r="CM69" i="11"/>
  <c r="CL69" i="11"/>
  <c r="CK69" i="11"/>
  <c r="CJ69" i="11"/>
  <c r="CH69" i="11"/>
  <c r="CG69" i="11"/>
  <c r="CF69" i="11"/>
  <c r="CE69" i="11"/>
  <c r="CD69" i="11"/>
  <c r="CC69" i="11"/>
  <c r="CB69" i="11"/>
  <c r="CA69" i="11"/>
  <c r="BZ69" i="11"/>
  <c r="BY69" i="11"/>
  <c r="BX69" i="11"/>
  <c r="BW69" i="11"/>
  <c r="BV69" i="11"/>
  <c r="BU69" i="11"/>
  <c r="BT69" i="11"/>
  <c r="BS69" i="11"/>
  <c r="BR69" i="11"/>
  <c r="BQ69" i="11"/>
  <c r="BP69" i="11"/>
  <c r="BO69" i="11"/>
  <c r="BN69" i="11"/>
  <c r="BL69" i="11"/>
  <c r="BK69" i="11"/>
  <c r="BJ69" i="11"/>
  <c r="BI69" i="11"/>
  <c r="BH69" i="11"/>
  <c r="BG69" i="11"/>
  <c r="BF69" i="11"/>
  <c r="BE69" i="11"/>
  <c r="BD69" i="11"/>
  <c r="BC69" i="11"/>
  <c r="BB69" i="11"/>
  <c r="BA69" i="11"/>
  <c r="AZ69" i="11"/>
  <c r="AY69" i="11"/>
  <c r="AX69" i="11"/>
  <c r="AW69" i="11"/>
  <c r="AV69" i="11"/>
  <c r="AU69" i="11"/>
  <c r="AT69" i="11"/>
  <c r="AS69" i="11"/>
  <c r="AR69" i="11"/>
  <c r="AP69" i="11"/>
  <c r="AO69" i="11"/>
  <c r="AN69" i="11"/>
  <c r="AM69" i="11"/>
  <c r="AL69" i="11"/>
  <c r="AK69" i="11"/>
  <c r="AJ69" i="11"/>
  <c r="AI69" i="11"/>
  <c r="AH69" i="11"/>
  <c r="AG69" i="11"/>
  <c r="AF69" i="11"/>
  <c r="AE69" i="11"/>
  <c r="AD69" i="11"/>
  <c r="AC69" i="11"/>
  <c r="AB69" i="11"/>
  <c r="AA69" i="11"/>
  <c r="Z69" i="11"/>
  <c r="Y69" i="11"/>
  <c r="X69" i="11"/>
  <c r="W69" i="11"/>
  <c r="V69" i="11"/>
  <c r="U69" i="11"/>
  <c r="DE69" i="11" s="1"/>
  <c r="DY68" i="11"/>
  <c r="DX68" i="11"/>
  <c r="DW68" i="11"/>
  <c r="DV68" i="11"/>
  <c r="DU68" i="11"/>
  <c r="DT68" i="11"/>
  <c r="DS68" i="11"/>
  <c r="DR68" i="11"/>
  <c r="DQ68" i="11"/>
  <c r="DP68" i="11"/>
  <c r="DO68" i="11"/>
  <c r="DN68" i="11"/>
  <c r="DM68" i="11"/>
  <c r="DL68" i="11"/>
  <c r="DK68" i="11"/>
  <c r="DJ68" i="11"/>
  <c r="DI68" i="11"/>
  <c r="DH68" i="11"/>
  <c r="DG68" i="11"/>
  <c r="DF68" i="11"/>
  <c r="DE68" i="11"/>
  <c r="DD68" i="11"/>
  <c r="DC68" i="11"/>
  <c r="DB68" i="11"/>
  <c r="DA68" i="11"/>
  <c r="CZ68" i="11"/>
  <c r="CY68" i="11"/>
  <c r="CX68" i="11"/>
  <c r="CW68" i="11"/>
  <c r="CV68" i="11"/>
  <c r="CU68" i="11"/>
  <c r="CT68" i="11"/>
  <c r="CS68" i="11"/>
  <c r="CR68" i="11"/>
  <c r="CQ68" i="11"/>
  <c r="CP68" i="11"/>
  <c r="CO68" i="11"/>
  <c r="CN68" i="11"/>
  <c r="CM68" i="11"/>
  <c r="CL68" i="11"/>
  <c r="CK68" i="11"/>
  <c r="CJ68" i="11"/>
  <c r="CI68" i="11"/>
  <c r="CH68" i="11"/>
  <c r="CG68" i="11"/>
  <c r="CF68" i="11"/>
  <c r="CE68" i="11"/>
  <c r="CD68" i="11"/>
  <c r="CC68" i="11"/>
  <c r="CB68" i="11"/>
  <c r="CA68" i="11"/>
  <c r="BZ68" i="11"/>
  <c r="BY68" i="11"/>
  <c r="BX68" i="11"/>
  <c r="BW68" i="11"/>
  <c r="BV68" i="11"/>
  <c r="BU68" i="11"/>
  <c r="BT68" i="11"/>
  <c r="BS68" i="11"/>
  <c r="BR68" i="11"/>
  <c r="BQ68" i="11"/>
  <c r="BP68" i="11"/>
  <c r="BO68" i="11"/>
  <c r="BN68" i="11"/>
  <c r="BM68" i="11"/>
  <c r="BL68" i="11"/>
  <c r="BK68" i="11"/>
  <c r="BJ68" i="11"/>
  <c r="BI68" i="11"/>
  <c r="BH68" i="11"/>
  <c r="BG68" i="11"/>
  <c r="BF68" i="11"/>
  <c r="BE68" i="11"/>
  <c r="BD68" i="11"/>
  <c r="BC68" i="11"/>
  <c r="BB68" i="11"/>
  <c r="BA68" i="11"/>
  <c r="AZ68" i="11"/>
  <c r="AY68" i="11"/>
  <c r="AX68" i="11"/>
  <c r="AW68" i="11"/>
  <c r="AV68" i="11"/>
  <c r="AU68" i="11"/>
  <c r="AT68" i="11"/>
  <c r="AS68" i="11"/>
  <c r="AR68" i="11"/>
  <c r="AQ68" i="11"/>
  <c r="AP68" i="11"/>
  <c r="AO68" i="11"/>
  <c r="AN68" i="11"/>
  <c r="AM68" i="11"/>
  <c r="AL68" i="11"/>
  <c r="AK68" i="11"/>
  <c r="AJ68" i="11"/>
  <c r="AI68" i="11"/>
  <c r="AH68" i="11"/>
  <c r="AG68" i="11"/>
  <c r="AF68" i="11"/>
  <c r="AE68" i="11"/>
  <c r="AD68" i="11"/>
  <c r="AC68" i="11"/>
  <c r="AB68" i="11"/>
  <c r="AA68" i="11"/>
  <c r="Z68" i="11"/>
  <c r="Y68" i="11"/>
  <c r="X68" i="11"/>
  <c r="W68" i="11"/>
  <c r="V68" i="11"/>
  <c r="U68" i="11"/>
  <c r="T68" i="11"/>
  <c r="S68" i="11"/>
  <c r="R68" i="11"/>
  <c r="Q68" i="11"/>
  <c r="P68" i="11"/>
  <c r="O68" i="11"/>
  <c r="N68" i="11"/>
  <c r="M68" i="11"/>
  <c r="L68" i="11"/>
  <c r="K68" i="11"/>
  <c r="J68" i="11"/>
  <c r="BQ67" i="11"/>
  <c r="BL67" i="11"/>
  <c r="BK67" i="11"/>
  <c r="BJ67" i="11"/>
  <c r="BI67" i="11"/>
  <c r="BH67" i="11"/>
  <c r="BD67" i="11"/>
  <c r="BC67" i="11"/>
  <c r="BB67" i="11"/>
  <c r="AZ67" i="11"/>
  <c r="AY67" i="11"/>
  <c r="AS67" i="11"/>
  <c r="BQ66" i="11"/>
  <c r="BL66" i="11"/>
  <c r="BK66" i="11"/>
  <c r="BH66" i="11"/>
  <c r="BE66" i="11"/>
  <c r="BD66" i="11"/>
  <c r="BC66" i="11"/>
  <c r="BA66" i="11"/>
  <c r="AZ66" i="11"/>
  <c r="AX66" i="11"/>
  <c r="AW66" i="11"/>
  <c r="AV66" i="11"/>
  <c r="AU66" i="11"/>
  <c r="AS66" i="11"/>
  <c r="AR66" i="11"/>
  <c r="AQ66" i="11"/>
  <c r="AP66" i="11"/>
  <c r="AN66" i="11"/>
  <c r="AL66" i="11"/>
  <c r="AG66" i="11"/>
  <c r="BJ66" i="11" s="1"/>
  <c r="BQ65" i="11"/>
  <c r="BP65" i="11"/>
  <c r="BN65" i="11"/>
  <c r="BL65" i="11"/>
  <c r="BK65" i="11"/>
  <c r="BJ65" i="11"/>
  <c r="BI65" i="11"/>
  <c r="BH65" i="11"/>
  <c r="BG65" i="11"/>
  <c r="BF65" i="11"/>
  <c r="BE65" i="11"/>
  <c r="BC65" i="11"/>
  <c r="BA65" i="11"/>
  <c r="AZ65" i="11"/>
  <c r="AY65" i="11"/>
  <c r="AW65" i="11"/>
  <c r="AT65" i="11"/>
  <c r="AS65" i="11"/>
  <c r="AR65" i="11"/>
  <c r="AO65" i="11"/>
  <c r="AN65" i="11"/>
  <c r="AM65" i="11"/>
  <c r="AL65" i="11"/>
  <c r="AK65" i="11"/>
  <c r="AJ65" i="11"/>
  <c r="AI65" i="11"/>
  <c r="AH65" i="11"/>
  <c r="AG65" i="11"/>
  <c r="AE65" i="11"/>
  <c r="AD65" i="11"/>
  <c r="AC65" i="11"/>
  <c r="AA65" i="11"/>
  <c r="Z65" i="11"/>
  <c r="Y65" i="11"/>
  <c r="V65" i="11"/>
  <c r="U65" i="11"/>
  <c r="DY64" i="11"/>
  <c r="DX64" i="11"/>
  <c r="DW64" i="11"/>
  <c r="DV64" i="11"/>
  <c r="DU64" i="11"/>
  <c r="DT64" i="11"/>
  <c r="DS64" i="11"/>
  <c r="DR64" i="11"/>
  <c r="DQ64" i="11"/>
  <c r="DP64" i="11"/>
  <c r="DO64" i="11"/>
  <c r="DN64" i="11"/>
  <c r="DM64" i="11"/>
  <c r="DL64" i="11"/>
  <c r="DK64" i="11"/>
  <c r="DJ64" i="11"/>
  <c r="DI64" i="11"/>
  <c r="DH64" i="11"/>
  <c r="DG64" i="11"/>
  <c r="DF64" i="11"/>
  <c r="DE64" i="11"/>
  <c r="DD64" i="11"/>
  <c r="DC64" i="11"/>
  <c r="DB64" i="11"/>
  <c r="DA64" i="11"/>
  <c r="CZ64" i="11"/>
  <c r="CY64" i="11"/>
  <c r="CX64" i="11"/>
  <c r="CW64" i="11"/>
  <c r="CV64" i="11"/>
  <c r="CU64" i="11"/>
  <c r="CT64" i="11"/>
  <c r="CS64" i="11"/>
  <c r="CR64" i="11"/>
  <c r="CQ64" i="11"/>
  <c r="CP64" i="11"/>
  <c r="CO64" i="11"/>
  <c r="CN64" i="11"/>
  <c r="CM64" i="11"/>
  <c r="CL64" i="11"/>
  <c r="CK64" i="11"/>
  <c r="CJ64" i="11"/>
  <c r="CI64" i="11"/>
  <c r="CH64" i="11"/>
  <c r="CG64" i="11"/>
  <c r="CF64" i="11"/>
  <c r="CE64" i="11"/>
  <c r="CD64" i="11"/>
  <c r="CC64" i="11"/>
  <c r="CC59" i="11" s="1"/>
  <c r="CB64" i="11"/>
  <c r="CA64" i="11"/>
  <c r="BZ64" i="11"/>
  <c r="BY64" i="11"/>
  <c r="BX64" i="11"/>
  <c r="BW64" i="11"/>
  <c r="BV64" i="11"/>
  <c r="BU64" i="11"/>
  <c r="BT64" i="11"/>
  <c r="BS64" i="11"/>
  <c r="BR64" i="11"/>
  <c r="BQ64" i="11"/>
  <c r="BP64" i="11"/>
  <c r="BO64" i="11"/>
  <c r="BN64" i="11"/>
  <c r="BM64" i="11"/>
  <c r="BL64" i="11"/>
  <c r="BK64" i="11"/>
  <c r="BJ64" i="11"/>
  <c r="BI64" i="11"/>
  <c r="BH64" i="11"/>
  <c r="BG64" i="11"/>
  <c r="BF64" i="11"/>
  <c r="BE64" i="11"/>
  <c r="BD64" i="11"/>
  <c r="BC64" i="11"/>
  <c r="BB64" i="11"/>
  <c r="BA64" i="11"/>
  <c r="AZ64" i="11"/>
  <c r="AY64" i="11"/>
  <c r="AX64" i="11"/>
  <c r="AW64" i="11"/>
  <c r="AV64" i="11"/>
  <c r="AU64" i="11"/>
  <c r="AT64" i="11"/>
  <c r="AS64" i="11"/>
  <c r="AR64" i="11"/>
  <c r="AQ64" i="11"/>
  <c r="AP64" i="11"/>
  <c r="AO64" i="11"/>
  <c r="AN64" i="11"/>
  <c r="AM64" i="11"/>
  <c r="AL64" i="11"/>
  <c r="AK64" i="11"/>
  <c r="AJ64" i="11"/>
  <c r="AI64" i="11"/>
  <c r="AH64" i="11"/>
  <c r="AG64" i="11"/>
  <c r="AF64" i="11"/>
  <c r="AE64" i="11"/>
  <c r="AD64" i="11"/>
  <c r="AC64" i="11"/>
  <c r="AC59" i="11" s="1"/>
  <c r="AB64" i="11"/>
  <c r="AA64" i="11"/>
  <c r="AA59" i="11" s="1"/>
  <c r="Z64" i="11"/>
  <c r="Z59" i="11" s="1"/>
  <c r="Y64" i="11"/>
  <c r="X64" i="11"/>
  <c r="W64" i="11"/>
  <c r="V64" i="11"/>
  <c r="U64" i="11"/>
  <c r="U59" i="11" s="1"/>
  <c r="T64" i="11"/>
  <c r="S64" i="11"/>
  <c r="S59" i="11" s="1"/>
  <c r="R64" i="11"/>
  <c r="Q64" i="11"/>
  <c r="Q59" i="11" s="1"/>
  <c r="P64" i="11"/>
  <c r="O64" i="11"/>
  <c r="N64" i="11"/>
  <c r="M64" i="11"/>
  <c r="M59" i="11" s="1"/>
  <c r="L64" i="11"/>
  <c r="K64" i="11"/>
  <c r="J64" i="11"/>
  <c r="DY63" i="11"/>
  <c r="DV63" i="11"/>
  <c r="DU63" i="11"/>
  <c r="DT63" i="11"/>
  <c r="DR63" i="11"/>
  <c r="DO63" i="11"/>
  <c r="DN63" i="11"/>
  <c r="DM63" i="11"/>
  <c r="DI63" i="11"/>
  <c r="DH63" i="11"/>
  <c r="DG63" i="11"/>
  <c r="DF63" i="11"/>
  <c r="DE63" i="11"/>
  <c r="DD63" i="11"/>
  <c r="DB63" i="11"/>
  <c r="CT63" i="11"/>
  <c r="CQ63" i="11"/>
  <c r="CL63" i="11"/>
  <c r="CK63" i="11"/>
  <c r="CJ63" i="11"/>
  <c r="CH63" i="11"/>
  <c r="CE63" i="11"/>
  <c r="CD63" i="11"/>
  <c r="CC63" i="11"/>
  <c r="CB63" i="11"/>
  <c r="CA63" i="11"/>
  <c r="BZ63" i="11"/>
  <c r="BY63" i="11"/>
  <c r="BL63" i="11"/>
  <c r="BJ63" i="11"/>
  <c r="BI63" i="11"/>
  <c r="BH63" i="11"/>
  <c r="BF63" i="11"/>
  <c r="BE63" i="11"/>
  <c r="BD63" i="11"/>
  <c r="BC63" i="11"/>
  <c r="BB63" i="11"/>
  <c r="AZ63" i="11"/>
  <c r="AY63" i="11"/>
  <c r="AX63" i="11"/>
  <c r="AT63" i="11"/>
  <c r="AS63" i="11"/>
  <c r="DY62" i="11"/>
  <c r="DT62" i="11"/>
  <c r="DS62" i="11"/>
  <c r="DP62" i="11"/>
  <c r="DO62" i="11"/>
  <c r="DN62" i="11"/>
  <c r="DL62" i="11"/>
  <c r="DK62" i="11"/>
  <c r="DJ62" i="11"/>
  <c r="DI62" i="11"/>
  <c r="DH62" i="11"/>
  <c r="DG62" i="11"/>
  <c r="DC62" i="11"/>
  <c r="DB62" i="11"/>
  <c r="DA62" i="11"/>
  <c r="CX62" i="11"/>
  <c r="CW62" i="11"/>
  <c r="CV62" i="11"/>
  <c r="CU62" i="11"/>
  <c r="CP62" i="11"/>
  <c r="CO62" i="11"/>
  <c r="CM62" i="11"/>
  <c r="CK62" i="11"/>
  <c r="CJ62" i="11"/>
  <c r="CI62" i="11"/>
  <c r="CE62" i="11"/>
  <c r="CC62" i="11"/>
  <c r="CB62" i="11"/>
  <c r="BZ62" i="11"/>
  <c r="BY62" i="11"/>
  <c r="BX62" i="11"/>
  <c r="BW62" i="11"/>
  <c r="BV62" i="11"/>
  <c r="BU62" i="11"/>
  <c r="BT62" i="11"/>
  <c r="BS62" i="11"/>
  <c r="BR62" i="11"/>
  <c r="BM62" i="11"/>
  <c r="BL62" i="11"/>
  <c r="BE62" i="11"/>
  <c r="BD62" i="11"/>
  <c r="BB62" i="11"/>
  <c r="BA62" i="11"/>
  <c r="AZ62" i="11"/>
  <c r="AY62" i="11"/>
  <c r="AX62" i="11"/>
  <c r="AW62" i="11"/>
  <c r="AV62" i="11"/>
  <c r="AU62" i="11"/>
  <c r="AT62" i="11"/>
  <c r="AS62" i="11"/>
  <c r="AR62" i="11"/>
  <c r="AQ62" i="11"/>
  <c r="AP62" i="11"/>
  <c r="AM62" i="11"/>
  <c r="AG62" i="11"/>
  <c r="DQ62" i="11" s="1"/>
  <c r="DY61" i="11"/>
  <c r="DX61" i="11"/>
  <c r="DW61" i="11"/>
  <c r="DV61" i="11"/>
  <c r="DU61" i="11"/>
  <c r="DT61" i="11"/>
  <c r="DS61" i="11"/>
  <c r="DR61" i="11"/>
  <c r="DQ61" i="11"/>
  <c r="DP61" i="11"/>
  <c r="DO61" i="11"/>
  <c r="DN61" i="11"/>
  <c r="DN59" i="11" s="1"/>
  <c r="DM61" i="11"/>
  <c r="DL61" i="11"/>
  <c r="DK61" i="11"/>
  <c r="DH61" i="11"/>
  <c r="DH59" i="11" s="1"/>
  <c r="DG61" i="11"/>
  <c r="DG109" i="11" s="1"/>
  <c r="DF61" i="11"/>
  <c r="DE61" i="11"/>
  <c r="DD61" i="11"/>
  <c r="DC61" i="11"/>
  <c r="DB61" i="11"/>
  <c r="DA61" i="11"/>
  <c r="CZ61" i="11"/>
  <c r="CY61" i="11"/>
  <c r="CX61" i="11"/>
  <c r="CW61" i="11"/>
  <c r="CV61" i="11"/>
  <c r="CU61" i="11"/>
  <c r="CT61" i="11"/>
  <c r="CS61" i="11"/>
  <c r="CR61" i="11"/>
  <c r="CQ61" i="11"/>
  <c r="CP61" i="11"/>
  <c r="CO61" i="11"/>
  <c r="CN61" i="11"/>
  <c r="CK61" i="11"/>
  <c r="CJ61" i="11"/>
  <c r="CI61" i="11"/>
  <c r="CH61" i="11"/>
  <c r="CG61" i="11"/>
  <c r="CF61" i="11"/>
  <c r="CE61" i="11"/>
  <c r="CD61" i="11"/>
  <c r="CC61" i="11"/>
  <c r="CB61" i="11"/>
  <c r="CA61" i="11"/>
  <c r="BZ61" i="11"/>
  <c r="BY61" i="11"/>
  <c r="BX61" i="11"/>
  <c r="BW61" i="11"/>
  <c r="BV61" i="11"/>
  <c r="BU61" i="11"/>
  <c r="BT61" i="11"/>
  <c r="BS61" i="11"/>
  <c r="BR61" i="11"/>
  <c r="BP61" i="11"/>
  <c r="BN61" i="11"/>
  <c r="BM61" i="11"/>
  <c r="BL61" i="11"/>
  <c r="BL59" i="11" s="1"/>
  <c r="BK61" i="11"/>
  <c r="BJ61" i="11"/>
  <c r="BI61" i="11"/>
  <c r="BH61" i="11"/>
  <c r="BG61" i="11"/>
  <c r="BF61" i="11"/>
  <c r="BE61" i="11"/>
  <c r="BD61" i="11"/>
  <c r="BC61" i="11"/>
  <c r="BB61" i="11"/>
  <c r="BA61" i="11"/>
  <c r="AZ61" i="11"/>
  <c r="AY61" i="11"/>
  <c r="AX61" i="11"/>
  <c r="AW61" i="11"/>
  <c r="AV61" i="11"/>
  <c r="AT61" i="11"/>
  <c r="AS61" i="11"/>
  <c r="AQ61" i="11"/>
  <c r="AP61" i="11"/>
  <c r="AO61" i="11"/>
  <c r="AN61" i="11"/>
  <c r="AM61" i="11"/>
  <c r="AL61" i="11"/>
  <c r="AK61" i="11"/>
  <c r="AJ61" i="11"/>
  <c r="AI61" i="11"/>
  <c r="AH61" i="11"/>
  <c r="AG61" i="11"/>
  <c r="AF61" i="11"/>
  <c r="AE61" i="11"/>
  <c r="AD61" i="11"/>
  <c r="AC61" i="11"/>
  <c r="AB61" i="11"/>
  <c r="AA61" i="11"/>
  <c r="Z61" i="11"/>
  <c r="X61" i="11"/>
  <c r="X59" i="11" s="1"/>
  <c r="W61" i="11"/>
  <c r="V61" i="11"/>
  <c r="U61" i="11"/>
  <c r="DY60" i="11"/>
  <c r="DX60" i="11"/>
  <c r="DW60" i="11"/>
  <c r="DV60" i="11"/>
  <c r="DU60" i="11"/>
  <c r="DT60" i="11"/>
  <c r="DS60" i="11"/>
  <c r="DR60" i="11"/>
  <c r="DQ60" i="11"/>
  <c r="DP60" i="11"/>
  <c r="DO60" i="11"/>
  <c r="DN60" i="11"/>
  <c r="DM60" i="11"/>
  <c r="DL60" i="11"/>
  <c r="DK60" i="11"/>
  <c r="DJ60" i="11"/>
  <c r="DI60" i="11"/>
  <c r="DH60" i="11"/>
  <c r="DG60" i="11"/>
  <c r="DG59" i="11" s="1"/>
  <c r="DF60" i="11"/>
  <c r="DE60" i="11"/>
  <c r="DD60" i="11"/>
  <c r="DC60" i="11"/>
  <c r="DB60" i="11"/>
  <c r="DA60" i="11"/>
  <c r="CZ60" i="11"/>
  <c r="CY60" i="11"/>
  <c r="CX60" i="11"/>
  <c r="CW60" i="11"/>
  <c r="CV60" i="11"/>
  <c r="CU60" i="11"/>
  <c r="CT60" i="11"/>
  <c r="CS60" i="11"/>
  <c r="CR60" i="11"/>
  <c r="CQ60" i="11"/>
  <c r="CP60" i="11"/>
  <c r="CO60" i="11"/>
  <c r="CN60" i="11"/>
  <c r="CM60" i="11"/>
  <c r="CL60" i="11"/>
  <c r="CK60" i="11"/>
  <c r="CJ60" i="11"/>
  <c r="CI60" i="11"/>
  <c r="CH60" i="11"/>
  <c r="CG60" i="11"/>
  <c r="CF60" i="11"/>
  <c r="CE60" i="11"/>
  <c r="CD60" i="11"/>
  <c r="CC60" i="11"/>
  <c r="CB60" i="11"/>
  <c r="CA60" i="11"/>
  <c r="BZ60" i="11"/>
  <c r="BY60" i="11"/>
  <c r="BX60" i="11"/>
  <c r="BW60" i="11"/>
  <c r="BV60" i="11"/>
  <c r="BU60" i="11"/>
  <c r="BT60" i="11"/>
  <c r="BS60" i="11"/>
  <c r="BR60" i="11"/>
  <c r="BQ60" i="11"/>
  <c r="BP60" i="11"/>
  <c r="BO60" i="11"/>
  <c r="BN60" i="11"/>
  <c r="BM60" i="11"/>
  <c r="BL60" i="11"/>
  <c r="BK60" i="11"/>
  <c r="BJ60" i="11"/>
  <c r="BI60" i="11"/>
  <c r="BH60" i="11"/>
  <c r="BG60" i="11"/>
  <c r="BF60" i="11"/>
  <c r="BE60" i="11"/>
  <c r="BD60" i="11"/>
  <c r="BC60" i="11"/>
  <c r="BB60" i="11"/>
  <c r="BA60" i="11"/>
  <c r="AZ60" i="11"/>
  <c r="AY60" i="11"/>
  <c r="AX60" i="11"/>
  <c r="AW60" i="11"/>
  <c r="AV60" i="11"/>
  <c r="AU60" i="11"/>
  <c r="AT60" i="11"/>
  <c r="AS60" i="11"/>
  <c r="AR60" i="11"/>
  <c r="AQ60" i="11"/>
  <c r="AP60" i="11"/>
  <c r="AO60" i="11"/>
  <c r="AN60" i="11"/>
  <c r="AM60" i="11"/>
  <c r="AL60" i="11"/>
  <c r="AK60" i="11"/>
  <c r="AJ60" i="11"/>
  <c r="AI60" i="11"/>
  <c r="AH60" i="11"/>
  <c r="AG60" i="11"/>
  <c r="AF60" i="11"/>
  <c r="AE60" i="11"/>
  <c r="AD60" i="11"/>
  <c r="AC60" i="11"/>
  <c r="AB60" i="11"/>
  <c r="AA60" i="11"/>
  <c r="Z60" i="11"/>
  <c r="Y60" i="11"/>
  <c r="X60" i="11"/>
  <c r="W60" i="11"/>
  <c r="W59" i="11" s="1"/>
  <c r="V60" i="11"/>
  <c r="U60" i="11"/>
  <c r="T60" i="11"/>
  <c r="S60" i="11"/>
  <c r="R60" i="11"/>
  <c r="Q60" i="11"/>
  <c r="P60" i="11"/>
  <c r="O60" i="11"/>
  <c r="N60" i="11"/>
  <c r="M60" i="11"/>
  <c r="L60" i="11"/>
  <c r="K60" i="11"/>
  <c r="J60" i="11"/>
  <c r="DO59" i="11"/>
  <c r="CK59" i="11"/>
  <c r="CJ59" i="11"/>
  <c r="CE59" i="11"/>
  <c r="AZ59" i="11"/>
  <c r="AY59" i="11"/>
  <c r="AX59" i="11"/>
  <c r="AT59" i="11"/>
  <c r="AS59" i="11"/>
  <c r="AG59" i="11"/>
  <c r="AF59" i="11"/>
  <c r="AD59" i="11"/>
  <c r="T59" i="11"/>
  <c r="R59" i="11"/>
  <c r="N59" i="11"/>
  <c r="K59" i="11"/>
  <c r="J59" i="11"/>
  <c r="I59" i="11"/>
  <c r="AG56" i="11"/>
  <c r="AE56" i="11"/>
  <c r="AD56" i="11"/>
  <c r="AC56" i="11"/>
  <c r="AB56" i="11"/>
  <c r="Y56" i="11"/>
  <c r="X56" i="11"/>
  <c r="W56" i="11"/>
  <c r="V56" i="11"/>
  <c r="U56" i="11"/>
  <c r="DY55" i="11"/>
  <c r="DY50" i="11" s="1"/>
  <c r="DX55" i="11"/>
  <c r="DX50" i="11" s="1"/>
  <c r="DW55" i="11"/>
  <c r="DV55" i="11"/>
  <c r="DU55" i="11"/>
  <c r="DT55" i="11"/>
  <c r="DS55" i="11"/>
  <c r="DR55" i="11"/>
  <c r="DQ55" i="11"/>
  <c r="DP55" i="11"/>
  <c r="DO55" i="11"/>
  <c r="DN55" i="11"/>
  <c r="DM55" i="11"/>
  <c r="DL55" i="11"/>
  <c r="DK55" i="11"/>
  <c r="DJ55" i="11"/>
  <c r="DI55" i="11"/>
  <c r="DH55" i="11"/>
  <c r="DH50" i="11" s="1"/>
  <c r="DG55" i="11"/>
  <c r="DF55" i="11"/>
  <c r="DF50" i="11" s="1"/>
  <c r="DE55" i="11"/>
  <c r="DD55" i="11"/>
  <c r="DC55" i="11"/>
  <c r="DB55" i="11"/>
  <c r="DA55" i="11"/>
  <c r="CZ55" i="11"/>
  <c r="CY55" i="11"/>
  <c r="CX55" i="11"/>
  <c r="CW55" i="11"/>
  <c r="CV55" i="11"/>
  <c r="CU55" i="11"/>
  <c r="CT55" i="11"/>
  <c r="CS55" i="11"/>
  <c r="CR55" i="11"/>
  <c r="CQ55" i="11"/>
  <c r="CP55" i="11"/>
  <c r="CP50" i="11" s="1"/>
  <c r="CO55" i="11"/>
  <c r="CN55" i="11"/>
  <c r="CM55" i="11"/>
  <c r="CL55" i="11"/>
  <c r="CL50" i="11" s="1"/>
  <c r="CK55" i="11"/>
  <c r="CK50" i="11" s="1"/>
  <c r="CJ55" i="11"/>
  <c r="CI55" i="11"/>
  <c r="CI50" i="11" s="1"/>
  <c r="CH55" i="11"/>
  <c r="CG55" i="11"/>
  <c r="CG50" i="11" s="1"/>
  <c r="CF55" i="11"/>
  <c r="CF50" i="11" s="1"/>
  <c r="CE55" i="11"/>
  <c r="CE50" i="11" s="1"/>
  <c r="CD55" i="11"/>
  <c r="CC55" i="11"/>
  <c r="CB55" i="11"/>
  <c r="CA55" i="11"/>
  <c r="BZ55" i="11"/>
  <c r="BY55" i="11"/>
  <c r="BX55" i="11"/>
  <c r="BW55" i="11"/>
  <c r="BV55" i="11"/>
  <c r="BU55" i="11"/>
  <c r="BT55" i="11"/>
  <c r="BS55" i="11"/>
  <c r="BS50" i="11" s="1"/>
  <c r="BR55" i="11"/>
  <c r="BQ55" i="11"/>
  <c r="BP55" i="11"/>
  <c r="BP50" i="11" s="1"/>
  <c r="BO55" i="11"/>
  <c r="BO50" i="11" s="1"/>
  <c r="BN55" i="11"/>
  <c r="BM55" i="11"/>
  <c r="BL55" i="11"/>
  <c r="BK55" i="11"/>
  <c r="BJ55" i="11"/>
  <c r="BI55" i="11"/>
  <c r="BH55" i="11"/>
  <c r="BG55" i="11"/>
  <c r="BF55" i="11"/>
  <c r="BE55" i="11"/>
  <c r="BD55" i="11"/>
  <c r="BC55" i="11"/>
  <c r="BB55" i="11"/>
  <c r="BA55" i="11"/>
  <c r="AZ55" i="11"/>
  <c r="AY55" i="11"/>
  <c r="AX55" i="11"/>
  <c r="AX50" i="11" s="1"/>
  <c r="AW55" i="11"/>
  <c r="AV55" i="11"/>
  <c r="AU55" i="11"/>
  <c r="AT55" i="11"/>
  <c r="AT50" i="11" s="1"/>
  <c r="AS55" i="11"/>
  <c r="AR55" i="11"/>
  <c r="AQ55" i="11"/>
  <c r="AP55" i="11"/>
  <c r="AO55" i="11"/>
  <c r="AN55" i="11"/>
  <c r="AM55" i="11"/>
  <c r="AL55" i="11"/>
  <c r="AK55" i="11"/>
  <c r="AJ55" i="11"/>
  <c r="AI55" i="11"/>
  <c r="AH55" i="11"/>
  <c r="AG55" i="11"/>
  <c r="AF55" i="11"/>
  <c r="AE55" i="11"/>
  <c r="AD55" i="11"/>
  <c r="AC55" i="11"/>
  <c r="AB55" i="11"/>
  <c r="AA55" i="11"/>
  <c r="Z55" i="11"/>
  <c r="Y55" i="11"/>
  <c r="X55" i="11"/>
  <c r="X50" i="11" s="1"/>
  <c r="W55" i="11"/>
  <c r="V55" i="11"/>
  <c r="U55" i="11"/>
  <c r="T55" i="11"/>
  <c r="S55" i="11"/>
  <c r="R55" i="11"/>
  <c r="R50" i="11" s="1"/>
  <c r="Q55" i="11"/>
  <c r="P55" i="11"/>
  <c r="O55" i="11"/>
  <c r="N55" i="11"/>
  <c r="M55" i="11"/>
  <c r="L55" i="11"/>
  <c r="K55" i="11"/>
  <c r="J55" i="11"/>
  <c r="DY51" i="11"/>
  <c r="DX51" i="11"/>
  <c r="DW51" i="11"/>
  <c r="DV51" i="11"/>
  <c r="DV50" i="11" s="1"/>
  <c r="DU51" i="11"/>
  <c r="DU50" i="11" s="1"/>
  <c r="DT51" i="11"/>
  <c r="DS51" i="11"/>
  <c r="DR51" i="11"/>
  <c r="DR50" i="11" s="1"/>
  <c r="DQ51" i="11"/>
  <c r="DP51" i="11"/>
  <c r="DP50" i="11" s="1"/>
  <c r="DO51" i="11"/>
  <c r="DN51" i="11"/>
  <c r="DM51" i="11"/>
  <c r="DM50" i="11" s="1"/>
  <c r="DL51" i="11"/>
  <c r="DK51" i="11"/>
  <c r="DJ51" i="11"/>
  <c r="DJ50" i="11" s="1"/>
  <c r="DI51" i="11"/>
  <c r="DI50" i="11" s="1"/>
  <c r="DH51" i="11"/>
  <c r="DG51" i="11"/>
  <c r="DF51" i="11"/>
  <c r="DE51" i="11"/>
  <c r="DD51" i="11"/>
  <c r="DC51" i="11"/>
  <c r="DB51" i="11"/>
  <c r="DA51" i="11"/>
  <c r="CZ51" i="11"/>
  <c r="CZ50" i="11" s="1"/>
  <c r="CY51" i="11"/>
  <c r="CY50" i="11" s="1"/>
  <c r="CX51" i="11"/>
  <c r="CW51" i="11"/>
  <c r="CV51" i="11"/>
  <c r="CV50" i="11" s="1"/>
  <c r="CU51" i="11"/>
  <c r="CT51" i="11"/>
  <c r="CS51" i="11"/>
  <c r="CR51" i="11"/>
  <c r="CR50" i="11" s="1"/>
  <c r="CQ51" i="11"/>
  <c r="CQ50" i="11" s="1"/>
  <c r="CP51" i="11"/>
  <c r="CO51" i="11"/>
  <c r="CO50" i="11" s="1"/>
  <c r="CN51" i="11"/>
  <c r="CN50" i="11" s="1"/>
  <c r="CM51" i="11"/>
  <c r="CM50" i="11" s="1"/>
  <c r="CL51" i="11"/>
  <c r="CK51" i="11"/>
  <c r="CJ51" i="11"/>
  <c r="CI51" i="11"/>
  <c r="CH51" i="11"/>
  <c r="CG51" i="11"/>
  <c r="CF51" i="11"/>
  <c r="CE51" i="11"/>
  <c r="CD51" i="11"/>
  <c r="CD50" i="11" s="1"/>
  <c r="CC51" i="11"/>
  <c r="CC50" i="11" s="1"/>
  <c r="CB51" i="11"/>
  <c r="CA51" i="11"/>
  <c r="BZ51" i="11"/>
  <c r="BZ50" i="11" s="1"/>
  <c r="BY51" i="11"/>
  <c r="BX51" i="11"/>
  <c r="BW51" i="11"/>
  <c r="BW50" i="11" s="1"/>
  <c r="BV51" i="11"/>
  <c r="BU51" i="11"/>
  <c r="BT51" i="11"/>
  <c r="BS51" i="11"/>
  <c r="BR51" i="11"/>
  <c r="BQ51" i="11"/>
  <c r="BP51" i="11"/>
  <c r="BO51" i="11"/>
  <c r="BN51" i="11"/>
  <c r="BM51" i="11"/>
  <c r="BL51" i="11"/>
  <c r="BK51" i="11"/>
  <c r="BJ51" i="11"/>
  <c r="BI51" i="11"/>
  <c r="BI50" i="11" s="1"/>
  <c r="BH51" i="11"/>
  <c r="BH50" i="11" s="1"/>
  <c r="BG51" i="11"/>
  <c r="BG50" i="11" s="1"/>
  <c r="BF51" i="11"/>
  <c r="BE51" i="11"/>
  <c r="BD51" i="11"/>
  <c r="BD50" i="11" s="1"/>
  <c r="BC51" i="11"/>
  <c r="BC50" i="11" s="1"/>
  <c r="BB51" i="11"/>
  <c r="BB50" i="11" s="1"/>
  <c r="BA51" i="11"/>
  <c r="BA50" i="11" s="1"/>
  <c r="AZ51" i="11"/>
  <c r="AY51" i="11"/>
  <c r="AY50" i="11" s="1"/>
  <c r="AX51" i="11"/>
  <c r="AW51" i="11"/>
  <c r="AV51" i="11"/>
  <c r="AV50" i="11" s="1"/>
  <c r="AU51" i="11"/>
  <c r="AU50" i="11" s="1"/>
  <c r="AT51" i="11"/>
  <c r="AS51" i="11"/>
  <c r="AR51" i="11"/>
  <c r="AQ51" i="11"/>
  <c r="AP51" i="11"/>
  <c r="AP50" i="11" s="1"/>
  <c r="AO51" i="11"/>
  <c r="AN51" i="11"/>
  <c r="AM51" i="11"/>
  <c r="AL51" i="11"/>
  <c r="AL50" i="11" s="1"/>
  <c r="AK51" i="11"/>
  <c r="AK50" i="11" s="1"/>
  <c r="AJ51" i="11"/>
  <c r="AI51" i="11"/>
  <c r="AH51" i="11"/>
  <c r="AH50" i="11" s="1"/>
  <c r="AG51" i="11"/>
  <c r="AF51" i="11"/>
  <c r="AF50" i="11" s="1"/>
  <c r="AE51" i="11"/>
  <c r="AE50" i="11" s="1"/>
  <c r="AD51" i="11"/>
  <c r="AC51" i="11"/>
  <c r="AC50" i="11" s="1"/>
  <c r="AB51" i="11"/>
  <c r="AA51" i="11"/>
  <c r="Z51" i="11"/>
  <c r="Z50" i="11" s="1"/>
  <c r="Y51" i="11"/>
  <c r="Y50" i="11" s="1"/>
  <c r="X51" i="11"/>
  <c r="W51" i="11"/>
  <c r="V51" i="11"/>
  <c r="U51" i="11"/>
  <c r="T51" i="11"/>
  <c r="S51" i="11"/>
  <c r="R51" i="11"/>
  <c r="Q51" i="11"/>
  <c r="P51" i="11"/>
  <c r="O51" i="11"/>
  <c r="N51" i="11"/>
  <c r="M51" i="11"/>
  <c r="L51" i="11"/>
  <c r="L50" i="11" s="1"/>
  <c r="K51" i="11"/>
  <c r="J51" i="11"/>
  <c r="DW50" i="11"/>
  <c r="DT50" i="11"/>
  <c r="DS50" i="11"/>
  <c r="DQ50" i="11"/>
  <c r="DO50" i="11"/>
  <c r="DN50" i="11"/>
  <c r="DE50" i="11"/>
  <c r="DD50" i="11"/>
  <c r="DB50" i="11"/>
  <c r="DA50" i="11"/>
  <c r="CX50" i="11"/>
  <c r="CW50" i="11"/>
  <c r="CU50" i="11"/>
  <c r="CT50" i="11"/>
  <c r="CS50" i="11"/>
  <c r="CH50" i="11"/>
  <c r="CB50" i="11"/>
  <c r="CA50" i="11"/>
  <c r="BY50" i="11"/>
  <c r="BX50" i="11"/>
  <c r="BV50" i="11"/>
  <c r="BU50" i="11"/>
  <c r="BR50" i="11"/>
  <c r="BQ50" i="11"/>
  <c r="BN50" i="11"/>
  <c r="BL50" i="11"/>
  <c r="BK50" i="11"/>
  <c r="BJ50" i="11"/>
  <c r="BF50" i="11"/>
  <c r="BE50" i="11"/>
  <c r="AZ50" i="11"/>
  <c r="AS50" i="11"/>
  <c r="AR50" i="11"/>
  <c r="AO50" i="11"/>
  <c r="AN50" i="11"/>
  <c r="AM50" i="11"/>
  <c r="AJ50" i="11"/>
  <c r="AI50" i="11"/>
  <c r="AG50" i="11"/>
  <c r="AD50" i="11"/>
  <c r="W50" i="11"/>
  <c r="U50" i="11"/>
  <c r="T50" i="11"/>
  <c r="Q50" i="11"/>
  <c r="P50" i="11"/>
  <c r="O50" i="11"/>
  <c r="N50" i="11"/>
  <c r="M50" i="11"/>
  <c r="K50" i="11"/>
  <c r="J50" i="11"/>
  <c r="I50" i="11"/>
  <c r="DI48" i="11"/>
  <c r="DH48" i="11"/>
  <c r="DD48" i="11"/>
  <c r="AR48" i="11"/>
  <c r="AQ48" i="11"/>
  <c r="AP48" i="11"/>
  <c r="AO48" i="11"/>
  <c r="AN48" i="11"/>
  <c r="AM48" i="11"/>
  <c r="AL48" i="11"/>
  <c r="AK48" i="11"/>
  <c r="AJ48" i="11"/>
  <c r="AI48" i="11"/>
  <c r="AH48" i="11"/>
  <c r="AG48" i="11"/>
  <c r="AF48" i="11"/>
  <c r="AE48" i="11"/>
  <c r="AD48" i="11"/>
  <c r="AC48" i="11"/>
  <c r="AB48" i="11"/>
  <c r="AA48" i="11"/>
  <c r="Z48" i="11"/>
  <c r="Y48" i="11"/>
  <c r="X48" i="11"/>
  <c r="W48" i="11"/>
  <c r="V48" i="11"/>
  <c r="U48" i="11"/>
  <c r="T48" i="11"/>
  <c r="S48" i="11"/>
  <c r="R48" i="11"/>
  <c r="Q48" i="11"/>
  <c r="P48" i="11"/>
  <c r="O48" i="11"/>
  <c r="N48" i="11"/>
  <c r="M48" i="11"/>
  <c r="L48" i="11"/>
  <c r="K48" i="11"/>
  <c r="J48" i="11"/>
  <c r="I48" i="11"/>
  <c r="AF47" i="11"/>
  <c r="AE47" i="11"/>
  <c r="AD47" i="11"/>
  <c r="AC47" i="11"/>
  <c r="AB47" i="11"/>
  <c r="AA47" i="11"/>
  <c r="Z47" i="11"/>
  <c r="Y47" i="11"/>
  <c r="X47" i="11"/>
  <c r="W47" i="11"/>
  <c r="V47" i="11"/>
  <c r="U47" i="11"/>
  <c r="T47" i="11"/>
  <c r="S47" i="11"/>
  <c r="R47" i="11"/>
  <c r="Q47" i="11"/>
  <c r="P47" i="11"/>
  <c r="O47" i="11"/>
  <c r="N47" i="11"/>
  <c r="M47" i="11"/>
  <c r="L47" i="11"/>
  <c r="J47" i="11"/>
  <c r="I47" i="11"/>
  <c r="T46" i="11"/>
  <c r="S46" i="11"/>
  <c r="R46" i="11"/>
  <c r="Q46" i="11"/>
  <c r="P46" i="11"/>
  <c r="O46" i="11"/>
  <c r="N46" i="11"/>
  <c r="M46" i="11"/>
  <c r="L46" i="11"/>
  <c r="K46" i="11"/>
  <c r="J46" i="11"/>
  <c r="I46" i="11"/>
  <c r="DK45" i="11"/>
  <c r="DJ45" i="11"/>
  <c r="DI45" i="11"/>
  <c r="DH45" i="11"/>
  <c r="DG45" i="11"/>
  <c r="DF45" i="11"/>
  <c r="DD45" i="11"/>
  <c r="DC45" i="11"/>
  <c r="DB45" i="11"/>
  <c r="DA45" i="11"/>
  <c r="CY45" i="11"/>
  <c r="CW45" i="11"/>
  <c r="CV45" i="11"/>
  <c r="CD45" i="11"/>
  <c r="CC45" i="11"/>
  <c r="CB45" i="11"/>
  <c r="BY45" i="11"/>
  <c r="BX45" i="11"/>
  <c r="BW45" i="11"/>
  <c r="BT45" i="11"/>
  <c r="BS45" i="11"/>
  <c r="BR45" i="11"/>
  <c r="BQ45" i="11"/>
  <c r="BL45" i="11"/>
  <c r="BI45" i="11"/>
  <c r="BH45" i="11"/>
  <c r="BF45" i="11"/>
  <c r="AS45" i="11"/>
  <c r="DX45" i="11" s="1"/>
  <c r="DE44" i="11"/>
  <c r="DD44" i="11"/>
  <c r="DC44" i="11"/>
  <c r="DB44" i="11"/>
  <c r="BX44" i="11"/>
  <c r="BW44" i="11"/>
  <c r="BV44" i="11"/>
  <c r="BU44" i="11"/>
  <c r="AG44" i="11"/>
  <c r="CV44" i="11" s="1"/>
  <c r="DY43" i="11"/>
  <c r="DX43" i="11"/>
  <c r="DW43" i="11"/>
  <c r="DV43" i="11"/>
  <c r="DU43" i="11"/>
  <c r="DT43" i="11"/>
  <c r="DQ43" i="11"/>
  <c r="DP43" i="11"/>
  <c r="DO43" i="11"/>
  <c r="DN43" i="11"/>
  <c r="DL43" i="11"/>
  <c r="DK43" i="11"/>
  <c r="DJ43" i="11"/>
  <c r="DH43" i="11"/>
  <c r="DE43" i="11"/>
  <c r="DC43" i="11"/>
  <c r="DB43" i="11"/>
  <c r="CZ43" i="11"/>
  <c r="CY43" i="11"/>
  <c r="CX43" i="11"/>
  <c r="CV43" i="11"/>
  <c r="CT43" i="11"/>
  <c r="CS43" i="11"/>
  <c r="CR43" i="11"/>
  <c r="CQ43" i="11"/>
  <c r="CO43" i="11"/>
  <c r="CN43" i="11"/>
  <c r="CM43" i="11"/>
  <c r="CL43" i="11"/>
  <c r="CK43" i="11"/>
  <c r="CI43" i="11"/>
  <c r="CH43" i="11"/>
  <c r="CG43" i="11"/>
  <c r="CC43" i="11"/>
  <c r="CB43" i="11"/>
  <c r="BZ43" i="11"/>
  <c r="BW43" i="11"/>
  <c r="BV43" i="11"/>
  <c r="BU43" i="11"/>
  <c r="BT43" i="11"/>
  <c r="BR43" i="11"/>
  <c r="BQ43" i="11"/>
  <c r="BP43" i="11"/>
  <c r="BO43" i="11"/>
  <c r="BN43" i="11"/>
  <c r="BM43" i="11"/>
  <c r="BL43" i="11"/>
  <c r="BJ43" i="11"/>
  <c r="BI43" i="11"/>
  <c r="BH43" i="11"/>
  <c r="BG43" i="11"/>
  <c r="BD43" i="11"/>
  <c r="AZ43" i="11"/>
  <c r="AY43" i="11"/>
  <c r="AX43" i="11"/>
  <c r="AU43" i="11"/>
  <c r="AT43" i="11"/>
  <c r="AS43" i="11"/>
  <c r="AR43" i="11"/>
  <c r="AQ43" i="11"/>
  <c r="AP43" i="11"/>
  <c r="AO43" i="11"/>
  <c r="AN43" i="11"/>
  <c r="AM43" i="11"/>
  <c r="AK43" i="11"/>
  <c r="AJ43" i="11"/>
  <c r="AH43" i="11"/>
  <c r="AG43" i="11"/>
  <c r="AE43" i="11"/>
  <c r="AC43" i="11"/>
  <c r="AB43" i="11"/>
  <c r="X43" i="11"/>
  <c r="W43" i="11"/>
  <c r="V43" i="11"/>
  <c r="U43" i="11"/>
  <c r="DY42" i="11"/>
  <c r="DX42" i="11"/>
  <c r="DW42" i="11"/>
  <c r="DV42" i="11"/>
  <c r="DU42" i="11"/>
  <c r="DT42" i="11"/>
  <c r="DS42" i="11"/>
  <c r="DR42" i="11"/>
  <c r="DQ42" i="11"/>
  <c r="DP42" i="11"/>
  <c r="DO42" i="11"/>
  <c r="DN42" i="11"/>
  <c r="DM42" i="11"/>
  <c r="DL42" i="11"/>
  <c r="DK42" i="11"/>
  <c r="DJ42" i="11"/>
  <c r="DI42" i="11"/>
  <c r="DH42" i="11"/>
  <c r="DG42" i="11"/>
  <c r="DF42" i="11"/>
  <c r="DE42" i="11"/>
  <c r="DD42" i="11"/>
  <c r="DC42" i="11"/>
  <c r="DB42" i="11"/>
  <c r="DA42" i="11"/>
  <c r="CZ42" i="11"/>
  <c r="CY42" i="11"/>
  <c r="CX42" i="11"/>
  <c r="CW42" i="11"/>
  <c r="CV42" i="11"/>
  <c r="CU42" i="11"/>
  <c r="CT42" i="11"/>
  <c r="CS42" i="11"/>
  <c r="CR42" i="11"/>
  <c r="CQ42" i="11"/>
  <c r="CP42" i="11"/>
  <c r="CO42" i="11"/>
  <c r="CN42" i="11"/>
  <c r="CM42" i="11"/>
  <c r="CL42" i="11"/>
  <c r="CK42" i="11"/>
  <c r="CJ42" i="11"/>
  <c r="CI42" i="11"/>
  <c r="CH42" i="11"/>
  <c r="CG42" i="11"/>
  <c r="CF42" i="11"/>
  <c r="CE42" i="11"/>
  <c r="CD42" i="11"/>
  <c r="CC42" i="11"/>
  <c r="CB42" i="11"/>
  <c r="CA42" i="11"/>
  <c r="BZ42" i="11"/>
  <c r="BY42" i="11"/>
  <c r="BX42" i="11"/>
  <c r="BW42" i="11"/>
  <c r="BV42" i="11"/>
  <c r="BU42" i="11"/>
  <c r="BT42" i="11"/>
  <c r="BS42" i="11"/>
  <c r="BR42" i="11"/>
  <c r="BQ42" i="11"/>
  <c r="BP42" i="11"/>
  <c r="BO42" i="11"/>
  <c r="BN42" i="11"/>
  <c r="BM42" i="11"/>
  <c r="BL42" i="11"/>
  <c r="BK42" i="11"/>
  <c r="BJ42" i="11"/>
  <c r="BI42" i="11"/>
  <c r="BH42" i="11"/>
  <c r="BG42" i="11"/>
  <c r="BF42" i="11"/>
  <c r="BE42" i="11"/>
  <c r="BD42" i="11"/>
  <c r="BC42" i="11"/>
  <c r="BB42" i="11"/>
  <c r="BA42" i="11"/>
  <c r="AZ42" i="11"/>
  <c r="AY42" i="11"/>
  <c r="AX42" i="11"/>
  <c r="AW42" i="11"/>
  <c r="AV42" i="11"/>
  <c r="AU42" i="11"/>
  <c r="AT42" i="11"/>
  <c r="AS42" i="11"/>
  <c r="AR42" i="11"/>
  <c r="AQ42" i="11"/>
  <c r="AP42" i="11"/>
  <c r="AO42" i="11"/>
  <c r="AN42" i="11"/>
  <c r="AM42" i="11"/>
  <c r="AL42" i="11"/>
  <c r="AK42" i="11"/>
  <c r="AJ42" i="11"/>
  <c r="AI42" i="11"/>
  <c r="AH42" i="11"/>
  <c r="AG42" i="11"/>
  <c r="AF42" i="11"/>
  <c r="AE42" i="11"/>
  <c r="AD42" i="11"/>
  <c r="AC42" i="11"/>
  <c r="AB42" i="11"/>
  <c r="AA42" i="11"/>
  <c r="Z42" i="11"/>
  <c r="Y42" i="11"/>
  <c r="X42" i="11"/>
  <c r="W42" i="11"/>
  <c r="V42" i="11"/>
  <c r="U42" i="11"/>
  <c r="T42" i="11"/>
  <c r="S42" i="11"/>
  <c r="R42" i="11"/>
  <c r="Q42" i="11"/>
  <c r="P42" i="11"/>
  <c r="O42" i="11"/>
  <c r="N42" i="11"/>
  <c r="M42" i="11"/>
  <c r="L42" i="11"/>
  <c r="K42" i="11"/>
  <c r="J42" i="11"/>
  <c r="DY41" i="11"/>
  <c r="DX41" i="11"/>
  <c r="DU41" i="11"/>
  <c r="DT41" i="11"/>
  <c r="DS41" i="11"/>
  <c r="DQ41" i="11"/>
  <c r="DL41" i="11"/>
  <c r="DI41" i="11"/>
  <c r="DH41" i="11"/>
  <c r="DG41" i="11"/>
  <c r="DE41" i="11"/>
  <c r="DD41" i="11"/>
  <c r="DB41" i="11"/>
  <c r="DA41" i="11"/>
  <c r="CY41" i="11"/>
  <c r="CX41" i="11"/>
  <c r="CV41" i="11"/>
  <c r="CT41" i="11"/>
  <c r="CS41" i="11"/>
  <c r="CR41" i="11"/>
  <c r="CQ41" i="11"/>
  <c r="CP41" i="11"/>
  <c r="CK41" i="11"/>
  <c r="CH41" i="11"/>
  <c r="CG41" i="11"/>
  <c r="CF41" i="11"/>
  <c r="CE41" i="11"/>
  <c r="CB41" i="11"/>
  <c r="BZ41" i="11"/>
  <c r="BY41" i="11"/>
  <c r="BV41" i="11"/>
  <c r="BU41" i="11"/>
  <c r="BT41" i="11"/>
  <c r="BS41" i="11"/>
  <c r="BR41" i="11"/>
  <c r="BQ41" i="11"/>
  <c r="BP41" i="11"/>
  <c r="BO41" i="11"/>
  <c r="BI41" i="11"/>
  <c r="BG41" i="11"/>
  <c r="BE41" i="11"/>
  <c r="BC41" i="11"/>
  <c r="BB41" i="11"/>
  <c r="AZ41" i="11"/>
  <c r="AY41" i="11"/>
  <c r="AW41" i="11"/>
  <c r="AV41" i="11"/>
  <c r="AU41" i="11"/>
  <c r="AT41" i="11"/>
  <c r="AS41" i="11"/>
  <c r="CY40" i="11"/>
  <c r="CX40" i="11"/>
  <c r="CW40" i="11"/>
  <c r="CV40" i="11"/>
  <c r="CU40" i="11"/>
  <c r="CT40" i="11"/>
  <c r="BS40" i="11"/>
  <c r="BR40" i="11"/>
  <c r="BL40" i="11"/>
  <c r="BH40" i="11"/>
  <c r="BG40" i="11"/>
  <c r="BF40" i="11"/>
  <c r="AG40" i="11"/>
  <c r="DT40" i="11" s="1"/>
  <c r="U39" i="11"/>
  <c r="BB39" i="11" s="1"/>
  <c r="DY38" i="11"/>
  <c r="DX38" i="11"/>
  <c r="DW38" i="11"/>
  <c r="DV38" i="11"/>
  <c r="DU38" i="11"/>
  <c r="DT38" i="11"/>
  <c r="DS38" i="11"/>
  <c r="DR38" i="11"/>
  <c r="DQ38" i="11"/>
  <c r="DP38" i="11"/>
  <c r="DO38" i="11"/>
  <c r="DN38" i="11"/>
  <c r="DM38" i="11"/>
  <c r="DL38" i="11"/>
  <c r="DK38" i="11"/>
  <c r="DJ38" i="11"/>
  <c r="DI38" i="11"/>
  <c r="DH38" i="11"/>
  <c r="DG38" i="11"/>
  <c r="DF38" i="11"/>
  <c r="DE38" i="11"/>
  <c r="DD38" i="11"/>
  <c r="DC38" i="11"/>
  <c r="DB38" i="11"/>
  <c r="DA38" i="11"/>
  <c r="CZ38" i="11"/>
  <c r="CY38" i="11"/>
  <c r="CX38" i="11"/>
  <c r="CW38" i="11"/>
  <c r="CV38" i="11"/>
  <c r="CU38" i="11"/>
  <c r="CT38" i="11"/>
  <c r="CS38" i="11"/>
  <c r="CR38" i="11"/>
  <c r="CQ38" i="11"/>
  <c r="CP38" i="11"/>
  <c r="CO38" i="11"/>
  <c r="CN38" i="11"/>
  <c r="CM38" i="11"/>
  <c r="CL38" i="11"/>
  <c r="CK38" i="11"/>
  <c r="CJ38" i="11"/>
  <c r="CI38" i="11"/>
  <c r="CH38" i="11"/>
  <c r="CG38" i="11"/>
  <c r="CF38" i="11"/>
  <c r="CE38" i="11"/>
  <c r="CD38" i="11"/>
  <c r="CC38" i="11"/>
  <c r="CB38" i="11"/>
  <c r="CA38" i="11"/>
  <c r="BZ38" i="11"/>
  <c r="BY38" i="11"/>
  <c r="BX38" i="11"/>
  <c r="BW38" i="11"/>
  <c r="BV38" i="11"/>
  <c r="BU38" i="11"/>
  <c r="BT38" i="11"/>
  <c r="BS38" i="11"/>
  <c r="BR38" i="11"/>
  <c r="BQ38" i="11"/>
  <c r="BP38" i="11"/>
  <c r="BO38" i="11"/>
  <c r="BN38" i="11"/>
  <c r="BM38" i="11"/>
  <c r="BL38" i="11"/>
  <c r="BK38" i="11"/>
  <c r="BJ38" i="11"/>
  <c r="BI38" i="11"/>
  <c r="BH38" i="11"/>
  <c r="BG38" i="11"/>
  <c r="BF38" i="11"/>
  <c r="BE38" i="11"/>
  <c r="BD38" i="11"/>
  <c r="BC38" i="11"/>
  <c r="BB38" i="11"/>
  <c r="BA38" i="11"/>
  <c r="AZ38" i="11"/>
  <c r="AY38" i="11"/>
  <c r="AX38" i="11"/>
  <c r="AW38" i="11"/>
  <c r="AV38" i="11"/>
  <c r="AU38" i="11"/>
  <c r="AT38" i="11"/>
  <c r="AS38" i="11"/>
  <c r="AR38" i="11"/>
  <c r="AQ38" i="11"/>
  <c r="AP38" i="11"/>
  <c r="AO38" i="11"/>
  <c r="AN38" i="11"/>
  <c r="AM38" i="11"/>
  <c r="AL38" i="11"/>
  <c r="AK38" i="11"/>
  <c r="AJ38" i="11"/>
  <c r="AI38" i="11"/>
  <c r="AH38" i="11"/>
  <c r="AG38" i="11"/>
  <c r="AF38" i="11"/>
  <c r="AE38" i="11"/>
  <c r="AD38" i="11"/>
  <c r="AC38" i="11"/>
  <c r="AB38" i="11"/>
  <c r="AA38" i="11"/>
  <c r="Z38" i="11"/>
  <c r="Y38" i="11"/>
  <c r="X38" i="11"/>
  <c r="W38" i="11"/>
  <c r="V38" i="11"/>
  <c r="U38" i="11"/>
  <c r="T38" i="11"/>
  <c r="S38" i="11"/>
  <c r="R38" i="11"/>
  <c r="Q38" i="11"/>
  <c r="P38" i="11"/>
  <c r="O38" i="11"/>
  <c r="N38" i="11"/>
  <c r="M38" i="11"/>
  <c r="L38" i="11"/>
  <c r="K38" i="11"/>
  <c r="J38" i="11"/>
  <c r="CO37" i="11"/>
  <c r="CN37" i="11"/>
  <c r="CM37" i="11"/>
  <c r="CL37" i="11"/>
  <c r="CJ37" i="11"/>
  <c r="CI37" i="11"/>
  <c r="CH37" i="11"/>
  <c r="CG37" i="11"/>
  <c r="CF37" i="11"/>
  <c r="CE37" i="11"/>
  <c r="CD37" i="11"/>
  <c r="CC37" i="11"/>
  <c r="CB37" i="11"/>
  <c r="CA37" i="11"/>
  <c r="BZ37" i="11"/>
  <c r="BY37" i="11"/>
  <c r="BX37" i="11"/>
  <c r="BW37" i="11"/>
  <c r="BV37" i="11"/>
  <c r="BU37" i="11"/>
  <c r="BT37" i="11"/>
  <c r="BS37" i="11"/>
  <c r="BR37" i="11"/>
  <c r="BQ37" i="11"/>
  <c r="BP37" i="11"/>
  <c r="BN37" i="11"/>
  <c r="BM37" i="11"/>
  <c r="BL37" i="11"/>
  <c r="BK37" i="11"/>
  <c r="BJ37" i="11"/>
  <c r="BI37" i="11"/>
  <c r="BH37" i="11"/>
  <c r="BG37" i="11"/>
  <c r="BF37" i="11"/>
  <c r="BE37" i="11"/>
  <c r="BD37" i="11"/>
  <c r="BC37" i="11"/>
  <c r="BB37" i="11"/>
  <c r="BA37" i="11"/>
  <c r="AZ37" i="11"/>
  <c r="AY37" i="11"/>
  <c r="AX37" i="11"/>
  <c r="AW37" i="11"/>
  <c r="AV37" i="11"/>
  <c r="AU37" i="11"/>
  <c r="AT37" i="11"/>
  <c r="AS37" i="11"/>
  <c r="CK37" i="11" s="1"/>
  <c r="CO36" i="11"/>
  <c r="CM36" i="11"/>
  <c r="CK36" i="11"/>
  <c r="CJ36" i="11"/>
  <c r="CI36" i="11"/>
  <c r="CH36" i="11"/>
  <c r="CG36" i="11"/>
  <c r="CF36" i="11"/>
  <c r="CD36" i="11"/>
  <c r="CC36" i="11"/>
  <c r="BM36" i="11"/>
  <c r="BK36" i="11"/>
  <c r="BJ36" i="11"/>
  <c r="BI36" i="11"/>
  <c r="BH36" i="11"/>
  <c r="BF36" i="11"/>
  <c r="BE36" i="11"/>
  <c r="BD36" i="11"/>
  <c r="BC36" i="11"/>
  <c r="BA36" i="11"/>
  <c r="AZ36" i="11"/>
  <c r="AW36" i="11"/>
  <c r="AV36" i="11"/>
  <c r="AU36" i="11"/>
  <c r="AG36" i="11"/>
  <c r="CO35" i="11"/>
  <c r="CN35" i="11"/>
  <c r="CL35" i="11"/>
  <c r="CI35" i="11"/>
  <c r="CH35" i="11"/>
  <c r="CG35" i="11"/>
  <c r="CF35" i="11"/>
  <c r="CE35" i="11"/>
  <c r="CD35" i="11"/>
  <c r="CC35" i="11"/>
  <c r="CB35" i="11"/>
  <c r="CA35" i="11"/>
  <c r="BV35" i="11"/>
  <c r="BS35" i="11"/>
  <c r="BR35" i="11"/>
  <c r="BQ35" i="11"/>
  <c r="BP35" i="11"/>
  <c r="BL35" i="11"/>
  <c r="BK35" i="11"/>
  <c r="BJ35" i="11"/>
  <c r="BI35" i="11"/>
  <c r="BH35" i="11"/>
  <c r="BG35" i="11"/>
  <c r="BF35" i="11"/>
  <c r="BE35" i="11"/>
  <c r="BD35" i="11"/>
  <c r="BC35" i="11"/>
  <c r="BB35" i="11"/>
  <c r="BA35" i="11"/>
  <c r="AU35" i="11"/>
  <c r="AR35" i="11"/>
  <c r="AQ35" i="11"/>
  <c r="AN35" i="11"/>
  <c r="AM35" i="11"/>
  <c r="AL35" i="11"/>
  <c r="AK35" i="11"/>
  <c r="AJ35" i="11"/>
  <c r="AI35" i="11"/>
  <c r="AH35" i="11"/>
  <c r="AG35" i="11"/>
  <c r="AF35" i="11"/>
  <c r="AE35" i="11"/>
  <c r="AD35" i="11"/>
  <c r="AC35" i="11"/>
  <c r="AB35" i="11"/>
  <c r="AA35" i="11"/>
  <c r="U35" i="11"/>
  <c r="BU35" i="11" s="1"/>
  <c r="DY34" i="11"/>
  <c r="DX34" i="11"/>
  <c r="DW34" i="11"/>
  <c r="DV34" i="11"/>
  <c r="DU34" i="11"/>
  <c r="DT34" i="11"/>
  <c r="DS34" i="11"/>
  <c r="DR34" i="11"/>
  <c r="DQ34" i="11"/>
  <c r="DP34" i="11"/>
  <c r="DO34" i="11"/>
  <c r="DN34" i="11"/>
  <c r="DM34" i="11"/>
  <c r="DL34" i="11"/>
  <c r="DK34" i="11"/>
  <c r="DJ34" i="11"/>
  <c r="DI34" i="11"/>
  <c r="DH34" i="11"/>
  <c r="DG34" i="11"/>
  <c r="DF34" i="11"/>
  <c r="DE34" i="11"/>
  <c r="DD34" i="11"/>
  <c r="DC34" i="11"/>
  <c r="DB34" i="11"/>
  <c r="DA34" i="11"/>
  <c r="CZ34" i="11"/>
  <c r="CY34" i="11"/>
  <c r="CX34" i="11"/>
  <c r="CW34" i="11"/>
  <c r="CV34" i="11"/>
  <c r="CU34" i="11"/>
  <c r="CT34" i="11"/>
  <c r="CS34" i="11"/>
  <c r="CR34" i="11"/>
  <c r="CQ34" i="11"/>
  <c r="CP34" i="11"/>
  <c r="CO34" i="11"/>
  <c r="CN34" i="11"/>
  <c r="CM34" i="11"/>
  <c r="CL34" i="11"/>
  <c r="CK34" i="11"/>
  <c r="CJ34" i="11"/>
  <c r="CI34" i="11"/>
  <c r="CH34" i="11"/>
  <c r="CG34" i="11"/>
  <c r="CF34" i="11"/>
  <c r="CE34" i="11"/>
  <c r="CD34" i="11"/>
  <c r="CC34" i="11"/>
  <c r="CB34" i="11"/>
  <c r="CA34" i="11"/>
  <c r="BZ34" i="11"/>
  <c r="BY34" i="11"/>
  <c r="BX34" i="11"/>
  <c r="BW34" i="11"/>
  <c r="BV34" i="11"/>
  <c r="BU34" i="11"/>
  <c r="BT34" i="11"/>
  <c r="BS34" i="11"/>
  <c r="BR34" i="11"/>
  <c r="BQ34" i="11"/>
  <c r="BP34" i="11"/>
  <c r="BO34" i="11"/>
  <c r="BN34" i="11"/>
  <c r="BM34" i="11"/>
  <c r="BL34" i="11"/>
  <c r="BK34" i="11"/>
  <c r="BJ34" i="11"/>
  <c r="BI34" i="11"/>
  <c r="BH34" i="11"/>
  <c r="BG34" i="11"/>
  <c r="BF34" i="11"/>
  <c r="BE34" i="11"/>
  <c r="BD34" i="11"/>
  <c r="BC34" i="11"/>
  <c r="BB34" i="11"/>
  <c r="BA34" i="11"/>
  <c r="AZ34" i="11"/>
  <c r="AY34" i="11"/>
  <c r="AX34" i="11"/>
  <c r="AW34" i="11"/>
  <c r="AV34" i="11"/>
  <c r="AU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DY30" i="11"/>
  <c r="DX30" i="11"/>
  <c r="DW30" i="11"/>
  <c r="DV30" i="11"/>
  <c r="DU30" i="11"/>
  <c r="DT30" i="11"/>
  <c r="DS30" i="11"/>
  <c r="DR30" i="11"/>
  <c r="DQ30" i="11"/>
  <c r="DP30" i="11"/>
  <c r="DO30" i="11"/>
  <c r="DN30" i="11"/>
  <c r="DM30" i="11"/>
  <c r="DL30" i="11"/>
  <c r="DK30" i="11"/>
  <c r="DJ30" i="11"/>
  <c r="DI30" i="11"/>
  <c r="DH30" i="11"/>
  <c r="DG30" i="11"/>
  <c r="DF30" i="11"/>
  <c r="DE30" i="11"/>
  <c r="DD30" i="11"/>
  <c r="DD21" i="11" s="1"/>
  <c r="DC30" i="11"/>
  <c r="DB30" i="11"/>
  <c r="DA30" i="11"/>
  <c r="CZ30" i="11"/>
  <c r="CY30" i="11"/>
  <c r="CX30" i="11"/>
  <c r="CW30" i="11"/>
  <c r="CV30" i="11"/>
  <c r="CU30" i="11"/>
  <c r="CT30" i="11"/>
  <c r="CS30" i="11"/>
  <c r="CR30" i="11"/>
  <c r="CQ30" i="11"/>
  <c r="CP30" i="11"/>
  <c r="CO30" i="11"/>
  <c r="CN30" i="11"/>
  <c r="CM30" i="11"/>
  <c r="CL30" i="11"/>
  <c r="CK30" i="11"/>
  <c r="CJ30" i="11"/>
  <c r="CJ21" i="11" s="1"/>
  <c r="CI30" i="11"/>
  <c r="CH30" i="11"/>
  <c r="CH21" i="11" s="1"/>
  <c r="CG30" i="11"/>
  <c r="CF30" i="11"/>
  <c r="CE30" i="11"/>
  <c r="CD30" i="11"/>
  <c r="CC30" i="11"/>
  <c r="CC21" i="11" s="1"/>
  <c r="CB30" i="11"/>
  <c r="CA30" i="11"/>
  <c r="BZ30" i="11"/>
  <c r="BY30" i="11"/>
  <c r="BX30" i="11"/>
  <c r="BW30" i="11"/>
  <c r="BV30" i="11"/>
  <c r="BU30" i="11"/>
  <c r="BT30" i="11"/>
  <c r="BS30" i="11"/>
  <c r="BR30" i="11"/>
  <c r="BQ30" i="11"/>
  <c r="BP30" i="11"/>
  <c r="BO30" i="11"/>
  <c r="BN30" i="11"/>
  <c r="BM30" i="11"/>
  <c r="BL30" i="11"/>
  <c r="BK30"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DY26" i="11"/>
  <c r="DX26" i="11"/>
  <c r="DW26" i="11"/>
  <c r="DV26" i="11"/>
  <c r="DU26" i="11"/>
  <c r="DT26" i="11"/>
  <c r="DS26" i="11"/>
  <c r="DR26" i="11"/>
  <c r="DQ26" i="11"/>
  <c r="DP26" i="11"/>
  <c r="DO26" i="11"/>
  <c r="DO21" i="11" s="1"/>
  <c r="DN26" i="11"/>
  <c r="DN21" i="11" s="1"/>
  <c r="DM26" i="11"/>
  <c r="DL26" i="11"/>
  <c r="DK26" i="11"/>
  <c r="DJ26" i="11"/>
  <c r="DI26" i="11"/>
  <c r="DH26" i="11"/>
  <c r="DG26" i="11"/>
  <c r="DF26" i="11"/>
  <c r="DF21" i="11" s="1"/>
  <c r="DE26" i="11"/>
  <c r="DD26" i="11"/>
  <c r="DC26" i="11"/>
  <c r="DB26" i="11"/>
  <c r="DA26" i="11"/>
  <c r="CZ26" i="11"/>
  <c r="CY26" i="11"/>
  <c r="CX26" i="11"/>
  <c r="CX21" i="11" s="1"/>
  <c r="CW26" i="11"/>
  <c r="CW21" i="11" s="1"/>
  <c r="CV26" i="11"/>
  <c r="CV21" i="11" s="1"/>
  <c r="CU26" i="11"/>
  <c r="CU21" i="11" s="1"/>
  <c r="CT26" i="11"/>
  <c r="CT21" i="11" s="1"/>
  <c r="CS26" i="11"/>
  <c r="CS21" i="11" s="1"/>
  <c r="CR26" i="11"/>
  <c r="CQ26" i="11"/>
  <c r="CP26" i="11"/>
  <c r="CO26" i="11"/>
  <c r="CN26" i="11"/>
  <c r="CM26" i="11"/>
  <c r="CL26" i="11"/>
  <c r="CK26" i="11"/>
  <c r="CJ26" i="11"/>
  <c r="CI26" i="11"/>
  <c r="CH26" i="11"/>
  <c r="CG26" i="11"/>
  <c r="CF26" i="11"/>
  <c r="CE26" i="11"/>
  <c r="CD26" i="11"/>
  <c r="CC26" i="11"/>
  <c r="CB26" i="11"/>
  <c r="CA26" i="11"/>
  <c r="CA21" i="11" s="1"/>
  <c r="BZ26" i="11"/>
  <c r="BZ21" i="11" s="1"/>
  <c r="BY26" i="11"/>
  <c r="BY21" i="11" s="1"/>
  <c r="BX26" i="11"/>
  <c r="BX21" i="11" s="1"/>
  <c r="BW26" i="11"/>
  <c r="BW21" i="11" s="1"/>
  <c r="BV26" i="11"/>
  <c r="BV21" i="11" s="1"/>
  <c r="BU26" i="11"/>
  <c r="BT26" i="11"/>
  <c r="BS26" i="11"/>
  <c r="BR26" i="11"/>
  <c r="BQ26" i="11"/>
  <c r="BP26" i="11"/>
  <c r="BO26" i="11"/>
  <c r="BN26" i="11"/>
  <c r="BM26" i="11"/>
  <c r="BL26" i="11"/>
  <c r="BK26" i="11"/>
  <c r="BJ26" i="11"/>
  <c r="BI26" i="11"/>
  <c r="BH26" i="11"/>
  <c r="BG26" i="11"/>
  <c r="BF26" i="11"/>
  <c r="BE26" i="11"/>
  <c r="BD26" i="11"/>
  <c r="BC26" i="11"/>
  <c r="BB26" i="11"/>
  <c r="BA26" i="11"/>
  <c r="AZ26" i="11"/>
  <c r="AY26"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J26" i="11"/>
  <c r="J21" i="11" s="1"/>
  <c r="AS25" i="11"/>
  <c r="AT25" i="11" s="1"/>
  <c r="AU25" i="11" s="1"/>
  <c r="AV25" i="11" s="1"/>
  <c r="AW25" i="11" s="1"/>
  <c r="AX25" i="11" s="1"/>
  <c r="AY25" i="11" s="1"/>
  <c r="AZ25" i="11" s="1"/>
  <c r="BA25" i="11" s="1"/>
  <c r="BB25" i="11" s="1"/>
  <c r="BC25" i="11" s="1"/>
  <c r="BD25" i="11" s="1"/>
  <c r="BE25" i="11" s="1"/>
  <c r="BF25" i="11" s="1"/>
  <c r="BG25" i="11" s="1"/>
  <c r="BH25" i="11" s="1"/>
  <c r="BI25" i="11" s="1"/>
  <c r="BJ25" i="11" s="1"/>
  <c r="BK25" i="11" s="1"/>
  <c r="BL25" i="11" s="1"/>
  <c r="BM25" i="11" s="1"/>
  <c r="BN25" i="11" s="1"/>
  <c r="BO25" i="11" s="1"/>
  <c r="BP25" i="11" s="1"/>
  <c r="BQ25" i="11" s="1"/>
  <c r="AH24" i="11"/>
  <c r="AI24" i="11" s="1"/>
  <c r="AJ24" i="11" s="1"/>
  <c r="AK24" i="11" s="1"/>
  <c r="AL24" i="11" s="1"/>
  <c r="AM24" i="11" s="1"/>
  <c r="AN24" i="11" s="1"/>
  <c r="AO24" i="11" s="1"/>
  <c r="AP24" i="11" s="1"/>
  <c r="AQ24" i="11" s="1"/>
  <c r="AR24" i="11" s="1"/>
  <c r="AS24" i="11" s="1"/>
  <c r="AT24" i="11" s="1"/>
  <c r="AU24" i="11" s="1"/>
  <c r="AV24" i="11" s="1"/>
  <c r="AW24" i="11" s="1"/>
  <c r="AX24" i="11" s="1"/>
  <c r="AY24" i="11" s="1"/>
  <c r="AZ24" i="11" s="1"/>
  <c r="BA24" i="11" s="1"/>
  <c r="BB24" i="11" s="1"/>
  <c r="BC24" i="11" s="1"/>
  <c r="BD24" i="11" s="1"/>
  <c r="BE24" i="11" s="1"/>
  <c r="BF24" i="11" s="1"/>
  <c r="BG24" i="11" s="1"/>
  <c r="BH24" i="11" s="1"/>
  <c r="BI24" i="11" s="1"/>
  <c r="BJ24" i="11" s="1"/>
  <c r="BK24" i="11" s="1"/>
  <c r="BL24" i="11" s="1"/>
  <c r="BM24" i="11" s="1"/>
  <c r="BN24" i="11" s="1"/>
  <c r="BO24" i="11" s="1"/>
  <c r="BP24" i="11" s="1"/>
  <c r="BQ24" i="11" s="1"/>
  <c r="AG24" i="11"/>
  <c r="V23" i="11"/>
  <c r="W23" i="11" s="1"/>
  <c r="X23" i="11" s="1"/>
  <c r="Y23" i="11" s="1"/>
  <c r="Z23" i="11" s="1"/>
  <c r="AA23" i="11" s="1"/>
  <c r="AB23" i="11" s="1"/>
  <c r="AC23" i="11" s="1"/>
  <c r="AD23" i="11" s="1"/>
  <c r="AE23" i="11" s="1"/>
  <c r="AF23" i="11" s="1"/>
  <c r="AG23" i="11" s="1"/>
  <c r="U23" i="11"/>
  <c r="DY22" i="11"/>
  <c r="DX22" i="11"/>
  <c r="DW22" i="11"/>
  <c r="DV22" i="11"/>
  <c r="DU22" i="11"/>
  <c r="DT22" i="11"/>
  <c r="DS22" i="11"/>
  <c r="DR22" i="11"/>
  <c r="DQ22" i="11"/>
  <c r="DP22" i="11"/>
  <c r="DO22" i="11"/>
  <c r="DN22" i="11"/>
  <c r="DM22" i="11"/>
  <c r="DL22" i="11"/>
  <c r="DL21" i="11" s="1"/>
  <c r="DK22" i="11"/>
  <c r="DJ22" i="11"/>
  <c r="DI22" i="11"/>
  <c r="DI21" i="11" s="1"/>
  <c r="DH22" i="11"/>
  <c r="DH21" i="11" s="1"/>
  <c r="DG22" i="11"/>
  <c r="DG21" i="11" s="1"/>
  <c r="DF22" i="11"/>
  <c r="DE22" i="11"/>
  <c r="DE21" i="11" s="1"/>
  <c r="DD22" i="11"/>
  <c r="DC22" i="11"/>
  <c r="DB22" i="11"/>
  <c r="DB21" i="11" s="1"/>
  <c r="DA22" i="11"/>
  <c r="CZ22" i="11"/>
  <c r="CZ21" i="11" s="1"/>
  <c r="CY22" i="11"/>
  <c r="CX22" i="11"/>
  <c r="CW22" i="11"/>
  <c r="CV22" i="11"/>
  <c r="CU22" i="11"/>
  <c r="CT22" i="11"/>
  <c r="CS22" i="11"/>
  <c r="CR22" i="11"/>
  <c r="CQ22" i="11"/>
  <c r="CP22" i="11"/>
  <c r="CP21" i="11" s="1"/>
  <c r="CO22" i="11"/>
  <c r="CO21" i="11" s="1"/>
  <c r="CN22" i="11"/>
  <c r="CN21" i="11" s="1"/>
  <c r="CM22" i="11"/>
  <c r="CM21" i="11" s="1"/>
  <c r="CL22" i="11"/>
  <c r="CL21" i="11" s="1"/>
  <c r="CK22" i="11"/>
  <c r="CK21" i="11" s="1"/>
  <c r="CJ22" i="11"/>
  <c r="CI22" i="11"/>
  <c r="CI21" i="11" s="1"/>
  <c r="CH22" i="11"/>
  <c r="CG22" i="11"/>
  <c r="CF22" i="11"/>
  <c r="CE22" i="11"/>
  <c r="CD22" i="11"/>
  <c r="CC22" i="11"/>
  <c r="CB22" i="11"/>
  <c r="CA22" i="11"/>
  <c r="BZ22" i="11"/>
  <c r="BY22" i="11"/>
  <c r="BX22" i="11"/>
  <c r="BW22" i="11"/>
  <c r="BV22" i="11"/>
  <c r="BU22" i="11"/>
  <c r="BU21" i="11" s="1"/>
  <c r="BT22" i="11"/>
  <c r="BT21" i="11" s="1"/>
  <c r="BS22" i="11"/>
  <c r="BS21" i="11" s="1"/>
  <c r="BR22" i="11"/>
  <c r="BR21" i="11" s="1"/>
  <c r="BQ22" i="11"/>
  <c r="K22" i="11"/>
  <c r="L22" i="11" s="1"/>
  <c r="J22" i="11"/>
  <c r="DX21" i="11"/>
  <c r="DW21" i="11"/>
  <c r="DV21" i="11"/>
  <c r="DU21" i="11"/>
  <c r="DT21" i="11"/>
  <c r="DS21" i="11"/>
  <c r="DK21" i="11"/>
  <c r="DJ21" i="11"/>
  <c r="CY21" i="11"/>
  <c r="CF21" i="11"/>
  <c r="CE21" i="11"/>
  <c r="CD21" i="11"/>
  <c r="CB21" i="11"/>
  <c r="I21" i="11"/>
  <c r="AH19" i="11"/>
  <c r="K19" i="11"/>
  <c r="K47" i="11" s="1"/>
  <c r="J19" i="11"/>
  <c r="DY17" i="11"/>
  <c r="DX17" i="11"/>
  <c r="DW17" i="11"/>
  <c r="DV17" i="11"/>
  <c r="DV12" i="11" s="1"/>
  <c r="DU17" i="11"/>
  <c r="DT17" i="11"/>
  <c r="DS17" i="11"/>
  <c r="DS12" i="11" s="1"/>
  <c r="DR17" i="11"/>
  <c r="DQ17" i="11"/>
  <c r="DQ12" i="11" s="1"/>
  <c r="DP17" i="11"/>
  <c r="DO17" i="11"/>
  <c r="DO12" i="11" s="1"/>
  <c r="DN17" i="11"/>
  <c r="DM17" i="11"/>
  <c r="DL17" i="11"/>
  <c r="DK17" i="11"/>
  <c r="DJ17" i="11"/>
  <c r="DI17" i="11"/>
  <c r="DH17" i="11"/>
  <c r="DG17" i="11"/>
  <c r="DF17" i="11"/>
  <c r="DF12" i="11" s="1"/>
  <c r="DE17" i="11"/>
  <c r="DD17" i="11"/>
  <c r="DC17" i="11"/>
  <c r="DB17" i="11"/>
  <c r="DA17" i="11"/>
  <c r="CZ17" i="11"/>
  <c r="CY17" i="11"/>
  <c r="CX17" i="11"/>
  <c r="CW17" i="11"/>
  <c r="CV17" i="11"/>
  <c r="CU17" i="11"/>
  <c r="CU12" i="11" s="1"/>
  <c r="CT17" i="11"/>
  <c r="CS17" i="11"/>
  <c r="CR17" i="11"/>
  <c r="CQ17" i="11"/>
  <c r="CP17" i="11"/>
  <c r="CO17" i="11"/>
  <c r="CN17" i="11"/>
  <c r="CM17" i="11"/>
  <c r="CL17" i="11"/>
  <c r="CK17" i="11"/>
  <c r="CJ17" i="11"/>
  <c r="CI17" i="11"/>
  <c r="CH17" i="11"/>
  <c r="CG17" i="11"/>
  <c r="CF17" i="11"/>
  <c r="CE17" i="11"/>
  <c r="CD17" i="11"/>
  <c r="CC17" i="11"/>
  <c r="CB17" i="11"/>
  <c r="CA17" i="11"/>
  <c r="BZ17" i="11"/>
  <c r="BY17" i="11"/>
  <c r="BX17" i="11"/>
  <c r="BW17" i="11"/>
  <c r="BV17" i="11"/>
  <c r="BU17" i="11"/>
  <c r="BT17" i="11"/>
  <c r="BS17" i="11"/>
  <c r="BR17" i="11"/>
  <c r="BR12" i="11" s="1"/>
  <c r="BQ17" i="11"/>
  <c r="BP17" i="11"/>
  <c r="BO17" i="11"/>
  <c r="BN17" i="11"/>
  <c r="BM17" i="11"/>
  <c r="BL17" i="11"/>
  <c r="BK17" i="11"/>
  <c r="BJ17" i="11"/>
  <c r="BI17" i="11"/>
  <c r="BH17" i="11"/>
  <c r="BG17" i="11"/>
  <c r="BF17" i="11"/>
  <c r="BE17" i="11"/>
  <c r="BE12" i="11" s="1"/>
  <c r="BD17" i="11"/>
  <c r="BC17" i="11"/>
  <c r="BC12" i="11" s="1"/>
  <c r="BB17" i="11"/>
  <c r="BA17" i="11"/>
  <c r="AZ17" i="11"/>
  <c r="AY17" i="11"/>
  <c r="AX17" i="11"/>
  <c r="AW17" i="11"/>
  <c r="AV17" i="11"/>
  <c r="AV12" i="11" s="1"/>
  <c r="AU17" i="11"/>
  <c r="AT17" i="11"/>
  <c r="AS17" i="11"/>
  <c r="AR17" i="11"/>
  <c r="AQ17" i="11"/>
  <c r="AP17" i="11"/>
  <c r="AO17" i="11"/>
  <c r="AN17" i="11"/>
  <c r="AM17" i="11"/>
  <c r="AL17" i="11"/>
  <c r="AL12" i="11" s="1"/>
  <c r="AK17" i="11"/>
  <c r="AK12" i="11" s="1"/>
  <c r="AJ17" i="11"/>
  <c r="AI17" i="11"/>
  <c r="AI12" i="11" s="1"/>
  <c r="AH17" i="11"/>
  <c r="AG17" i="11"/>
  <c r="AF17" i="11"/>
  <c r="AE17" i="11"/>
  <c r="AD17" i="11"/>
  <c r="AC17" i="11"/>
  <c r="AB17" i="11"/>
  <c r="AA17" i="11"/>
  <c r="AA12" i="11" s="1"/>
  <c r="Z17" i="11"/>
  <c r="Y17" i="11"/>
  <c r="X17" i="11"/>
  <c r="W17" i="11"/>
  <c r="V17" i="11"/>
  <c r="U17" i="11"/>
  <c r="T17" i="11"/>
  <c r="S17" i="11"/>
  <c r="R17" i="11"/>
  <c r="Q17" i="11"/>
  <c r="P17" i="11"/>
  <c r="O17" i="11"/>
  <c r="N17" i="11"/>
  <c r="M17" i="11"/>
  <c r="L17" i="11"/>
  <c r="K17" i="11"/>
  <c r="J17" i="11"/>
  <c r="DY13" i="11"/>
  <c r="DY12" i="11" s="1"/>
  <c r="DX13" i="11"/>
  <c r="DW13" i="11"/>
  <c r="DV13" i="11"/>
  <c r="DU13" i="11"/>
  <c r="DT13" i="11"/>
  <c r="DT12" i="11" s="1"/>
  <c r="DS13" i="11"/>
  <c r="DR13" i="11"/>
  <c r="DQ13" i="11"/>
  <c r="DP13" i="11"/>
  <c r="DO13" i="11"/>
  <c r="DN13" i="11"/>
  <c r="DM13" i="11"/>
  <c r="DL13" i="11"/>
  <c r="DK13" i="11"/>
  <c r="DJ13" i="11"/>
  <c r="DI13" i="11"/>
  <c r="DI12" i="11" s="1"/>
  <c r="DH13" i="11"/>
  <c r="DH12" i="11" s="1"/>
  <c r="DG13" i="11"/>
  <c r="DG12" i="11" s="1"/>
  <c r="DF13" i="11"/>
  <c r="DE13" i="11"/>
  <c r="DD13" i="11"/>
  <c r="DD12" i="11" s="1"/>
  <c r="DC13" i="11"/>
  <c r="DC12" i="11" s="1"/>
  <c r="DB13" i="11"/>
  <c r="DA13" i="11"/>
  <c r="CZ13" i="11"/>
  <c r="CY13" i="11"/>
  <c r="CX13" i="11"/>
  <c r="CX12" i="11" s="1"/>
  <c r="CX49" i="11" s="1"/>
  <c r="CW13" i="11"/>
  <c r="CV13" i="11"/>
  <c r="CU13" i="11"/>
  <c r="CT13" i="11"/>
  <c r="CS13" i="11"/>
  <c r="CS12" i="11" s="1"/>
  <c r="CR13" i="11"/>
  <c r="CR12" i="11" s="1"/>
  <c r="CQ13" i="11"/>
  <c r="CP13" i="11"/>
  <c r="CP12" i="11" s="1"/>
  <c r="CO13" i="11"/>
  <c r="CN13" i="11"/>
  <c r="CM13" i="11"/>
  <c r="CM12" i="11" s="1"/>
  <c r="CL13" i="11"/>
  <c r="CL12" i="11" s="1"/>
  <c r="CK13" i="11"/>
  <c r="CK12" i="11" s="1"/>
  <c r="CJ13" i="11"/>
  <c r="CI13" i="11"/>
  <c r="CI12" i="11" s="1"/>
  <c r="CH13" i="11"/>
  <c r="CH12" i="11" s="1"/>
  <c r="CG13" i="11"/>
  <c r="CG12" i="11" s="1"/>
  <c r="CF13" i="11"/>
  <c r="CE13" i="11"/>
  <c r="CD13" i="11"/>
  <c r="CC13" i="11"/>
  <c r="CC12" i="11" s="1"/>
  <c r="CB13" i="11"/>
  <c r="CB12" i="11" s="1"/>
  <c r="CA13" i="11"/>
  <c r="BZ13" i="11"/>
  <c r="BY13" i="11"/>
  <c r="BX13" i="11"/>
  <c r="BW13" i="11"/>
  <c r="BV13" i="11"/>
  <c r="BU13" i="11"/>
  <c r="BT13" i="11"/>
  <c r="BS13" i="11"/>
  <c r="BR13" i="11"/>
  <c r="BQ13" i="11"/>
  <c r="BQ12" i="11" s="1"/>
  <c r="BP13" i="11"/>
  <c r="BP12" i="11" s="1"/>
  <c r="BO13" i="11"/>
  <c r="BO12" i="11" s="1"/>
  <c r="BN13" i="11"/>
  <c r="BM13" i="11"/>
  <c r="BM12" i="11" s="1"/>
  <c r="BL13" i="11"/>
  <c r="BL12" i="11" s="1"/>
  <c r="BK13" i="11"/>
  <c r="BK12" i="11" s="1"/>
  <c r="BJ13" i="11"/>
  <c r="BI13" i="11"/>
  <c r="BH13" i="11"/>
  <c r="BG13" i="11"/>
  <c r="BG12" i="11" s="1"/>
  <c r="BF13" i="11"/>
  <c r="BF12" i="11" s="1"/>
  <c r="BE13" i="11"/>
  <c r="BD13" i="11"/>
  <c r="BD12" i="11" s="1"/>
  <c r="BC13" i="11"/>
  <c r="BB13" i="11"/>
  <c r="BA13" i="11"/>
  <c r="AZ13" i="11"/>
  <c r="AY13" i="11"/>
  <c r="AX13" i="11"/>
  <c r="AW13" i="11"/>
  <c r="AV13" i="11"/>
  <c r="AU13" i="11"/>
  <c r="AT13" i="11"/>
  <c r="AS13" i="11"/>
  <c r="AR13" i="11"/>
  <c r="AQ13" i="11"/>
  <c r="AP13" i="11"/>
  <c r="AO13" i="11"/>
  <c r="AO12" i="11" s="1"/>
  <c r="AN13" i="11"/>
  <c r="AM13" i="11"/>
  <c r="AL13" i="11"/>
  <c r="AK13" i="11"/>
  <c r="AJ13" i="11"/>
  <c r="AJ12" i="11" s="1"/>
  <c r="AI13" i="11"/>
  <c r="AH13" i="11"/>
  <c r="AG13" i="11"/>
  <c r="AF13" i="11"/>
  <c r="AE13" i="11"/>
  <c r="AD13" i="11"/>
  <c r="AD12" i="11" s="1"/>
  <c r="AC13" i="11"/>
  <c r="AC12" i="11" s="1"/>
  <c r="AB13" i="11"/>
  <c r="AA13" i="11"/>
  <c r="Z13" i="11"/>
  <c r="Y13" i="11"/>
  <c r="Y12" i="11" s="1"/>
  <c r="X13" i="11"/>
  <c r="X12" i="11" s="1"/>
  <c r="W13" i="11"/>
  <c r="W12" i="11" s="1"/>
  <c r="V13" i="11"/>
  <c r="U13" i="11"/>
  <c r="U12" i="11" s="1"/>
  <c r="T13" i="11"/>
  <c r="T12" i="11" s="1"/>
  <c r="S13" i="11"/>
  <c r="S12" i="11" s="1"/>
  <c r="R13" i="11"/>
  <c r="Q13" i="11"/>
  <c r="P13" i="11"/>
  <c r="O13" i="11"/>
  <c r="N13" i="11"/>
  <c r="N12" i="11" s="1"/>
  <c r="M13" i="11"/>
  <c r="L13" i="11"/>
  <c r="K13" i="11"/>
  <c r="J13" i="11"/>
  <c r="DX12" i="11"/>
  <c r="DW12" i="11"/>
  <c r="DR12" i="11"/>
  <c r="DN12" i="11"/>
  <c r="DM12" i="11"/>
  <c r="DL12" i="11"/>
  <c r="DK12" i="11"/>
  <c r="DE12" i="11"/>
  <c r="DB12" i="11"/>
  <c r="DA12" i="11"/>
  <c r="CZ12" i="11"/>
  <c r="CY12" i="11"/>
  <c r="CY49" i="11" s="1"/>
  <c r="CW12" i="11"/>
  <c r="CV12" i="11"/>
  <c r="CQ12" i="11"/>
  <c r="CO12" i="11"/>
  <c r="CJ12" i="11"/>
  <c r="CE12" i="11"/>
  <c r="CD12" i="11"/>
  <c r="BZ12" i="11"/>
  <c r="BY12" i="11"/>
  <c r="BW12" i="11"/>
  <c r="BV12" i="11"/>
  <c r="BU12" i="11"/>
  <c r="BT12" i="11"/>
  <c r="BS12" i="11"/>
  <c r="BN12" i="11"/>
  <c r="BJ12" i="11"/>
  <c r="BI12" i="11"/>
  <c r="AZ12" i="11"/>
  <c r="AY12" i="11"/>
  <c r="AX12" i="11"/>
  <c r="AW12" i="11"/>
  <c r="AU12" i="11"/>
  <c r="AT12" i="11"/>
  <c r="AS12" i="11"/>
  <c r="AR12" i="11"/>
  <c r="AQ12" i="11"/>
  <c r="AP12" i="11"/>
  <c r="AN12" i="11"/>
  <c r="AM12" i="11"/>
  <c r="AH12" i="11"/>
  <c r="AB12" i="11"/>
  <c r="V12" i="11"/>
  <c r="R12" i="11"/>
  <c r="Q12" i="11"/>
  <c r="P12" i="11"/>
  <c r="O12" i="11"/>
  <c r="M12" i="11"/>
  <c r="L12" i="11"/>
  <c r="K12" i="11"/>
  <c r="I12" i="11"/>
  <c r="DJ11" i="11"/>
  <c r="DI11" i="11"/>
  <c r="DH11" i="11"/>
  <c r="DG11" i="11"/>
  <c r="DG48" i="11" s="1"/>
  <c r="DD11" i="11"/>
  <c r="DB11" i="11"/>
  <c r="DA11" i="11"/>
  <c r="CV11" i="11"/>
  <c r="CT11" i="11"/>
  <c r="CS11" i="11"/>
  <c r="CR11" i="11"/>
  <c r="CQ11" i="11"/>
  <c r="CB11" i="11"/>
  <c r="CA11" i="11"/>
  <c r="BV11" i="11"/>
  <c r="BT11" i="11"/>
  <c r="BS11" i="11"/>
  <c r="BR11" i="11"/>
  <c r="BQ11" i="11"/>
  <c r="BP11" i="11"/>
  <c r="BN11" i="11"/>
  <c r="BL11" i="11"/>
  <c r="BK11" i="11"/>
  <c r="BJ11" i="11"/>
  <c r="AS11" i="11"/>
  <c r="DP11" i="11" s="1"/>
  <c r="DY10" i="11"/>
  <c r="DV10" i="11"/>
  <c r="DU10" i="11"/>
  <c r="DT10" i="11"/>
  <c r="DR10" i="11"/>
  <c r="DP10" i="11"/>
  <c r="DO10" i="11"/>
  <c r="DN10" i="11"/>
  <c r="DM10" i="11"/>
  <c r="DL10" i="11"/>
  <c r="DK10" i="11"/>
  <c r="DJ10" i="11"/>
  <c r="CQ10" i="11"/>
  <c r="CP10" i="11"/>
  <c r="CO10" i="11"/>
  <c r="CN10" i="11"/>
  <c r="CM10" i="11"/>
  <c r="CL10" i="11"/>
  <c r="CK10" i="11"/>
  <c r="CJ10" i="11"/>
  <c r="CI10" i="11"/>
  <c r="CH10" i="11"/>
  <c r="CB10" i="11"/>
  <c r="BX10" i="11"/>
  <c r="BW10" i="11"/>
  <c r="BL10" i="11"/>
  <c r="BK10" i="11"/>
  <c r="BI10" i="11"/>
  <c r="BH10" i="11"/>
  <c r="BG10" i="11"/>
  <c r="AZ10" i="11"/>
  <c r="AX10" i="11"/>
  <c r="AV10" i="11"/>
  <c r="AU10" i="11"/>
  <c r="AT10" i="11"/>
  <c r="AS10" i="11"/>
  <c r="AR10" i="11"/>
  <c r="AQ10" i="11"/>
  <c r="AG10" i="11"/>
  <c r="CW10" i="11" s="1"/>
  <c r="DV9" i="11"/>
  <c r="DU9" i="11"/>
  <c r="DT9" i="11"/>
  <c r="DS9" i="11"/>
  <c r="DQ9" i="11"/>
  <c r="DP9" i="11"/>
  <c r="DO9" i="11"/>
  <c r="DN9" i="11"/>
  <c r="DM9" i="11"/>
  <c r="DL9" i="11"/>
  <c r="DJ9" i="11"/>
  <c r="DI9" i="11"/>
  <c r="DH9" i="11"/>
  <c r="DG9" i="11"/>
  <c r="DF9" i="11"/>
  <c r="DE9" i="11"/>
  <c r="DD9" i="11"/>
  <c r="DC9" i="11"/>
  <c r="DB9" i="11"/>
  <c r="CZ9" i="11"/>
  <c r="CX9" i="11"/>
  <c r="CV9" i="11"/>
  <c r="CU9" i="11"/>
  <c r="CS9" i="11"/>
  <c r="CR9" i="11"/>
  <c r="CQ9" i="11"/>
  <c r="CP9" i="11"/>
  <c r="CN9" i="11"/>
  <c r="CM9" i="11"/>
  <c r="CL9" i="11"/>
  <c r="CK9" i="11"/>
  <c r="CJ9" i="11"/>
  <c r="CI9" i="11"/>
  <c r="CH9" i="11"/>
  <c r="CG9" i="11"/>
  <c r="CF9" i="11"/>
  <c r="CE9" i="11"/>
  <c r="CC9" i="11"/>
  <c r="CB9" i="11"/>
  <c r="BZ9" i="11"/>
  <c r="BY9" i="11"/>
  <c r="BX9" i="11"/>
  <c r="BU9" i="11"/>
  <c r="BT9" i="11"/>
  <c r="BR9" i="11"/>
  <c r="BQ9" i="11"/>
  <c r="BP9" i="11"/>
  <c r="BO9" i="11"/>
  <c r="BN9" i="11"/>
  <c r="BM9" i="11"/>
  <c r="BL9" i="11"/>
  <c r="BK9" i="11"/>
  <c r="BJ9" i="11"/>
  <c r="BI9" i="11"/>
  <c r="BH9" i="11"/>
  <c r="BF9" i="11"/>
  <c r="BE9" i="11"/>
  <c r="BD9" i="11"/>
  <c r="BB9" i="11"/>
  <c r="BA9" i="11"/>
  <c r="AZ9" i="11"/>
  <c r="AY9" i="11"/>
  <c r="AV9" i="11"/>
  <c r="AT9" i="11"/>
  <c r="AS9" i="11"/>
  <c r="AR9" i="11"/>
  <c r="AQ9" i="11"/>
  <c r="AP9" i="11"/>
  <c r="AO9" i="11"/>
  <c r="AN9" i="11"/>
  <c r="AM9" i="11"/>
  <c r="AL9" i="11"/>
  <c r="AK9" i="11"/>
  <c r="AI9" i="11"/>
  <c r="AH9" i="11"/>
  <c r="AG9" i="11"/>
  <c r="AF9" i="11"/>
  <c r="AD9" i="11"/>
  <c r="AC9" i="11"/>
  <c r="AB9" i="11"/>
  <c r="Z9" i="11"/>
  <c r="X9" i="11"/>
  <c r="W9" i="11"/>
  <c r="V9" i="11"/>
  <c r="U9" i="11"/>
  <c r="DY8" i="11"/>
  <c r="DX8" i="11"/>
  <c r="DW8" i="11"/>
  <c r="DV8" i="11"/>
  <c r="DU8" i="11"/>
  <c r="DT8" i="11"/>
  <c r="DS8" i="11"/>
  <c r="DR8" i="11"/>
  <c r="DQ8" i="11"/>
  <c r="DP8" i="11"/>
  <c r="DO8" i="11"/>
  <c r="DN8" i="11"/>
  <c r="DN3" i="11" s="1"/>
  <c r="DN49" i="11" s="1"/>
  <c r="DM8" i="11"/>
  <c r="DL8" i="11"/>
  <c r="DL3" i="11" s="1"/>
  <c r="DL49" i="11" s="1"/>
  <c r="DK8" i="11"/>
  <c r="DK3" i="11" s="1"/>
  <c r="DK49" i="11" s="1"/>
  <c r="DJ8" i="11"/>
  <c r="DI8" i="11"/>
  <c r="DH8" i="11"/>
  <c r="DG8" i="11"/>
  <c r="DF8" i="11"/>
  <c r="DE8" i="11"/>
  <c r="DD8" i="11"/>
  <c r="DC8" i="11"/>
  <c r="DB8" i="11"/>
  <c r="DA8" i="11"/>
  <c r="CZ8" i="11"/>
  <c r="CY8" i="11"/>
  <c r="CX8" i="11"/>
  <c r="CW8" i="11"/>
  <c r="CV8" i="11"/>
  <c r="CU8" i="11"/>
  <c r="CT8" i="11"/>
  <c r="CS8" i="11"/>
  <c r="CR8" i="11"/>
  <c r="CQ8" i="11"/>
  <c r="CP8" i="11"/>
  <c r="CP3" i="11" s="1"/>
  <c r="CP49" i="11" s="1"/>
  <c r="CO8" i="11"/>
  <c r="CO3" i="11" s="1"/>
  <c r="CO49" i="11" s="1"/>
  <c r="CN8" i="11"/>
  <c r="CM8" i="11"/>
  <c r="CL8" i="11"/>
  <c r="CK8" i="11"/>
  <c r="CJ8" i="11"/>
  <c r="CI8" i="11"/>
  <c r="CH8" i="11"/>
  <c r="CG8" i="11"/>
  <c r="CF8" i="11"/>
  <c r="CE8" i="11"/>
  <c r="CD8" i="11"/>
  <c r="CC8" i="11"/>
  <c r="CB8" i="11"/>
  <c r="CA8" i="11"/>
  <c r="BZ8" i="11"/>
  <c r="BY8" i="11"/>
  <c r="BX8" i="11"/>
  <c r="BW8" i="11"/>
  <c r="BV8" i="11"/>
  <c r="BV3" i="11" s="1"/>
  <c r="BV49" i="11" s="1"/>
  <c r="BU8" i="11"/>
  <c r="BT8" i="11"/>
  <c r="BS8" i="11"/>
  <c r="BR8" i="11"/>
  <c r="BQ8" i="11"/>
  <c r="BP8" i="11"/>
  <c r="BO8" i="11"/>
  <c r="BN8" i="11"/>
  <c r="BM8" i="11"/>
  <c r="BL8" i="11"/>
  <c r="BK8" i="11"/>
  <c r="BJ8" i="11"/>
  <c r="BI8" i="11"/>
  <c r="BH8" i="11"/>
  <c r="BG8" i="11"/>
  <c r="BF8" i="11"/>
  <c r="BE8" i="11"/>
  <c r="BD8" i="11"/>
  <c r="BC8" i="11"/>
  <c r="BB8" i="11"/>
  <c r="BA8" i="11"/>
  <c r="AZ8" i="11"/>
  <c r="AY8" i="11"/>
  <c r="AX8" i="11"/>
  <c r="AW8" i="11"/>
  <c r="AV8" i="11"/>
  <c r="AU8" i="11"/>
  <c r="AT8" i="11"/>
  <c r="AS8" i="11"/>
  <c r="AR8" i="11"/>
  <c r="AQ8" i="11"/>
  <c r="AP8" i="11"/>
  <c r="AO8" i="11"/>
  <c r="AN8" i="11"/>
  <c r="AM8" i="11"/>
  <c r="AL8" i="11"/>
  <c r="AK8" i="11"/>
  <c r="AJ8" i="11"/>
  <c r="AI8" i="11"/>
  <c r="AH8" i="11"/>
  <c r="AG8" i="11"/>
  <c r="AF8" i="11"/>
  <c r="AE8" i="11"/>
  <c r="AD8" i="11"/>
  <c r="AC8" i="11"/>
  <c r="AB8" i="11"/>
  <c r="AA8" i="11"/>
  <c r="Z8" i="11"/>
  <c r="Y8" i="11"/>
  <c r="X8" i="11"/>
  <c r="W8" i="11"/>
  <c r="V8" i="11"/>
  <c r="U8" i="11"/>
  <c r="T8" i="11"/>
  <c r="S8" i="11"/>
  <c r="R8" i="11"/>
  <c r="R3" i="11" s="1"/>
  <c r="Q8" i="11"/>
  <c r="P8" i="11"/>
  <c r="O8" i="11"/>
  <c r="N8" i="11"/>
  <c r="M8" i="11"/>
  <c r="L8" i="11"/>
  <c r="K8" i="11"/>
  <c r="J8" i="11"/>
  <c r="BQ7" i="11"/>
  <c r="BP7" i="11"/>
  <c r="BN7" i="11"/>
  <c r="BM7" i="11"/>
  <c r="BK7" i="11"/>
  <c r="BJ7" i="11"/>
  <c r="AS7" i="11"/>
  <c r="AZ7" i="11" s="1"/>
  <c r="DY6" i="11"/>
  <c r="DX6" i="11"/>
  <c r="DW6" i="11"/>
  <c r="DV6" i="11"/>
  <c r="DU6" i="11"/>
  <c r="DT6" i="11"/>
  <c r="DS6" i="11"/>
  <c r="DR6" i="11"/>
  <c r="DQ6" i="11"/>
  <c r="DP6" i="11"/>
  <c r="DO6" i="11"/>
  <c r="DN6" i="11"/>
  <c r="DM6" i="11"/>
  <c r="DL6" i="11"/>
  <c r="DK6" i="11"/>
  <c r="DJ6" i="11"/>
  <c r="DI6" i="11"/>
  <c r="DH6" i="11"/>
  <c r="DG6" i="11"/>
  <c r="DF6" i="11"/>
  <c r="DE6" i="11"/>
  <c r="DD6" i="11"/>
  <c r="DC6" i="11"/>
  <c r="DB6" i="11"/>
  <c r="DA6" i="11"/>
  <c r="CZ6" i="11"/>
  <c r="CY6" i="11"/>
  <c r="CX6" i="11"/>
  <c r="CW6" i="11"/>
  <c r="CV6" i="11"/>
  <c r="CU6" i="11"/>
  <c r="CT6" i="11"/>
  <c r="CS6" i="11"/>
  <c r="CR6" i="11"/>
  <c r="CQ6" i="11"/>
  <c r="CP6" i="11"/>
  <c r="CO6" i="11"/>
  <c r="CN6" i="11"/>
  <c r="CM6" i="11"/>
  <c r="CL6" i="11"/>
  <c r="CK6" i="11"/>
  <c r="CK3" i="11" s="1"/>
  <c r="CK49" i="11" s="1"/>
  <c r="CJ6" i="11"/>
  <c r="CI6" i="11"/>
  <c r="CH6" i="11"/>
  <c r="CG6" i="11"/>
  <c r="CF6" i="11"/>
  <c r="CE6" i="11"/>
  <c r="CD6" i="11"/>
  <c r="CC6" i="11"/>
  <c r="CB6" i="11"/>
  <c r="CA6" i="11"/>
  <c r="BZ6" i="11"/>
  <c r="BY6" i="11"/>
  <c r="BX6" i="11"/>
  <c r="BW6" i="11"/>
  <c r="BV6" i="11"/>
  <c r="BU6" i="11"/>
  <c r="BT6" i="11"/>
  <c r="BS6" i="11"/>
  <c r="BR6" i="11"/>
  <c r="BL6" i="11"/>
  <c r="BK6" i="11"/>
  <c r="BJ6" i="11"/>
  <c r="BG6" i="11"/>
  <c r="BF6" i="11"/>
  <c r="BE6" i="11"/>
  <c r="BD6" i="11"/>
  <c r="BC6" i="11"/>
  <c r="BB6" i="11"/>
  <c r="BA6" i="11"/>
  <c r="AZ6" i="11"/>
  <c r="AY6" i="11"/>
  <c r="AX6" i="11"/>
  <c r="AR6" i="11"/>
  <c r="AG6" i="11"/>
  <c r="BO6" i="11" s="1"/>
  <c r="DY5" i="11"/>
  <c r="DX5" i="11"/>
  <c r="DW5" i="11"/>
  <c r="DV5" i="11"/>
  <c r="DU5" i="11"/>
  <c r="DT5" i="11"/>
  <c r="DS5" i="11"/>
  <c r="DR5" i="11"/>
  <c r="DQ5" i="11"/>
  <c r="DP5" i="11"/>
  <c r="DO5" i="11"/>
  <c r="DN5" i="11"/>
  <c r="DM5" i="11"/>
  <c r="DL5" i="11"/>
  <c r="DK5" i="11"/>
  <c r="DJ5" i="11"/>
  <c r="DI5" i="11"/>
  <c r="DH5" i="11"/>
  <c r="DG5" i="11"/>
  <c r="DF5" i="11"/>
  <c r="DE5" i="11"/>
  <c r="DD5" i="11"/>
  <c r="DC5" i="11"/>
  <c r="DB5" i="11"/>
  <c r="DA5" i="11"/>
  <c r="CZ5" i="11"/>
  <c r="CY5" i="11"/>
  <c r="CX5" i="11"/>
  <c r="CW5" i="11"/>
  <c r="CV5" i="11"/>
  <c r="CU5" i="11"/>
  <c r="CT5" i="11"/>
  <c r="CS5" i="11"/>
  <c r="CR5" i="11"/>
  <c r="CQ5" i="11"/>
  <c r="CP5" i="11"/>
  <c r="CO5" i="11"/>
  <c r="CN5" i="11"/>
  <c r="CM5" i="11"/>
  <c r="CL5" i="11"/>
  <c r="CK5" i="11"/>
  <c r="CJ5" i="11"/>
  <c r="CI5" i="11"/>
  <c r="CH5" i="11"/>
  <c r="CG5" i="11"/>
  <c r="CF5" i="11"/>
  <c r="CE5" i="11"/>
  <c r="CD5" i="11"/>
  <c r="CC5" i="11"/>
  <c r="CB5" i="11"/>
  <c r="CA5" i="11"/>
  <c r="BZ5" i="11"/>
  <c r="BY5" i="11"/>
  <c r="BX5" i="11"/>
  <c r="BW5" i="11"/>
  <c r="BV5" i="11"/>
  <c r="BU5" i="11"/>
  <c r="BT5" i="11"/>
  <c r="BS5" i="11"/>
  <c r="BR5" i="11"/>
  <c r="BE5" i="11"/>
  <c r="BD5" i="11"/>
  <c r="BC5" i="11"/>
  <c r="AW5" i="11"/>
  <c r="AT5" i="11"/>
  <c r="AS5" i="11"/>
  <c r="AR5" i="11"/>
  <c r="AP5" i="11"/>
  <c r="AO5" i="11"/>
  <c r="U5" i="11"/>
  <c r="BM5" i="11" s="1"/>
  <c r="DY4" i="11"/>
  <c r="DY3" i="11" s="1"/>
  <c r="DX4" i="11"/>
  <c r="DW4" i="11"/>
  <c r="DW3" i="11" s="1"/>
  <c r="DW49" i="11" s="1"/>
  <c r="DV4" i="11"/>
  <c r="DV3" i="11" s="1"/>
  <c r="DV49" i="11" s="1"/>
  <c r="DU4" i="11"/>
  <c r="DU3" i="11" s="1"/>
  <c r="DT4" i="11"/>
  <c r="DT3" i="11" s="1"/>
  <c r="DS4" i="11"/>
  <c r="DS3" i="11" s="1"/>
  <c r="DS49" i="11" s="1"/>
  <c r="DR4" i="11"/>
  <c r="DR3" i="11" s="1"/>
  <c r="DQ4" i="11"/>
  <c r="DP4" i="11"/>
  <c r="DO4" i="11"/>
  <c r="DN4" i="11"/>
  <c r="DM4" i="11"/>
  <c r="DL4" i="11"/>
  <c r="DK4" i="11"/>
  <c r="DJ4" i="11"/>
  <c r="DI4" i="11"/>
  <c r="DH4" i="11"/>
  <c r="DG4" i="11"/>
  <c r="DF4" i="11"/>
  <c r="DE4" i="11"/>
  <c r="DD4" i="11"/>
  <c r="DC4" i="11"/>
  <c r="DB4" i="11"/>
  <c r="DA4" i="11"/>
  <c r="CZ4" i="11"/>
  <c r="CY4" i="11"/>
  <c r="CY3" i="11" s="1"/>
  <c r="CX4" i="11"/>
  <c r="CW4" i="11"/>
  <c r="CW3" i="11" s="1"/>
  <c r="CW49" i="11" s="1"/>
  <c r="CV4" i="11"/>
  <c r="CV3" i="11" s="1"/>
  <c r="CV49" i="11" s="1"/>
  <c r="CU4" i="11"/>
  <c r="CT4" i="11"/>
  <c r="CS4" i="11"/>
  <c r="CR4" i="11"/>
  <c r="CQ4" i="11"/>
  <c r="CP4" i="11"/>
  <c r="CO4" i="11"/>
  <c r="CN4" i="11"/>
  <c r="CM4" i="11"/>
  <c r="CL4" i="11"/>
  <c r="CK4" i="11"/>
  <c r="CJ4" i="11"/>
  <c r="CJ3" i="11" s="1"/>
  <c r="CI4" i="11"/>
  <c r="CH4" i="11"/>
  <c r="CH3" i="11" s="1"/>
  <c r="CG4" i="11"/>
  <c r="CG3" i="11" s="1"/>
  <c r="CF4" i="11"/>
  <c r="CE4" i="11"/>
  <c r="CE3" i="11" s="1"/>
  <c r="CE49" i="11" s="1"/>
  <c r="CD4" i="11"/>
  <c r="CD3" i="11" s="1"/>
  <c r="CD49" i="11" s="1"/>
  <c r="CC4" i="11"/>
  <c r="CC3" i="11" s="1"/>
  <c r="CC49" i="11" s="1"/>
  <c r="CB4" i="11"/>
  <c r="CB3" i="11" s="1"/>
  <c r="CA4" i="11"/>
  <c r="CA3" i="11" s="1"/>
  <c r="BZ4" i="11"/>
  <c r="BZ3" i="11" s="1"/>
  <c r="BY4" i="11"/>
  <c r="BX4" i="11"/>
  <c r="BW4" i="11"/>
  <c r="BV4" i="11"/>
  <c r="BU4" i="11"/>
  <c r="BT4" i="11"/>
  <c r="BS4" i="11"/>
  <c r="BR4" i="11"/>
  <c r="BQ4" i="11"/>
  <c r="BP4" i="11"/>
  <c r="BO4" i="11"/>
  <c r="BN4" i="11"/>
  <c r="BM4" i="11"/>
  <c r="BL4" i="11"/>
  <c r="BK4" i="11"/>
  <c r="BJ4" i="11"/>
  <c r="BI4" i="11"/>
  <c r="BH4" i="11"/>
  <c r="BG4" i="11"/>
  <c r="BF4" i="11"/>
  <c r="BE4" i="11"/>
  <c r="BD4" i="11"/>
  <c r="BC4" i="11"/>
  <c r="BB4" i="11"/>
  <c r="BA4" i="11"/>
  <c r="AZ4" i="11"/>
  <c r="AY4" i="11"/>
  <c r="AX4" i="11"/>
  <c r="AW4" i="11"/>
  <c r="AV4" i="11"/>
  <c r="AU4" i="11"/>
  <c r="AT4" i="11"/>
  <c r="AS4" i="11"/>
  <c r="AR4" i="11"/>
  <c r="AQ4" i="11"/>
  <c r="AP4" i="11"/>
  <c r="AO4" i="11"/>
  <c r="AN4" i="11"/>
  <c r="AM4" i="11"/>
  <c r="AL4" i="11"/>
  <c r="AK4" i="11"/>
  <c r="AJ4" i="11"/>
  <c r="AI4" i="11"/>
  <c r="AH4" i="11"/>
  <c r="AG4" i="11"/>
  <c r="AF4" i="11"/>
  <c r="AE4" i="11"/>
  <c r="AD4" i="11"/>
  <c r="AC4" i="11"/>
  <c r="AB4" i="11"/>
  <c r="AA4" i="11"/>
  <c r="Z4" i="11"/>
  <c r="Y4" i="11"/>
  <c r="X4" i="11"/>
  <c r="W4" i="11"/>
  <c r="V4" i="11"/>
  <c r="U4" i="11"/>
  <c r="T4" i="11"/>
  <c r="T3" i="11" s="1"/>
  <c r="S4" i="11"/>
  <c r="S3" i="11" s="1"/>
  <c r="R4" i="11"/>
  <c r="Q4" i="11"/>
  <c r="Q3" i="11" s="1"/>
  <c r="P4" i="11"/>
  <c r="P3" i="11" s="1"/>
  <c r="O4" i="11"/>
  <c r="O3" i="11" s="1"/>
  <c r="N4" i="11"/>
  <c r="N3" i="11" s="1"/>
  <c r="M4" i="11"/>
  <c r="M3" i="11" s="1"/>
  <c r="L4" i="11"/>
  <c r="L3" i="11" s="1"/>
  <c r="K4" i="11"/>
  <c r="K3" i="11" s="1"/>
  <c r="J4" i="11"/>
  <c r="DI3" i="11"/>
  <c r="DH3" i="11"/>
  <c r="DG3" i="11"/>
  <c r="DG49" i="11" s="1"/>
  <c r="DF3" i="11"/>
  <c r="DE3" i="11"/>
  <c r="DE49" i="11" s="1"/>
  <c r="DD3" i="11"/>
  <c r="DC3" i="11"/>
  <c r="DB3" i="11"/>
  <c r="DB49" i="11" s="1"/>
  <c r="DA3" i="11"/>
  <c r="CZ3" i="11"/>
  <c r="CZ49" i="11" s="1"/>
  <c r="CX3" i="11"/>
  <c r="CU3" i="11"/>
  <c r="CU49" i="11" s="1"/>
  <c r="CM3" i="11"/>
  <c r="I3" i="11"/>
  <c r="I49" i="11" s="1"/>
  <c r="T47" i="10"/>
  <c r="T114"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I115" i="10"/>
  <c r="AJ115" i="10"/>
  <c r="AK115" i="10"/>
  <c r="AL115" i="10"/>
  <c r="AM115" i="10"/>
  <c r="AN115" i="10"/>
  <c r="AO115" i="10"/>
  <c r="AP115" i="10"/>
  <c r="AQ115" i="10"/>
  <c r="AR115" i="10"/>
  <c r="AS115" i="10"/>
  <c r="AT115" i="10"/>
  <c r="AU115" i="10"/>
  <c r="AV115" i="10"/>
  <c r="AW115" i="10"/>
  <c r="AX115" i="10"/>
  <c r="AY115" i="10"/>
  <c r="AZ115" i="10"/>
  <c r="BA115" i="10"/>
  <c r="BB115" i="10"/>
  <c r="BC115" i="10"/>
  <c r="BD115" i="10"/>
  <c r="BE115" i="10"/>
  <c r="BF115" i="10"/>
  <c r="BG115" i="10"/>
  <c r="BH115" i="10"/>
  <c r="BI115" i="10"/>
  <c r="BJ115" i="10"/>
  <c r="BK115" i="10"/>
  <c r="BL115" i="10"/>
  <c r="BM115" i="10"/>
  <c r="BN115" i="10"/>
  <c r="BO115" i="10"/>
  <c r="BP115" i="10"/>
  <c r="BQ115" i="10"/>
  <c r="BR115" i="10"/>
  <c r="BS115" i="10"/>
  <c r="BT115" i="10"/>
  <c r="BU115" i="10"/>
  <c r="BV115" i="10"/>
  <c r="BW115" i="10"/>
  <c r="BX115" i="10"/>
  <c r="BY115" i="10"/>
  <c r="BZ115" i="10"/>
  <c r="CA115" i="10"/>
  <c r="CB115" i="10"/>
  <c r="CC115" i="10"/>
  <c r="CD115" i="10"/>
  <c r="CE115" i="10"/>
  <c r="CF115" i="10"/>
  <c r="CG115" i="10"/>
  <c r="CH115" i="10"/>
  <c r="CI115" i="10"/>
  <c r="CJ115" i="10"/>
  <c r="CK115" i="10"/>
  <c r="CL115" i="10"/>
  <c r="CM115" i="10"/>
  <c r="CN115" i="10"/>
  <c r="CO115" i="10"/>
  <c r="CP115" i="10"/>
  <c r="CQ115" i="10"/>
  <c r="CR115" i="10"/>
  <c r="CS115" i="10"/>
  <c r="CT115" i="10"/>
  <c r="CU115" i="10"/>
  <c r="CV115" i="10"/>
  <c r="CW115" i="10"/>
  <c r="CX115" i="10"/>
  <c r="CY115" i="10"/>
  <c r="CZ115" i="10"/>
  <c r="DA115" i="10"/>
  <c r="DB115" i="10"/>
  <c r="DC115" i="10"/>
  <c r="DD115" i="10"/>
  <c r="DE115" i="10"/>
  <c r="DF115" i="10"/>
  <c r="DG115" i="10"/>
  <c r="DH115" i="10"/>
  <c r="DI115" i="10"/>
  <c r="DJ115" i="10"/>
  <c r="DK115" i="10"/>
  <c r="DL115" i="10"/>
  <c r="DM115" i="10"/>
  <c r="DN115" i="10"/>
  <c r="DO115" i="10"/>
  <c r="DP115" i="10"/>
  <c r="DQ115" i="10"/>
  <c r="DR115" i="10"/>
  <c r="DS115" i="10"/>
  <c r="DT115" i="10"/>
  <c r="DU115" i="10"/>
  <c r="DV115" i="10"/>
  <c r="DW115" i="10"/>
  <c r="DX115" i="10"/>
  <c r="DY115" i="10"/>
  <c r="J114" i="10"/>
  <c r="K114" i="10"/>
  <c r="L114" i="10"/>
  <c r="M114" i="10"/>
  <c r="N114" i="10"/>
  <c r="O114" i="10"/>
  <c r="P114" i="10"/>
  <c r="Q114" i="10"/>
  <c r="R114" i="10"/>
  <c r="S114" i="10"/>
  <c r="U114" i="10"/>
  <c r="V114" i="10"/>
  <c r="W114" i="10"/>
  <c r="X114" i="10"/>
  <c r="Y114" i="10"/>
  <c r="Z114" i="10"/>
  <c r="AA114" i="10"/>
  <c r="AB114" i="10"/>
  <c r="AC114" i="10"/>
  <c r="AD114" i="10"/>
  <c r="AE114" i="10"/>
  <c r="AF114" i="10"/>
  <c r="AG114" i="10"/>
  <c r="AH114" i="10"/>
  <c r="AI114" i="10"/>
  <c r="AJ114" i="10"/>
  <c r="AK114" i="10"/>
  <c r="AL114" i="10"/>
  <c r="AM114" i="10"/>
  <c r="AN114" i="10"/>
  <c r="AO114" i="10"/>
  <c r="AP114" i="10"/>
  <c r="AQ114" i="10"/>
  <c r="AR114" i="10"/>
  <c r="AS114" i="10"/>
  <c r="AT114" i="10"/>
  <c r="AU114" i="10"/>
  <c r="AV114" i="10"/>
  <c r="AW114" i="10"/>
  <c r="AX114" i="10"/>
  <c r="AY114" i="10"/>
  <c r="AZ114" i="10"/>
  <c r="BA114" i="10"/>
  <c r="BB114" i="10"/>
  <c r="BC114" i="10"/>
  <c r="BD114" i="10"/>
  <c r="BE114" i="10"/>
  <c r="BF114" i="10"/>
  <c r="BG114" i="10"/>
  <c r="BH114" i="10"/>
  <c r="BI114" i="10"/>
  <c r="BJ114" i="10"/>
  <c r="BK114" i="10"/>
  <c r="BL114" i="10"/>
  <c r="BM114" i="10"/>
  <c r="BN114" i="10"/>
  <c r="BO114" i="10"/>
  <c r="BP114" i="10"/>
  <c r="BQ114" i="10"/>
  <c r="BR114" i="10"/>
  <c r="BS114" i="10"/>
  <c r="BT114" i="10"/>
  <c r="BU114" i="10"/>
  <c r="BV114" i="10"/>
  <c r="BW114" i="10"/>
  <c r="BX114" i="10"/>
  <c r="BY114" i="10"/>
  <c r="BZ114" i="10"/>
  <c r="CA114" i="10"/>
  <c r="CB114" i="10"/>
  <c r="CC114" i="10"/>
  <c r="CD114" i="10"/>
  <c r="CE114" i="10"/>
  <c r="CF114" i="10"/>
  <c r="CG114" i="10"/>
  <c r="CH114" i="10"/>
  <c r="CI114" i="10"/>
  <c r="CJ114" i="10"/>
  <c r="CK114" i="10"/>
  <c r="CL114" i="10"/>
  <c r="CM114" i="10"/>
  <c r="CN114" i="10"/>
  <c r="CO114" i="10"/>
  <c r="CP114" i="10"/>
  <c r="CQ114" i="10"/>
  <c r="CR114" i="10"/>
  <c r="CS114" i="10"/>
  <c r="CT114" i="10"/>
  <c r="CU114" i="10"/>
  <c r="CV114" i="10"/>
  <c r="CW114" i="10"/>
  <c r="CX114" i="10"/>
  <c r="CY114" i="10"/>
  <c r="CZ114" i="10"/>
  <c r="DA114" i="10"/>
  <c r="DB114" i="10"/>
  <c r="DC114" i="10"/>
  <c r="DD114" i="10"/>
  <c r="DE114" i="10"/>
  <c r="DF114" i="10"/>
  <c r="DG114" i="10"/>
  <c r="DH114" i="10"/>
  <c r="DI114" i="10"/>
  <c r="DJ114" i="10"/>
  <c r="DK114" i="10"/>
  <c r="DL114" i="10"/>
  <c r="DM114" i="10"/>
  <c r="DN114" i="10"/>
  <c r="DO114" i="10"/>
  <c r="DP114" i="10"/>
  <c r="DQ114" i="10"/>
  <c r="DR114" i="10"/>
  <c r="DS114" i="10"/>
  <c r="DT114" i="10"/>
  <c r="DU114" i="10"/>
  <c r="DV114" i="10"/>
  <c r="DW114" i="10"/>
  <c r="DX114" i="10"/>
  <c r="DY114"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I113" i="10"/>
  <c r="AJ113" i="10"/>
  <c r="AK113" i="10"/>
  <c r="AL113" i="10"/>
  <c r="AM113" i="10"/>
  <c r="AN113" i="10"/>
  <c r="AO113" i="10"/>
  <c r="AP113" i="10"/>
  <c r="AQ113" i="10"/>
  <c r="AR113" i="10"/>
  <c r="AS113" i="10"/>
  <c r="AT113" i="10"/>
  <c r="AU113" i="10"/>
  <c r="AV113" i="10"/>
  <c r="AW113" i="10"/>
  <c r="AX113" i="10"/>
  <c r="AY113" i="10"/>
  <c r="AZ113" i="10"/>
  <c r="BA113" i="10"/>
  <c r="BB113" i="10"/>
  <c r="BC113" i="10"/>
  <c r="BD113" i="10"/>
  <c r="BE113" i="10"/>
  <c r="BF113" i="10"/>
  <c r="BG113" i="10"/>
  <c r="BH113" i="10"/>
  <c r="BI113" i="10"/>
  <c r="BJ113" i="10"/>
  <c r="BK113" i="10"/>
  <c r="BL113" i="10"/>
  <c r="BM113" i="10"/>
  <c r="BN113" i="10"/>
  <c r="BO113" i="10"/>
  <c r="BP113" i="10"/>
  <c r="BQ113" i="10"/>
  <c r="BR113" i="10"/>
  <c r="BS113" i="10"/>
  <c r="BT113" i="10"/>
  <c r="BU113" i="10"/>
  <c r="BV113" i="10"/>
  <c r="BW113" i="10"/>
  <c r="BX113" i="10"/>
  <c r="BY113" i="10"/>
  <c r="BZ113" i="10"/>
  <c r="CA113" i="10"/>
  <c r="CB113" i="10"/>
  <c r="CC113" i="10"/>
  <c r="CD113" i="10"/>
  <c r="CE113" i="10"/>
  <c r="CF113" i="10"/>
  <c r="CG113" i="10"/>
  <c r="CH113" i="10"/>
  <c r="CI113" i="10"/>
  <c r="CJ113" i="10"/>
  <c r="CK113" i="10"/>
  <c r="CL113" i="10"/>
  <c r="CM113" i="10"/>
  <c r="CN113" i="10"/>
  <c r="CO113" i="10"/>
  <c r="CP113" i="10"/>
  <c r="CQ113" i="10"/>
  <c r="CR113" i="10"/>
  <c r="CS113" i="10"/>
  <c r="CT113" i="10"/>
  <c r="CU113" i="10"/>
  <c r="CV113" i="10"/>
  <c r="CW113" i="10"/>
  <c r="CX113" i="10"/>
  <c r="CY113" i="10"/>
  <c r="CZ113" i="10"/>
  <c r="DA113" i="10"/>
  <c r="DB113" i="10"/>
  <c r="DC113" i="10"/>
  <c r="DD113" i="10"/>
  <c r="DE113" i="10"/>
  <c r="DF113" i="10"/>
  <c r="DG113" i="10"/>
  <c r="DH113" i="10"/>
  <c r="DI113" i="10"/>
  <c r="DJ113" i="10"/>
  <c r="DK113" i="10"/>
  <c r="DL113" i="10"/>
  <c r="DM113" i="10"/>
  <c r="DN113" i="10"/>
  <c r="DO113" i="10"/>
  <c r="DP113" i="10"/>
  <c r="DQ113" i="10"/>
  <c r="DR113" i="10"/>
  <c r="DS113" i="10"/>
  <c r="DT113" i="10"/>
  <c r="DU113" i="10"/>
  <c r="DV113" i="10"/>
  <c r="DW113" i="10"/>
  <c r="DX113" i="10"/>
  <c r="DY113" i="10"/>
  <c r="I115" i="10"/>
  <c r="I114" i="10"/>
  <c r="I113"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I111" i="10"/>
  <c r="AJ111" i="10"/>
  <c r="AK111" i="10"/>
  <c r="AL111" i="10"/>
  <c r="AM111" i="10"/>
  <c r="AN111" i="10"/>
  <c r="AO111" i="10"/>
  <c r="AP111" i="10"/>
  <c r="AQ111" i="10"/>
  <c r="AR111" i="10"/>
  <c r="AS111" i="10"/>
  <c r="AT111" i="10"/>
  <c r="AU111" i="10"/>
  <c r="AV111" i="10"/>
  <c r="AW111" i="10"/>
  <c r="AX111" i="10"/>
  <c r="AY111" i="10"/>
  <c r="AZ111" i="10"/>
  <c r="BA111" i="10"/>
  <c r="BB111" i="10"/>
  <c r="BC111" i="10"/>
  <c r="BD111" i="10"/>
  <c r="BE111" i="10"/>
  <c r="BF111" i="10"/>
  <c r="BG111" i="10"/>
  <c r="BH111" i="10"/>
  <c r="BI111" i="10"/>
  <c r="BJ111" i="10"/>
  <c r="BK111" i="10"/>
  <c r="BL111" i="10"/>
  <c r="BM111" i="10"/>
  <c r="BN111" i="10"/>
  <c r="BO111" i="10"/>
  <c r="BP111" i="10"/>
  <c r="BQ111" i="10"/>
  <c r="BR111" i="10"/>
  <c r="BS111" i="10"/>
  <c r="BT111" i="10"/>
  <c r="BU111" i="10"/>
  <c r="BV111" i="10"/>
  <c r="BW111" i="10"/>
  <c r="BX111" i="10"/>
  <c r="BY111" i="10"/>
  <c r="BZ111" i="10"/>
  <c r="CA111" i="10"/>
  <c r="CB111" i="10"/>
  <c r="CC111" i="10"/>
  <c r="CD111" i="10"/>
  <c r="CE111" i="10"/>
  <c r="CF111" i="10"/>
  <c r="CG111" i="10"/>
  <c r="CH111" i="10"/>
  <c r="CI111" i="10"/>
  <c r="CJ111" i="10"/>
  <c r="CK111" i="10"/>
  <c r="CL111" i="10"/>
  <c r="CM111" i="10"/>
  <c r="CN111" i="10"/>
  <c r="CO111" i="10"/>
  <c r="CP111" i="10"/>
  <c r="CQ111" i="10"/>
  <c r="CR111" i="10"/>
  <c r="CS111" i="10"/>
  <c r="CT111" i="10"/>
  <c r="CU111" i="10"/>
  <c r="CV111" i="10"/>
  <c r="CW111" i="10"/>
  <c r="CX111" i="10"/>
  <c r="CY111" i="10"/>
  <c r="CZ111" i="10"/>
  <c r="DA111" i="10"/>
  <c r="DB111" i="10"/>
  <c r="DC111" i="10"/>
  <c r="DD111" i="10"/>
  <c r="DE111" i="10"/>
  <c r="DF111" i="10"/>
  <c r="DG111" i="10"/>
  <c r="DH111" i="10"/>
  <c r="DI111" i="10"/>
  <c r="DJ111" i="10"/>
  <c r="DK111" i="10"/>
  <c r="DL111" i="10"/>
  <c r="DM111" i="10"/>
  <c r="DN111" i="10"/>
  <c r="DO111" i="10"/>
  <c r="DP111" i="10"/>
  <c r="DQ111" i="10"/>
  <c r="DR111" i="10"/>
  <c r="DS111" i="10"/>
  <c r="DT111" i="10"/>
  <c r="DU111" i="10"/>
  <c r="DV111" i="10"/>
  <c r="DW111" i="10"/>
  <c r="DX111" i="10"/>
  <c r="DY111"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I110" i="10"/>
  <c r="AJ110" i="10"/>
  <c r="AK110" i="10"/>
  <c r="AL110" i="10"/>
  <c r="AM110" i="10"/>
  <c r="AN110" i="10"/>
  <c r="AO110" i="10"/>
  <c r="AP110" i="10"/>
  <c r="AQ110" i="10"/>
  <c r="AR110" i="10"/>
  <c r="AS110" i="10"/>
  <c r="AT110" i="10"/>
  <c r="AU110" i="10"/>
  <c r="AV110" i="10"/>
  <c r="AW110" i="10"/>
  <c r="AX110" i="10"/>
  <c r="AY110" i="10"/>
  <c r="AZ110" i="10"/>
  <c r="BA110" i="10"/>
  <c r="BB110" i="10"/>
  <c r="BC110" i="10"/>
  <c r="BD110" i="10"/>
  <c r="BE110" i="10"/>
  <c r="BF110" i="10"/>
  <c r="BG110" i="10"/>
  <c r="BH110" i="10"/>
  <c r="BI110" i="10"/>
  <c r="BJ110" i="10"/>
  <c r="BK110" i="10"/>
  <c r="BL110" i="10"/>
  <c r="BM110" i="10"/>
  <c r="BN110" i="10"/>
  <c r="BO110" i="10"/>
  <c r="BP110" i="10"/>
  <c r="BQ110" i="10"/>
  <c r="BR110" i="10"/>
  <c r="BS110" i="10"/>
  <c r="BT110" i="10"/>
  <c r="BU110" i="10"/>
  <c r="BV110" i="10"/>
  <c r="BW110" i="10"/>
  <c r="BX110" i="10"/>
  <c r="BY110" i="10"/>
  <c r="BZ110" i="10"/>
  <c r="CA110" i="10"/>
  <c r="CB110" i="10"/>
  <c r="CC110" i="10"/>
  <c r="CD110" i="10"/>
  <c r="CE110" i="10"/>
  <c r="CF110" i="10"/>
  <c r="CG110" i="10"/>
  <c r="CH110" i="10"/>
  <c r="CI110" i="10"/>
  <c r="CJ110" i="10"/>
  <c r="CK110" i="10"/>
  <c r="CL110" i="10"/>
  <c r="CM110" i="10"/>
  <c r="CN110" i="10"/>
  <c r="CO110" i="10"/>
  <c r="CP110" i="10"/>
  <c r="CQ110" i="10"/>
  <c r="CR110" i="10"/>
  <c r="CS110" i="10"/>
  <c r="CT110" i="10"/>
  <c r="CU110" i="10"/>
  <c r="CV110" i="10"/>
  <c r="CW110" i="10"/>
  <c r="CX110" i="10"/>
  <c r="CY110" i="10"/>
  <c r="CZ110" i="10"/>
  <c r="DA110" i="10"/>
  <c r="DB110" i="10"/>
  <c r="DC110" i="10"/>
  <c r="DD110" i="10"/>
  <c r="DE110" i="10"/>
  <c r="DF110" i="10"/>
  <c r="DG110" i="10"/>
  <c r="DH110" i="10"/>
  <c r="DI110" i="10"/>
  <c r="DJ110" i="10"/>
  <c r="DK110" i="10"/>
  <c r="DL110" i="10"/>
  <c r="DM110" i="10"/>
  <c r="DN110" i="10"/>
  <c r="DO110" i="10"/>
  <c r="DP110" i="10"/>
  <c r="DQ110" i="10"/>
  <c r="DR110" i="10"/>
  <c r="DS110" i="10"/>
  <c r="DT110" i="10"/>
  <c r="DU110" i="10"/>
  <c r="DV110" i="10"/>
  <c r="DW110" i="10"/>
  <c r="DX110" i="10"/>
  <c r="DY110"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I109" i="10"/>
  <c r="AJ109" i="10"/>
  <c r="AK109" i="10"/>
  <c r="AL109" i="10"/>
  <c r="AM109" i="10"/>
  <c r="AN109" i="10"/>
  <c r="AO109" i="10"/>
  <c r="AP109" i="10"/>
  <c r="AQ109" i="10"/>
  <c r="AR109" i="10"/>
  <c r="AS109" i="10"/>
  <c r="AT109" i="10"/>
  <c r="AU109" i="10"/>
  <c r="AV109" i="10"/>
  <c r="AW109" i="10"/>
  <c r="AX109" i="10"/>
  <c r="AY109" i="10"/>
  <c r="AZ109" i="10"/>
  <c r="BA109" i="10"/>
  <c r="BB109" i="10"/>
  <c r="BC109" i="10"/>
  <c r="BD109" i="10"/>
  <c r="BE109" i="10"/>
  <c r="BF109" i="10"/>
  <c r="BG109" i="10"/>
  <c r="BH109" i="10"/>
  <c r="BI109" i="10"/>
  <c r="BJ109" i="10"/>
  <c r="BK109" i="10"/>
  <c r="BL109" i="10"/>
  <c r="BM109" i="10"/>
  <c r="BN109" i="10"/>
  <c r="BO109" i="10"/>
  <c r="BP109" i="10"/>
  <c r="BQ109" i="10"/>
  <c r="BR109" i="10"/>
  <c r="BS109" i="10"/>
  <c r="BT109" i="10"/>
  <c r="BU109" i="10"/>
  <c r="BV109" i="10"/>
  <c r="BW109" i="10"/>
  <c r="BX109" i="10"/>
  <c r="BY109" i="10"/>
  <c r="BZ109" i="10"/>
  <c r="CA109" i="10"/>
  <c r="CB109" i="10"/>
  <c r="CC109" i="10"/>
  <c r="CD109" i="10"/>
  <c r="CE109" i="10"/>
  <c r="CF109" i="10"/>
  <c r="CG109" i="10"/>
  <c r="CH109" i="10"/>
  <c r="CI109" i="10"/>
  <c r="CJ109" i="10"/>
  <c r="CK109" i="10"/>
  <c r="CL109" i="10"/>
  <c r="CM109" i="10"/>
  <c r="CN109" i="10"/>
  <c r="CO109" i="10"/>
  <c r="CP109" i="10"/>
  <c r="CQ109" i="10"/>
  <c r="CR109" i="10"/>
  <c r="CS109" i="10"/>
  <c r="CT109" i="10"/>
  <c r="CU109" i="10"/>
  <c r="CV109" i="10"/>
  <c r="CW109" i="10"/>
  <c r="CX109" i="10"/>
  <c r="CY109" i="10"/>
  <c r="CZ109" i="10"/>
  <c r="DA109" i="10"/>
  <c r="DB109" i="10"/>
  <c r="DC109" i="10"/>
  <c r="DD109" i="10"/>
  <c r="DE109" i="10"/>
  <c r="DF109" i="10"/>
  <c r="DG109" i="10"/>
  <c r="DH109" i="10"/>
  <c r="DI109" i="10"/>
  <c r="DJ109" i="10"/>
  <c r="DK109" i="10"/>
  <c r="DL109" i="10"/>
  <c r="DM109" i="10"/>
  <c r="DN109" i="10"/>
  <c r="DO109" i="10"/>
  <c r="DP109" i="10"/>
  <c r="DQ109" i="10"/>
  <c r="DR109" i="10"/>
  <c r="DS109" i="10"/>
  <c r="DT109" i="10"/>
  <c r="DU109" i="10"/>
  <c r="DV109" i="10"/>
  <c r="DW109" i="10"/>
  <c r="DX109" i="10"/>
  <c r="DY109" i="10"/>
  <c r="I111" i="10"/>
  <c r="I110" i="10"/>
  <c r="I109"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I48" i="10"/>
  <c r="AJ48" i="10"/>
  <c r="AK48" i="10"/>
  <c r="AL48" i="10"/>
  <c r="AM48" i="10"/>
  <c r="AN48" i="10"/>
  <c r="AO48" i="10"/>
  <c r="AP48" i="10"/>
  <c r="AQ48" i="10"/>
  <c r="AR48" i="10"/>
  <c r="L47" i="10"/>
  <c r="M47" i="10"/>
  <c r="N47" i="10"/>
  <c r="O47" i="10"/>
  <c r="P47" i="10"/>
  <c r="Q47" i="10"/>
  <c r="R47" i="10"/>
  <c r="S47" i="10"/>
  <c r="U47" i="10"/>
  <c r="V47" i="10"/>
  <c r="W47" i="10"/>
  <c r="X47" i="10"/>
  <c r="Y47" i="10"/>
  <c r="Z47" i="10"/>
  <c r="AA47" i="10"/>
  <c r="AB47" i="10"/>
  <c r="AC47" i="10"/>
  <c r="AD47" i="10"/>
  <c r="AE47" i="10"/>
  <c r="AF47" i="10"/>
  <c r="J46" i="10"/>
  <c r="K46" i="10"/>
  <c r="L46" i="10"/>
  <c r="M46" i="10"/>
  <c r="N46" i="10"/>
  <c r="O46" i="10"/>
  <c r="P46" i="10"/>
  <c r="Q46" i="10"/>
  <c r="R46" i="10"/>
  <c r="S46" i="10"/>
  <c r="T46" i="10"/>
  <c r="I48" i="10"/>
  <c r="I47" i="10"/>
  <c r="I46" i="10"/>
  <c r="I80" i="10"/>
  <c r="I59" i="10"/>
  <c r="I21" i="10"/>
  <c r="I12" i="10"/>
  <c r="I3" i="10"/>
  <c r="CC79" i="10"/>
  <c r="CC78" i="10"/>
  <c r="CC77" i="10"/>
  <c r="BQ67" i="10"/>
  <c r="BQ66" i="10"/>
  <c r="BQ65" i="10"/>
  <c r="BH63" i="10"/>
  <c r="BI63" i="10"/>
  <c r="BJ63" i="10"/>
  <c r="BL63" i="10"/>
  <c r="BM63" i="10"/>
  <c r="DY63" i="10"/>
  <c r="DY62" i="10"/>
  <c r="AE61" i="10"/>
  <c r="AF61" i="10"/>
  <c r="AH61" i="10"/>
  <c r="AJ61" i="10"/>
  <c r="AK61" i="10"/>
  <c r="AL61" i="10"/>
  <c r="AO61" i="10"/>
  <c r="BI61" i="10"/>
  <c r="BJ61" i="10"/>
  <c r="BN61" i="10"/>
  <c r="BP61" i="10"/>
  <c r="BR61" i="10"/>
  <c r="BS61" i="10"/>
  <c r="BZ61" i="10"/>
  <c r="CA61" i="10"/>
  <c r="CB61" i="10"/>
  <c r="CC61" i="10"/>
  <c r="CD61" i="10"/>
  <c r="DG61" i="10"/>
  <c r="DN61" i="10"/>
  <c r="DO61" i="10"/>
  <c r="DP61" i="10"/>
  <c r="DQ61" i="10"/>
  <c r="DR61" i="10"/>
  <c r="DS61" i="10"/>
  <c r="DW61" i="10"/>
  <c r="DX61" i="10"/>
  <c r="DY61" i="10"/>
  <c r="W61" i="10"/>
  <c r="K60" i="10"/>
  <c r="L60" i="10"/>
  <c r="M60" i="10"/>
  <c r="N60" i="10"/>
  <c r="O60" i="10"/>
  <c r="P60" i="10"/>
  <c r="Q60" i="10"/>
  <c r="R60" i="10"/>
  <c r="S60" i="10"/>
  <c r="T60" i="10"/>
  <c r="U60" i="10"/>
  <c r="U61" i="10" s="1"/>
  <c r="AM61" i="10" s="1"/>
  <c r="V60" i="10"/>
  <c r="W60" i="10"/>
  <c r="X60" i="10"/>
  <c r="Y60" i="10"/>
  <c r="Z60" i="10"/>
  <c r="AA60" i="10"/>
  <c r="AB60" i="10"/>
  <c r="AC60" i="10"/>
  <c r="AD60" i="10"/>
  <c r="AE60" i="10"/>
  <c r="AF60" i="10"/>
  <c r="AG60" i="10"/>
  <c r="AG62" i="10" s="1"/>
  <c r="AI62" i="10" s="1"/>
  <c r="AH60" i="10"/>
  <c r="AI60" i="10"/>
  <c r="AJ60" i="10"/>
  <c r="AK60" i="10"/>
  <c r="AL60" i="10"/>
  <c r="AM60" i="10"/>
  <c r="AN60" i="10"/>
  <c r="AO60" i="10"/>
  <c r="AP60" i="10"/>
  <c r="AQ60" i="10"/>
  <c r="AR60" i="10"/>
  <c r="AS60" i="10"/>
  <c r="AS63" i="10" s="1"/>
  <c r="BO63" i="10" s="1"/>
  <c r="AT60" i="10"/>
  <c r="AU60" i="10"/>
  <c r="AV60" i="10"/>
  <c r="AW60" i="10"/>
  <c r="AX60" i="10"/>
  <c r="AY60" i="10"/>
  <c r="AZ60" i="10"/>
  <c r="BA60" i="10"/>
  <c r="BB60" i="10"/>
  <c r="BC60" i="10"/>
  <c r="BD60" i="10"/>
  <c r="BE60" i="10"/>
  <c r="BF60" i="10"/>
  <c r="BG60" i="10"/>
  <c r="BH60" i="10"/>
  <c r="BI60" i="10"/>
  <c r="BJ60" i="10"/>
  <c r="BK60" i="10"/>
  <c r="BL60" i="10"/>
  <c r="BM60" i="10"/>
  <c r="BN60" i="10"/>
  <c r="BO60" i="10"/>
  <c r="BP60" i="10"/>
  <c r="BQ60" i="10"/>
  <c r="BR60" i="10"/>
  <c r="BS60" i="10"/>
  <c r="BT60" i="10"/>
  <c r="BU60" i="10"/>
  <c r="BV60" i="10"/>
  <c r="BW60" i="10"/>
  <c r="BX60" i="10"/>
  <c r="BY60" i="10"/>
  <c r="BZ60" i="10"/>
  <c r="CA60" i="10"/>
  <c r="CB60" i="10"/>
  <c r="CC60" i="10"/>
  <c r="CD60" i="10"/>
  <c r="CE60" i="10"/>
  <c r="CF60" i="10"/>
  <c r="CG60" i="10"/>
  <c r="CH60" i="10"/>
  <c r="CI60" i="10"/>
  <c r="CJ60" i="10"/>
  <c r="CK60" i="10"/>
  <c r="CL60" i="10"/>
  <c r="CM60" i="10"/>
  <c r="CN60" i="10"/>
  <c r="CO60" i="10"/>
  <c r="CP60" i="10"/>
  <c r="CQ60" i="10"/>
  <c r="CR60" i="10"/>
  <c r="CS60" i="10"/>
  <c r="CT60" i="10"/>
  <c r="CU60" i="10"/>
  <c r="CV60" i="10"/>
  <c r="CW60" i="10"/>
  <c r="CX60" i="10"/>
  <c r="CY60" i="10"/>
  <c r="CZ60" i="10"/>
  <c r="DA60" i="10"/>
  <c r="DB60" i="10"/>
  <c r="DC60" i="10"/>
  <c r="DD60" i="10"/>
  <c r="DE60" i="10"/>
  <c r="DF60" i="10"/>
  <c r="DG60" i="10"/>
  <c r="DH60" i="10"/>
  <c r="DI60" i="10"/>
  <c r="DJ60" i="10"/>
  <c r="DK60" i="10"/>
  <c r="DL60" i="10"/>
  <c r="DM60" i="10"/>
  <c r="DN60" i="10"/>
  <c r="DO60" i="10"/>
  <c r="DP60" i="10"/>
  <c r="DQ60" i="10"/>
  <c r="DR60" i="10"/>
  <c r="DS60" i="10"/>
  <c r="DT60" i="10"/>
  <c r="DU60" i="10"/>
  <c r="DV60" i="10"/>
  <c r="DW60" i="10"/>
  <c r="DX60" i="10"/>
  <c r="DY60" i="10"/>
  <c r="AG56" i="10"/>
  <c r="CO37" i="10"/>
  <c r="CO36" i="10"/>
  <c r="CO35" i="10"/>
  <c r="J22" i="10"/>
  <c r="K22" i="10"/>
  <c r="L22" i="10" s="1"/>
  <c r="U8" i="10"/>
  <c r="V8" i="10"/>
  <c r="W8" i="10"/>
  <c r="X8" i="10"/>
  <c r="Y8" i="10"/>
  <c r="U9" i="10"/>
  <c r="AS11" i="10"/>
  <c r="AG10" i="10"/>
  <c r="J8" i="10"/>
  <c r="K8" i="10"/>
  <c r="L8" i="10"/>
  <c r="M8" i="10"/>
  <c r="N8" i="10"/>
  <c r="O8" i="10"/>
  <c r="P8" i="10"/>
  <c r="Q8" i="10"/>
  <c r="R8" i="10"/>
  <c r="S8" i="10"/>
  <c r="T8" i="10"/>
  <c r="Z8" i="10"/>
  <c r="AA8" i="10"/>
  <c r="AB8" i="10"/>
  <c r="AC8" i="10"/>
  <c r="AD8" i="10"/>
  <c r="AE8" i="10"/>
  <c r="AF8" i="10"/>
  <c r="AG8" i="10"/>
  <c r="AH8" i="10"/>
  <c r="AI8" i="10"/>
  <c r="AJ8" i="10"/>
  <c r="AK8" i="10"/>
  <c r="AL8" i="10"/>
  <c r="AM8" i="10"/>
  <c r="AN8" i="10"/>
  <c r="AO8" i="10"/>
  <c r="AP8" i="10"/>
  <c r="AQ8" i="10"/>
  <c r="AR8" i="10"/>
  <c r="AS8" i="10"/>
  <c r="AT8" i="10"/>
  <c r="AU8" i="10"/>
  <c r="AV8" i="10"/>
  <c r="AW8" i="10"/>
  <c r="AX8" i="10"/>
  <c r="AY8" i="10"/>
  <c r="AZ8" i="10"/>
  <c r="BA8" i="10"/>
  <c r="BB8" i="10"/>
  <c r="BC8" i="10"/>
  <c r="BD8" i="10"/>
  <c r="BE8" i="10"/>
  <c r="BF8" i="10"/>
  <c r="BG8" i="10"/>
  <c r="BH8" i="10"/>
  <c r="BI8" i="10"/>
  <c r="BJ8" i="10"/>
  <c r="BK8" i="10"/>
  <c r="BL8" i="10"/>
  <c r="BM8" i="10"/>
  <c r="BN8" i="10"/>
  <c r="BO8" i="10"/>
  <c r="BP8" i="10"/>
  <c r="BQ8" i="10"/>
  <c r="BR8" i="10"/>
  <c r="BS8" i="10"/>
  <c r="BT8" i="10"/>
  <c r="BU8" i="10"/>
  <c r="BV8" i="10"/>
  <c r="BW8" i="10"/>
  <c r="BX8" i="10"/>
  <c r="BY8" i="10"/>
  <c r="BZ8" i="10"/>
  <c r="CA8" i="10"/>
  <c r="CB8" i="10"/>
  <c r="CC8" i="10"/>
  <c r="CD8" i="10"/>
  <c r="CE8" i="10"/>
  <c r="CF8" i="10"/>
  <c r="CG8" i="10"/>
  <c r="CH8" i="10"/>
  <c r="CI8" i="10"/>
  <c r="CJ8" i="10"/>
  <c r="CK8" i="10"/>
  <c r="CL8" i="10"/>
  <c r="CM8" i="10"/>
  <c r="CN8" i="10"/>
  <c r="CO8" i="10"/>
  <c r="CP8" i="10"/>
  <c r="CQ8" i="10"/>
  <c r="CR8" i="10"/>
  <c r="CS8" i="10"/>
  <c r="CT8" i="10"/>
  <c r="CU8" i="10"/>
  <c r="CV8" i="10"/>
  <c r="CW8" i="10"/>
  <c r="CX8" i="10"/>
  <c r="CY8" i="10"/>
  <c r="CZ8" i="10"/>
  <c r="DA8" i="10"/>
  <c r="DB8" i="10"/>
  <c r="DC8" i="10"/>
  <c r="DD8" i="10"/>
  <c r="DE8" i="10"/>
  <c r="DF8" i="10"/>
  <c r="DG8" i="10"/>
  <c r="DH8" i="10"/>
  <c r="DI8" i="10"/>
  <c r="DJ8" i="10"/>
  <c r="DK8" i="10"/>
  <c r="DL8" i="10"/>
  <c r="DM8" i="10"/>
  <c r="DN8" i="10"/>
  <c r="DO8" i="10"/>
  <c r="DP8" i="10"/>
  <c r="DQ8" i="10"/>
  <c r="DR8" i="10"/>
  <c r="DS8" i="10"/>
  <c r="DT8" i="10"/>
  <c r="DU8" i="10"/>
  <c r="DV8" i="10"/>
  <c r="DW8" i="10"/>
  <c r="DX8" i="10"/>
  <c r="DY8" i="10"/>
  <c r="K19" i="10"/>
  <c r="K47" i="10" s="1"/>
  <c r="J19" i="10"/>
  <c r="J47" i="10" s="1"/>
  <c r="CR48" i="11" l="1"/>
  <c r="CB111" i="11"/>
  <c r="CA49" i="11"/>
  <c r="BG59" i="11"/>
  <c r="DR111" i="11"/>
  <c r="DL39" i="11"/>
  <c r="DL46" i="11" s="1"/>
  <c r="CP39" i="11"/>
  <c r="CP46" i="11" s="1"/>
  <c r="BT39" i="11"/>
  <c r="AX39" i="11"/>
  <c r="AB39" i="11"/>
  <c r="DU39" i="11"/>
  <c r="CX39" i="11"/>
  <c r="CX46" i="11" s="1"/>
  <c r="CA39" i="11"/>
  <c r="BD39" i="11"/>
  <c r="AG39" i="11"/>
  <c r="DK39" i="11"/>
  <c r="CM39" i="11"/>
  <c r="BO39" i="11"/>
  <c r="AQ39" i="11"/>
  <c r="DF39" i="11"/>
  <c r="CH39" i="11"/>
  <c r="BJ39" i="11"/>
  <c r="AL39" i="11"/>
  <c r="DH39" i="11"/>
  <c r="DH46" i="11" s="1"/>
  <c r="CG39" i="11"/>
  <c r="CG46" i="11" s="1"/>
  <c r="BG39" i="11"/>
  <c r="AF39" i="11"/>
  <c r="DG39" i="11"/>
  <c r="CF39" i="11"/>
  <c r="CF46" i="11" s="1"/>
  <c r="BF39" i="11"/>
  <c r="AE39" i="11"/>
  <c r="DE39" i="11"/>
  <c r="CE39" i="11"/>
  <c r="BE39" i="11"/>
  <c r="AD39" i="11"/>
  <c r="DD39" i="11"/>
  <c r="DD46" i="11" s="1"/>
  <c r="CD39" i="11"/>
  <c r="BC39" i="11"/>
  <c r="AC39" i="11"/>
  <c r="DB39" i="11"/>
  <c r="CB39" i="11"/>
  <c r="BA39" i="11"/>
  <c r="Z39" i="11"/>
  <c r="DR39" i="11"/>
  <c r="CK39" i="11"/>
  <c r="CK46" i="11" s="1"/>
  <c r="AY39" i="11"/>
  <c r="DQ39" i="11"/>
  <c r="DQ46" i="11" s="1"/>
  <c r="CJ39" i="11"/>
  <c r="AW39" i="11"/>
  <c r="DP39" i="11"/>
  <c r="DP46" i="11" s="1"/>
  <c r="CI39" i="11"/>
  <c r="CI46" i="11" s="1"/>
  <c r="AV39" i="11"/>
  <c r="DO39" i="11"/>
  <c r="DO46" i="11" s="1"/>
  <c r="CC39" i="11"/>
  <c r="AU39" i="11"/>
  <c r="DN39" i="11"/>
  <c r="BZ39" i="11"/>
  <c r="AT39" i="11"/>
  <c r="DI39" i="11"/>
  <c r="AP39" i="11"/>
  <c r="DC39" i="11"/>
  <c r="DC46" i="11" s="1"/>
  <c r="BV39" i="11"/>
  <c r="AO39" i="11"/>
  <c r="DA39" i="11"/>
  <c r="BU39" i="11"/>
  <c r="BU46" i="11" s="1"/>
  <c r="AN39" i="11"/>
  <c r="CZ39" i="11"/>
  <c r="BS39" i="11"/>
  <c r="AM39" i="11"/>
  <c r="CY39" i="11"/>
  <c r="BR39" i="11"/>
  <c r="BR46" i="11" s="1"/>
  <c r="AK39" i="11"/>
  <c r="CW39" i="11"/>
  <c r="BQ39" i="11"/>
  <c r="AJ39" i="11"/>
  <c r="CV39" i="11"/>
  <c r="CV46" i="11" s="1"/>
  <c r="BP39" i="11"/>
  <c r="AI39" i="11"/>
  <c r="CU39" i="11"/>
  <c r="BN39" i="11"/>
  <c r="AH39" i="11"/>
  <c r="CT39" i="11"/>
  <c r="BM39" i="11"/>
  <c r="AA39" i="11"/>
  <c r="DY39" i="11"/>
  <c r="CS39" i="11"/>
  <c r="CS46" i="11" s="1"/>
  <c r="BL39" i="11"/>
  <c r="Y39" i="11"/>
  <c r="DX39" i="11"/>
  <c r="CR39" i="11"/>
  <c r="CR46" i="11" s="1"/>
  <c r="BK39" i="11"/>
  <c r="X39" i="11"/>
  <c r="DW39" i="11"/>
  <c r="CQ39" i="11"/>
  <c r="CQ46" i="11" s="1"/>
  <c r="BI39" i="11"/>
  <c r="W39" i="11"/>
  <c r="DV39" i="11"/>
  <c r="DV46" i="11" s="1"/>
  <c r="CO39" i="11"/>
  <c r="BH39" i="11"/>
  <c r="V39" i="11"/>
  <c r="DM39" i="11"/>
  <c r="BY39" i="11"/>
  <c r="AS39" i="11"/>
  <c r="DJ39" i="11"/>
  <c r="BX39" i="11"/>
  <c r="AR39" i="11"/>
  <c r="BW39" i="11"/>
  <c r="DT39" i="11"/>
  <c r="DS39" i="11"/>
  <c r="CN39" i="11"/>
  <c r="CJ109" i="11"/>
  <c r="CP110" i="11"/>
  <c r="BD3" i="11"/>
  <c r="BZ49" i="11"/>
  <c r="AZ39" i="11"/>
  <c r="BF3" i="11"/>
  <c r="CB49" i="11"/>
  <c r="DT49" i="11"/>
  <c r="DJ46" i="11"/>
  <c r="CL39" i="11"/>
  <c r="CL46" i="11" s="1"/>
  <c r="BK59" i="11"/>
  <c r="BP48" i="11"/>
  <c r="CW110" i="11"/>
  <c r="DS46" i="11"/>
  <c r="BQ48" i="11"/>
  <c r="DT46" i="11"/>
  <c r="DY49" i="11"/>
  <c r="DU46" i="11"/>
  <c r="CN46" i="11"/>
  <c r="CH49" i="11"/>
  <c r="AR47" i="11"/>
  <c r="AI19" i="11"/>
  <c r="AH23" i="11"/>
  <c r="AI23" i="11" s="1"/>
  <c r="AJ23" i="11" s="1"/>
  <c r="AK23" i="11" s="1"/>
  <c r="AL23" i="11" s="1"/>
  <c r="AM23" i="11" s="1"/>
  <c r="AN23" i="11" s="1"/>
  <c r="AO23" i="11" s="1"/>
  <c r="AP23" i="11" s="1"/>
  <c r="AQ23" i="11" s="1"/>
  <c r="AR23" i="11" s="1"/>
  <c r="CD80" i="11"/>
  <c r="AI80" i="11"/>
  <c r="R80" i="11"/>
  <c r="R112" i="11" s="1"/>
  <c r="AA80" i="11"/>
  <c r="AA112" i="11" s="1"/>
  <c r="CX47" i="11"/>
  <c r="BT59" i="11"/>
  <c r="BC111" i="11"/>
  <c r="DF49" i="11"/>
  <c r="AZ47" i="11"/>
  <c r="DJ80" i="11"/>
  <c r="BY80" i="11"/>
  <c r="BY112" i="11" s="1"/>
  <c r="CI47" i="11"/>
  <c r="DU71" i="11"/>
  <c r="CY71" i="11"/>
  <c r="CC71" i="11"/>
  <c r="BG71" i="11"/>
  <c r="DC71" i="11"/>
  <c r="CF71" i="11"/>
  <c r="BI71" i="11"/>
  <c r="DS71" i="11"/>
  <c r="CU71" i="11"/>
  <c r="BW71" i="11"/>
  <c r="AY71" i="11"/>
  <c r="DR71" i="11"/>
  <c r="CT71" i="11"/>
  <c r="BV71" i="11"/>
  <c r="AX71" i="11"/>
  <c r="DN71" i="11"/>
  <c r="DN111" i="11" s="1"/>
  <c r="CP71" i="11"/>
  <c r="BR71" i="11"/>
  <c r="AT71" i="11"/>
  <c r="DL71" i="11"/>
  <c r="CK71" i="11"/>
  <c r="BJ71" i="11"/>
  <c r="DG71" i="11"/>
  <c r="CE71" i="11"/>
  <c r="BC71" i="11"/>
  <c r="DT71" i="11"/>
  <c r="CN71" i="11"/>
  <c r="BK71" i="11"/>
  <c r="DQ71" i="11"/>
  <c r="CM71" i="11"/>
  <c r="BH71" i="11"/>
  <c r="BH111" i="11" s="1"/>
  <c r="DP71" i="11"/>
  <c r="CL71" i="11"/>
  <c r="BF71" i="11"/>
  <c r="DO71" i="11"/>
  <c r="CJ71" i="11"/>
  <c r="BE71" i="11"/>
  <c r="DM71" i="11"/>
  <c r="DM111" i="11" s="1"/>
  <c r="CI71" i="11"/>
  <c r="BD71" i="11"/>
  <c r="DK71" i="11"/>
  <c r="CH71" i="11"/>
  <c r="BB71" i="11"/>
  <c r="DJ71" i="11"/>
  <c r="CG71" i="11"/>
  <c r="BA71" i="11"/>
  <c r="CO71" i="11"/>
  <c r="CD71" i="11"/>
  <c r="CB71" i="11"/>
  <c r="CA71" i="11"/>
  <c r="DY71" i="11"/>
  <c r="BZ71" i="11"/>
  <c r="DI71" i="11"/>
  <c r="BT71" i="11"/>
  <c r="DH71" i="11"/>
  <c r="BS71" i="11"/>
  <c r="DF71" i="11"/>
  <c r="BQ71" i="11"/>
  <c r="DE71" i="11"/>
  <c r="DE111" i="11" s="1"/>
  <c r="BP71" i="11"/>
  <c r="DD71" i="11"/>
  <c r="DD111" i="11" s="1"/>
  <c r="BO71" i="11"/>
  <c r="DB71" i="11"/>
  <c r="BN71" i="11"/>
  <c r="DA71" i="11"/>
  <c r="BM71" i="11"/>
  <c r="CZ71" i="11"/>
  <c r="BL71" i="11"/>
  <c r="CX71" i="11"/>
  <c r="AZ71" i="11"/>
  <c r="AZ111" i="11" s="1"/>
  <c r="CW71" i="11"/>
  <c r="AW71" i="11"/>
  <c r="CV71" i="11"/>
  <c r="AV71" i="11"/>
  <c r="CS71" i="11"/>
  <c r="AU71" i="11"/>
  <c r="DX71" i="11"/>
  <c r="BY71" i="11"/>
  <c r="BY111" i="11" s="1"/>
  <c r="DW71" i="11"/>
  <c r="BX71" i="11"/>
  <c r="DV71" i="11"/>
  <c r="DV111" i="11" s="1"/>
  <c r="BU71" i="11"/>
  <c r="CB80" i="11"/>
  <c r="CB112" i="11" s="1"/>
  <c r="CJ49" i="11"/>
  <c r="BW3" i="11"/>
  <c r="BW49" i="11" s="1"/>
  <c r="CQ71" i="11"/>
  <c r="BX3" i="11"/>
  <c r="CT3" i="11"/>
  <c r="AX109" i="11"/>
  <c r="DM109" i="11"/>
  <c r="CR71" i="11"/>
  <c r="CH46" i="11"/>
  <c r="BO47" i="11"/>
  <c r="BY47" i="11"/>
  <c r="CU47" i="11"/>
  <c r="DQ47" i="11"/>
  <c r="DD49" i="11"/>
  <c r="CW47" i="11"/>
  <c r="Z12" i="11"/>
  <c r="CN12" i="11"/>
  <c r="Y109" i="11"/>
  <c r="AC3" i="11"/>
  <c r="DH49" i="11"/>
  <c r="M22" i="11"/>
  <c r="DI49" i="11"/>
  <c r="BD47" i="11"/>
  <c r="DC47" i="11"/>
  <c r="BI111" i="11"/>
  <c r="CY80" i="11"/>
  <c r="CY112" i="11" s="1"/>
  <c r="BY3" i="11"/>
  <c r="BY49" i="11" s="1"/>
  <c r="DQ3" i="11"/>
  <c r="BU3" i="11"/>
  <c r="BU49" i="11" s="1"/>
  <c r="CQ48" i="11"/>
  <c r="U112" i="11"/>
  <c r="AS111" i="11"/>
  <c r="AF5" i="11"/>
  <c r="BL47" i="11"/>
  <c r="AT11" i="11"/>
  <c r="AV40" i="11"/>
  <c r="DY59" i="11"/>
  <c r="CN84" i="11"/>
  <c r="BC92" i="11"/>
  <c r="AV11" i="11"/>
  <c r="BT36" i="11"/>
  <c r="AX36" i="11"/>
  <c r="BV36" i="11"/>
  <c r="AY36" i="11"/>
  <c r="CE36" i="11"/>
  <c r="BG36" i="11"/>
  <c r="AI36" i="11"/>
  <c r="BZ36" i="11"/>
  <c r="BB36" i="11"/>
  <c r="BQ36" i="11"/>
  <c r="AQ36" i="11"/>
  <c r="BP36" i="11"/>
  <c r="AP36" i="11"/>
  <c r="BO36" i="11"/>
  <c r="AO36" i="11"/>
  <c r="CN36" i="11"/>
  <c r="CN47" i="11" s="1"/>
  <c r="BN36" i="11"/>
  <c r="AN36" i="11"/>
  <c r="CL36" i="11"/>
  <c r="BL36" i="11"/>
  <c r="AL36" i="11"/>
  <c r="DV45" i="11"/>
  <c r="AP73" i="11"/>
  <c r="CG73" i="11"/>
  <c r="CG109" i="11" s="1"/>
  <c r="AK74" i="11"/>
  <c r="CA74" i="11"/>
  <c r="DF75" i="11"/>
  <c r="CJ75" i="11"/>
  <c r="CJ111" i="11" s="1"/>
  <c r="BN75" i="11"/>
  <c r="DX75" i="11"/>
  <c r="DA75" i="11"/>
  <c r="CD75" i="11"/>
  <c r="BG75" i="11"/>
  <c r="DH75" i="11"/>
  <c r="CI75" i="11"/>
  <c r="BK75" i="11"/>
  <c r="DG75" i="11"/>
  <c r="CH75" i="11"/>
  <c r="BJ75" i="11"/>
  <c r="DB75" i="11"/>
  <c r="CC75" i="11"/>
  <c r="BE75" i="11"/>
  <c r="DR75" i="11"/>
  <c r="CQ75" i="11"/>
  <c r="BP75" i="11"/>
  <c r="DM75" i="11"/>
  <c r="CL75" i="11"/>
  <c r="BH75" i="11"/>
  <c r="DV75" i="11"/>
  <c r="CS75" i="11"/>
  <c r="BO75" i="11"/>
  <c r="DU75" i="11"/>
  <c r="CR75" i="11"/>
  <c r="BM75" i="11"/>
  <c r="DT75" i="11"/>
  <c r="DT111" i="11" s="1"/>
  <c r="CP75" i="11"/>
  <c r="BL75" i="11"/>
  <c r="DS75" i="11"/>
  <c r="CO75" i="11"/>
  <c r="BI75" i="11"/>
  <c r="DQ75" i="11"/>
  <c r="CN75" i="11"/>
  <c r="BF75" i="11"/>
  <c r="DP75" i="11"/>
  <c r="CM75" i="11"/>
  <c r="BD75" i="11"/>
  <c r="DO75" i="11"/>
  <c r="CK75" i="11"/>
  <c r="BC75" i="11"/>
  <c r="CE75" i="11"/>
  <c r="AZ84" i="11"/>
  <c r="DC84" i="11"/>
  <c r="AT88" i="11"/>
  <c r="CL88" i="11"/>
  <c r="BC91" i="11"/>
  <c r="CV91" i="11"/>
  <c r="BD92" i="11"/>
  <c r="DH92" i="11"/>
  <c r="DD104" i="11"/>
  <c r="CH104" i="11"/>
  <c r="BL104" i="11"/>
  <c r="DU104" i="11"/>
  <c r="CY104" i="11"/>
  <c r="CC104" i="11"/>
  <c r="BG104" i="11"/>
  <c r="DV104" i="11"/>
  <c r="CW104" i="11"/>
  <c r="BY104" i="11"/>
  <c r="BA104" i="11"/>
  <c r="DK104" i="11"/>
  <c r="CL104" i="11"/>
  <c r="BM104" i="11"/>
  <c r="DF104" i="11"/>
  <c r="CF104" i="11"/>
  <c r="BF104" i="11"/>
  <c r="DN104" i="11"/>
  <c r="CM104" i="11"/>
  <c r="BJ104" i="11"/>
  <c r="DM104" i="11"/>
  <c r="CK104" i="11"/>
  <c r="CK111" i="11" s="1"/>
  <c r="BI104" i="11"/>
  <c r="DH104" i="11"/>
  <c r="CE104" i="11"/>
  <c r="BC104" i="11"/>
  <c r="DQ104" i="11"/>
  <c r="CJ104" i="11"/>
  <c r="BB104" i="11"/>
  <c r="DI104" i="11"/>
  <c r="CA104" i="11"/>
  <c r="AV104" i="11"/>
  <c r="DE104" i="11"/>
  <c r="BV104" i="11"/>
  <c r="DC104" i="11"/>
  <c r="BU104" i="11"/>
  <c r="DB104" i="11"/>
  <c r="BT104" i="11"/>
  <c r="DA104" i="11"/>
  <c r="DA80" i="11" s="1"/>
  <c r="BS104" i="11"/>
  <c r="CZ104" i="11"/>
  <c r="BR104" i="11"/>
  <c r="CX104" i="11"/>
  <c r="BQ104" i="11"/>
  <c r="CV104" i="11"/>
  <c r="BP104" i="11"/>
  <c r="CP104" i="11"/>
  <c r="AH5" i="11"/>
  <c r="BL5" i="11"/>
  <c r="DE46" i="11"/>
  <c r="AH6" i="11"/>
  <c r="BN6" i="11"/>
  <c r="AX7" i="11"/>
  <c r="AI10" i="11"/>
  <c r="BO10" i="11"/>
  <c r="CU10" i="11"/>
  <c r="BA11" i="11"/>
  <c r="CH11" i="11"/>
  <c r="CH48" i="11" s="1"/>
  <c r="DO11" i="11"/>
  <c r="AH36" i="11"/>
  <c r="BS36" i="11"/>
  <c r="AX40" i="11"/>
  <c r="AX47" i="11" s="1"/>
  <c r="CD40" i="11"/>
  <c r="DN40" i="11"/>
  <c r="DN47" i="11" s="1"/>
  <c r="BC44" i="11"/>
  <c r="CP44" i="11"/>
  <c r="AU45" i="11"/>
  <c r="CG45" i="11"/>
  <c r="DW45" i="11"/>
  <c r="AA50" i="11"/>
  <c r="AW50" i="11"/>
  <c r="DK50" i="11"/>
  <c r="AQ59" i="11"/>
  <c r="AQ73" i="11"/>
  <c r="CO73" i="11"/>
  <c r="AL74" i="11"/>
  <c r="CB74" i="11"/>
  <c r="CB110" i="11" s="1"/>
  <c r="AT75" i="11"/>
  <c r="CF75" i="11"/>
  <c r="Y80" i="11"/>
  <c r="Y112" i="11" s="1"/>
  <c r="BD84" i="11"/>
  <c r="DD84" i="11"/>
  <c r="AV88" i="11"/>
  <c r="CM88" i="11"/>
  <c r="BD91" i="11"/>
  <c r="CW91" i="11"/>
  <c r="BS92" i="11"/>
  <c r="DK92" i="11"/>
  <c r="AT104" i="11"/>
  <c r="CQ104" i="11"/>
  <c r="CI3" i="11"/>
  <c r="CI49" i="11" s="1"/>
  <c r="BS3" i="11"/>
  <c r="BS49" i="11" s="1"/>
  <c r="AI5" i="11"/>
  <c r="CJ46" i="11"/>
  <c r="DF46" i="11"/>
  <c r="AI6" i="11"/>
  <c r="BY46" i="11"/>
  <c r="AJ10" i="11"/>
  <c r="BP10" i="11"/>
  <c r="BB11" i="11"/>
  <c r="CJ11" i="11"/>
  <c r="CJ48" i="11" s="1"/>
  <c r="AJ36" i="11"/>
  <c r="BU36" i="11"/>
  <c r="AZ40" i="11"/>
  <c r="CE40" i="11"/>
  <c r="BD44" i="11"/>
  <c r="AV45" i="11"/>
  <c r="CH45" i="11"/>
  <c r="AB50" i="11"/>
  <c r="BT50" i="11"/>
  <c r="DL50" i="11"/>
  <c r="V59" i="11"/>
  <c r="AR59" i="11"/>
  <c r="BT109" i="11"/>
  <c r="CR59" i="11"/>
  <c r="DP109" i="11"/>
  <c r="AZ110" i="11"/>
  <c r="DC63" i="11"/>
  <c r="CG63" i="11"/>
  <c r="BK63" i="11"/>
  <c r="DL63" i="11"/>
  <c r="CO63" i="11"/>
  <c r="BR63" i="11"/>
  <c r="AU63" i="11"/>
  <c r="DQ63" i="11"/>
  <c r="CS63" i="11"/>
  <c r="BU63" i="11"/>
  <c r="AW63" i="11"/>
  <c r="DP63" i="11"/>
  <c r="CR63" i="11"/>
  <c r="BT63" i="11"/>
  <c r="AV63" i="11"/>
  <c r="DK63" i="11"/>
  <c r="CM63" i="11"/>
  <c r="BO63" i="11"/>
  <c r="DS63" i="11"/>
  <c r="CP63" i="11"/>
  <c r="BM63" i="11"/>
  <c r="DJ63" i="11"/>
  <c r="DJ111" i="11" s="1"/>
  <c r="CI63" i="11"/>
  <c r="BG63" i="11"/>
  <c r="DA63" i="11"/>
  <c r="BX63" i="11"/>
  <c r="CZ63" i="11"/>
  <c r="BW63" i="11"/>
  <c r="CY63" i="11"/>
  <c r="BV63" i="11"/>
  <c r="CX63" i="11"/>
  <c r="BS63" i="11"/>
  <c r="CW63" i="11"/>
  <c r="BQ63" i="11"/>
  <c r="CV63" i="11"/>
  <c r="BP63" i="11"/>
  <c r="DX63" i="11"/>
  <c r="CU63" i="11"/>
  <c r="BN63" i="11"/>
  <c r="CF63" i="11"/>
  <c r="DW63" i="11"/>
  <c r="DW111" i="11" s="1"/>
  <c r="AR73" i="11"/>
  <c r="AN74" i="11"/>
  <c r="AU75" i="11"/>
  <c r="CG75" i="11"/>
  <c r="BE84" i="11"/>
  <c r="S80" i="11"/>
  <c r="S112" i="11" s="1"/>
  <c r="AW88" i="11"/>
  <c r="BE91" i="11"/>
  <c r="BT92" i="11"/>
  <c r="AU104" i="11"/>
  <c r="CR104" i="11"/>
  <c r="DD109" i="11"/>
  <c r="BN48" i="11"/>
  <c r="CT48" i="11"/>
  <c r="AD109" i="11"/>
  <c r="BT110" i="11"/>
  <c r="DC110" i="11"/>
  <c r="BE111" i="11"/>
  <c r="DS47" i="11"/>
  <c r="CV48" i="11"/>
  <c r="DJ44" i="11"/>
  <c r="CN44" i="11"/>
  <c r="BR44" i="11"/>
  <c r="AV44" i="11"/>
  <c r="DN44" i="11"/>
  <c r="CQ44" i="11"/>
  <c r="BT44" i="11"/>
  <c r="AW44" i="11"/>
  <c r="DH44" i="11"/>
  <c r="CK44" i="11"/>
  <c r="CK47" i="11" s="1"/>
  <c r="BN44" i="11"/>
  <c r="AQ44" i="11"/>
  <c r="DO44" i="11"/>
  <c r="CO44" i="11"/>
  <c r="BO44" i="11"/>
  <c r="AO44" i="11"/>
  <c r="DG44" i="11"/>
  <c r="CH44" i="11"/>
  <c r="CH47" i="11" s="1"/>
  <c r="BI44" i="11"/>
  <c r="AJ44" i="11"/>
  <c r="DV44" i="11"/>
  <c r="CU44" i="11"/>
  <c r="BS44" i="11"/>
  <c r="AP44" i="11"/>
  <c r="DU44" i="11"/>
  <c r="CT44" i="11"/>
  <c r="BQ44" i="11"/>
  <c r="AN44" i="11"/>
  <c r="DT44" i="11"/>
  <c r="CS44" i="11"/>
  <c r="BP44" i="11"/>
  <c r="AM44" i="11"/>
  <c r="DS44" i="11"/>
  <c r="CR44" i="11"/>
  <c r="BM44" i="11"/>
  <c r="AL44" i="11"/>
  <c r="DQ44" i="11"/>
  <c r="CM44" i="11"/>
  <c r="BK44" i="11"/>
  <c r="BK47" i="11" s="1"/>
  <c r="AI44" i="11"/>
  <c r="DP44" i="11"/>
  <c r="CL44" i="11"/>
  <c r="CL47" i="11" s="1"/>
  <c r="BJ44" i="11"/>
  <c r="BJ47" i="11" s="1"/>
  <c r="AH44" i="11"/>
  <c r="BY44" i="11"/>
  <c r="DF44" i="11"/>
  <c r="DB109" i="11"/>
  <c r="DG110" i="11"/>
  <c r="N112" i="11"/>
  <c r="DT47" i="11"/>
  <c r="DA48" i="11"/>
  <c r="AK44" i="11"/>
  <c r="BZ44" i="11"/>
  <c r="DI44" i="11"/>
  <c r="DH110" i="11"/>
  <c r="DE92" i="11"/>
  <c r="CI92" i="11"/>
  <c r="BM92" i="11"/>
  <c r="DX92" i="11"/>
  <c r="DA92" i="11"/>
  <c r="CD92" i="11"/>
  <c r="BG92" i="11"/>
  <c r="DB92" i="11"/>
  <c r="CC92" i="11"/>
  <c r="BE92" i="11"/>
  <c r="DT92" i="11"/>
  <c r="CV92" i="11"/>
  <c r="BX92" i="11"/>
  <c r="AZ92" i="11"/>
  <c r="DN92" i="11"/>
  <c r="CN92" i="11"/>
  <c r="BN92" i="11"/>
  <c r="DM92" i="11"/>
  <c r="CM92" i="11"/>
  <c r="BL92" i="11"/>
  <c r="DI92" i="11"/>
  <c r="CH92" i="11"/>
  <c r="BH92" i="11"/>
  <c r="DQ92" i="11"/>
  <c r="CL92" i="11"/>
  <c r="BF92" i="11"/>
  <c r="DJ92" i="11"/>
  <c r="CE92" i="11"/>
  <c r="AY92" i="11"/>
  <c r="CX92" i="11"/>
  <c r="BR92" i="11"/>
  <c r="CW92" i="11"/>
  <c r="BQ92" i="11"/>
  <c r="CU92" i="11"/>
  <c r="BP92" i="11"/>
  <c r="CT92" i="11"/>
  <c r="BO92" i="11"/>
  <c r="CS92" i="11"/>
  <c r="BK92" i="11"/>
  <c r="DY92" i="11"/>
  <c r="CR92" i="11"/>
  <c r="BJ92" i="11"/>
  <c r="DW92" i="11"/>
  <c r="DW80" i="11" s="1"/>
  <c r="CQ92" i="11"/>
  <c r="BI92" i="11"/>
  <c r="CK92" i="11"/>
  <c r="BR48" i="11"/>
  <c r="DB48" i="11"/>
  <c r="DY40" i="11"/>
  <c r="DY47" i="11" s="1"/>
  <c r="DC40" i="11"/>
  <c r="CG40" i="11"/>
  <c r="BK40" i="11"/>
  <c r="AO40" i="11"/>
  <c r="DP40" i="11"/>
  <c r="CS40" i="11"/>
  <c r="BV40" i="11"/>
  <c r="AY40" i="11"/>
  <c r="DK40" i="11"/>
  <c r="DK47" i="11" s="1"/>
  <c r="DL40" i="11"/>
  <c r="DL47" i="11" s="1"/>
  <c r="CM40" i="11"/>
  <c r="BO40" i="11"/>
  <c r="AQ40" i="11"/>
  <c r="DF40" i="11"/>
  <c r="CH40" i="11"/>
  <c r="BI40" i="11"/>
  <c r="AK40" i="11"/>
  <c r="DS40" i="11"/>
  <c r="CQ40" i="11"/>
  <c r="BQ40" i="11"/>
  <c r="AP40" i="11"/>
  <c r="DR40" i="11"/>
  <c r="CP40" i="11"/>
  <c r="BP40" i="11"/>
  <c r="AN40" i="11"/>
  <c r="DQ40" i="11"/>
  <c r="CO40" i="11"/>
  <c r="BN40" i="11"/>
  <c r="AM40" i="11"/>
  <c r="DO40" i="11"/>
  <c r="DO47" i="11" s="1"/>
  <c r="CN40" i="11"/>
  <c r="BM40" i="11"/>
  <c r="AL40" i="11"/>
  <c r="DM40" i="11"/>
  <c r="DM47" i="11" s="1"/>
  <c r="CK40" i="11"/>
  <c r="BJ40" i="11"/>
  <c r="AI40" i="11"/>
  <c r="BT40" i="11"/>
  <c r="CZ40" i="11"/>
  <c r="AR44" i="11"/>
  <c r="CA44" i="11"/>
  <c r="DK44" i="11"/>
  <c r="DI110" i="11"/>
  <c r="DG111" i="11"/>
  <c r="DL73" i="11"/>
  <c r="CP73" i="11"/>
  <c r="BT73" i="11"/>
  <c r="AX73" i="11"/>
  <c r="AB73" i="11"/>
  <c r="DV73" i="11"/>
  <c r="CY73" i="11"/>
  <c r="CB73" i="11"/>
  <c r="CB109" i="11" s="1"/>
  <c r="BE73" i="11"/>
  <c r="BE109" i="11" s="1"/>
  <c r="AH73" i="11"/>
  <c r="DT73" i="11"/>
  <c r="CV73" i="11"/>
  <c r="BX73" i="11"/>
  <c r="AZ73" i="11"/>
  <c r="AA73" i="11"/>
  <c r="DS73" i="11"/>
  <c r="CU73" i="11"/>
  <c r="BW73" i="11"/>
  <c r="AY73" i="11"/>
  <c r="AY109" i="11" s="1"/>
  <c r="Z73" i="11"/>
  <c r="DO73" i="11"/>
  <c r="DO109" i="11" s="1"/>
  <c r="CQ73" i="11"/>
  <c r="CQ109" i="11" s="1"/>
  <c r="BR73" i="11"/>
  <c r="AT73" i="11"/>
  <c r="AT109" i="11" s="1"/>
  <c r="V73" i="11"/>
  <c r="DE73" i="11"/>
  <c r="CD73" i="11"/>
  <c r="BB73" i="11"/>
  <c r="X73" i="11"/>
  <c r="CZ73" i="11"/>
  <c r="BV73" i="11"/>
  <c r="AS73" i="11"/>
  <c r="DU73" i="11"/>
  <c r="DU109" i="11" s="1"/>
  <c r="CN73" i="11"/>
  <c r="BK73" i="11"/>
  <c r="AG73" i="11"/>
  <c r="DR73" i="11"/>
  <c r="CM73" i="11"/>
  <c r="BJ73" i="11"/>
  <c r="BJ109" i="11" s="1"/>
  <c r="AF73" i="11"/>
  <c r="DQ73" i="11"/>
  <c r="DQ109" i="11" s="1"/>
  <c r="CL73" i="11"/>
  <c r="BI73" i="11"/>
  <c r="BI109" i="11" s="1"/>
  <c r="AE73" i="11"/>
  <c r="AE109" i="11" s="1"/>
  <c r="DP73" i="11"/>
  <c r="CK73" i="11"/>
  <c r="BH73" i="11"/>
  <c r="AD73" i="11"/>
  <c r="DN73" i="11"/>
  <c r="DN109" i="11" s="1"/>
  <c r="CJ73" i="11"/>
  <c r="BG73" i="11"/>
  <c r="AC73" i="11"/>
  <c r="DM73" i="11"/>
  <c r="CI73" i="11"/>
  <c r="BF73" i="11"/>
  <c r="Y73" i="11"/>
  <c r="DK73" i="11"/>
  <c r="CH73" i="11"/>
  <c r="BD73" i="11"/>
  <c r="W73" i="11"/>
  <c r="BS73" i="11"/>
  <c r="BS109" i="11" s="1"/>
  <c r="DI73" i="11"/>
  <c r="AT92" i="11"/>
  <c r="CO92" i="11"/>
  <c r="BS48" i="11"/>
  <c r="AH40" i="11"/>
  <c r="BU40" i="11"/>
  <c r="DA40" i="11"/>
  <c r="AS44" i="11"/>
  <c r="CB44" i="11"/>
  <c r="DL44" i="11"/>
  <c r="AI73" i="11"/>
  <c r="BU73" i="11"/>
  <c r="DJ73" i="11"/>
  <c r="DY80" i="11"/>
  <c r="AU92" i="11"/>
  <c r="CP92" i="11"/>
  <c r="AO3" i="11"/>
  <c r="CB46" i="11"/>
  <c r="BT48" i="11"/>
  <c r="CQ21" i="11"/>
  <c r="DM21" i="11"/>
  <c r="K26" i="11"/>
  <c r="AJ40" i="11"/>
  <c r="BW40" i="11"/>
  <c r="DB40" i="11"/>
  <c r="AT44" i="11"/>
  <c r="CC44" i="11"/>
  <c r="DM44" i="11"/>
  <c r="DI111" i="11"/>
  <c r="AJ73" i="11"/>
  <c r="BY73" i="11"/>
  <c r="DW73" i="11"/>
  <c r="DW109" i="11" s="1"/>
  <c r="AN80" i="11"/>
  <c r="AN112" i="11" s="1"/>
  <c r="AO80" i="11"/>
  <c r="AK80" i="11"/>
  <c r="BS80" i="11"/>
  <c r="BS112" i="11" s="1"/>
  <c r="DU84" i="11"/>
  <c r="CY84" i="11"/>
  <c r="CC84" i="11"/>
  <c r="BG84" i="11"/>
  <c r="DR84" i="11"/>
  <c r="CU84" i="11"/>
  <c r="BX84" i="11"/>
  <c r="BA84" i="11"/>
  <c r="DM84" i="11"/>
  <c r="CP84" i="11"/>
  <c r="DA84" i="11"/>
  <c r="CA84" i="11"/>
  <c r="BC84" i="11"/>
  <c r="DY84" i="11"/>
  <c r="CZ84" i="11"/>
  <c r="BZ84" i="11"/>
  <c r="BZ111" i="11" s="1"/>
  <c r="BB84" i="11"/>
  <c r="BB111" i="11" s="1"/>
  <c r="DT84" i="11"/>
  <c r="CT84" i="11"/>
  <c r="BU84" i="11"/>
  <c r="BU80" i="11" s="1"/>
  <c r="AW84" i="11"/>
  <c r="DV84" i="11"/>
  <c r="DV80" i="11" s="1"/>
  <c r="CQ84" i="11"/>
  <c r="CQ111" i="11" s="1"/>
  <c r="BO84" i="11"/>
  <c r="DN84" i="11"/>
  <c r="DN80" i="11" s="1"/>
  <c r="DN112" i="11" s="1"/>
  <c r="CK84" i="11"/>
  <c r="BJ84" i="11"/>
  <c r="DB84" i="11"/>
  <c r="BS84" i="11"/>
  <c r="CX84" i="11"/>
  <c r="BR84" i="11"/>
  <c r="CW84" i="11"/>
  <c r="BQ84" i="11"/>
  <c r="CV84" i="11"/>
  <c r="BP84" i="11"/>
  <c r="CS84" i="11"/>
  <c r="CS80" i="11" s="1"/>
  <c r="BN84" i="11"/>
  <c r="CR84" i="11"/>
  <c r="BM84" i="11"/>
  <c r="DX84" i="11"/>
  <c r="CO84" i="11"/>
  <c r="BL84" i="11"/>
  <c r="CH84" i="11"/>
  <c r="DX91" i="11"/>
  <c r="DB91" i="11"/>
  <c r="DB110" i="11" s="1"/>
  <c r="CF91" i="11"/>
  <c r="CF80" i="11" s="1"/>
  <c r="BJ91" i="11"/>
  <c r="AN91" i="11"/>
  <c r="DQ91" i="11"/>
  <c r="CT91" i="11"/>
  <c r="BW91" i="11"/>
  <c r="AZ91" i="11"/>
  <c r="DN91" i="11"/>
  <c r="CP91" i="11"/>
  <c r="BR91" i="11"/>
  <c r="AT91" i="11"/>
  <c r="DI91" i="11"/>
  <c r="CK91" i="11"/>
  <c r="BM91" i="11"/>
  <c r="AO91" i="11"/>
  <c r="DT91" i="11"/>
  <c r="CS91" i="11"/>
  <c r="BS91" i="11"/>
  <c r="BS110" i="11" s="1"/>
  <c r="AR91" i="11"/>
  <c r="DS91" i="11"/>
  <c r="CR91" i="11"/>
  <c r="BQ91" i="11"/>
  <c r="BQ80" i="11" s="1"/>
  <c r="AQ91" i="11"/>
  <c r="DM91" i="11"/>
  <c r="CM91" i="11"/>
  <c r="BL91" i="11"/>
  <c r="AK91" i="11"/>
  <c r="DH91" i="11"/>
  <c r="CD91" i="11"/>
  <c r="BA91" i="11"/>
  <c r="DC91" i="11"/>
  <c r="BY91" i="11"/>
  <c r="AU91" i="11"/>
  <c r="DP91" i="11"/>
  <c r="CH91" i="11"/>
  <c r="BB91" i="11"/>
  <c r="DO91" i="11"/>
  <c r="CG91" i="11"/>
  <c r="CG80" i="11" s="1"/>
  <c r="CG112" i="11" s="1"/>
  <c r="AY91" i="11"/>
  <c r="DL91" i="11"/>
  <c r="CE91" i="11"/>
  <c r="AX91" i="11"/>
  <c r="DK91" i="11"/>
  <c r="DK80" i="11" s="1"/>
  <c r="CC91" i="11"/>
  <c r="CC110" i="11" s="1"/>
  <c r="AW91" i="11"/>
  <c r="DJ91" i="11"/>
  <c r="CB91" i="11"/>
  <c r="AV91" i="11"/>
  <c r="DG91" i="11"/>
  <c r="CA91" i="11"/>
  <c r="AS91" i="11"/>
  <c r="DF91" i="11"/>
  <c r="BZ91" i="11"/>
  <c r="AP91" i="11"/>
  <c r="CJ91" i="11"/>
  <c r="AV92" i="11"/>
  <c r="CY92" i="11"/>
  <c r="AV5" i="11"/>
  <c r="Z5" i="11"/>
  <c r="BA5" i="11"/>
  <c r="AD5" i="11"/>
  <c r="U46" i="11"/>
  <c r="BO5" i="11"/>
  <c r="AQ5" i="11"/>
  <c r="BB5" i="11"/>
  <c r="AB5" i="11"/>
  <c r="AZ5" i="11"/>
  <c r="AA5" i="11"/>
  <c r="AY5" i="11"/>
  <c r="Y5" i="11"/>
  <c r="AX5" i="11"/>
  <c r="X5" i="11"/>
  <c r="AU5" i="11"/>
  <c r="V5" i="11"/>
  <c r="V46" i="11" s="1"/>
  <c r="BF5" i="11"/>
  <c r="CC46" i="11"/>
  <c r="CR21" i="11"/>
  <c r="AR40" i="11"/>
  <c r="BX40" i="11"/>
  <c r="DD40" i="11"/>
  <c r="AU44" i="11"/>
  <c r="CD44" i="11"/>
  <c r="DR44" i="11"/>
  <c r="DR47" i="11" s="1"/>
  <c r="O59" i="11"/>
  <c r="O112" i="11" s="1"/>
  <c r="AK59" i="11"/>
  <c r="CY59" i="11"/>
  <c r="DU59" i="11"/>
  <c r="AK73" i="11"/>
  <c r="BZ73" i="11"/>
  <c r="DX73" i="11"/>
  <c r="DX109" i="11" s="1"/>
  <c r="AT84" i="11"/>
  <c r="CI84" i="11"/>
  <c r="AH91" i="11"/>
  <c r="CL91" i="11"/>
  <c r="AW92" i="11"/>
  <c r="CZ92" i="11"/>
  <c r="U3" i="11"/>
  <c r="W5" i="11"/>
  <c r="BG5" i="11"/>
  <c r="CZ46" i="11"/>
  <c r="AS40" i="11"/>
  <c r="BY40" i="11"/>
  <c r="DE40" i="11"/>
  <c r="AX44" i="11"/>
  <c r="CE44" i="11"/>
  <c r="DW44" i="11"/>
  <c r="BE59" i="11"/>
  <c r="P59" i="11"/>
  <c r="P112" i="11" s="1"/>
  <c r="AT110" i="11"/>
  <c r="AL73" i="11"/>
  <c r="AL109" i="11" s="1"/>
  <c r="CA73" i="11"/>
  <c r="CA109" i="11" s="1"/>
  <c r="DY73" i="11"/>
  <c r="T112" i="11"/>
  <c r="AU84" i="11"/>
  <c r="CJ84" i="11"/>
  <c r="AI91" i="11"/>
  <c r="CN91" i="11"/>
  <c r="AX92" i="11"/>
  <c r="DC92" i="11"/>
  <c r="AR3" i="11"/>
  <c r="BN3" i="11"/>
  <c r="AC5" i="11"/>
  <c r="AC46" i="11" s="1"/>
  <c r="BH5" i="11"/>
  <c r="CE46" i="11"/>
  <c r="BL7" i="11"/>
  <c r="AW7" i="11"/>
  <c r="AW48" i="11" s="1"/>
  <c r="BO7" i="11"/>
  <c r="BO48" i="11" s="1"/>
  <c r="BD7" i="11"/>
  <c r="BC7" i="11"/>
  <c r="BC48" i="11" s="1"/>
  <c r="BB7" i="11"/>
  <c r="BB48" i="11" s="1"/>
  <c r="BA7" i="11"/>
  <c r="AS48" i="11"/>
  <c r="AY7" i="11"/>
  <c r="AY48" i="11" s="1"/>
  <c r="CB48" i="11"/>
  <c r="DP21" i="11"/>
  <c r="AT40" i="11"/>
  <c r="BZ40" i="11"/>
  <c r="DG40" i="11"/>
  <c r="AY44" i="11"/>
  <c r="CF44" i="11"/>
  <c r="DX44" i="11"/>
  <c r="AM59" i="11"/>
  <c r="BI59" i="11"/>
  <c r="DW59" i="11"/>
  <c r="AO109" i="11"/>
  <c r="DK109" i="11"/>
  <c r="AM73" i="11"/>
  <c r="CC73" i="11"/>
  <c r="DY74" i="11"/>
  <c r="DY110" i="11" s="1"/>
  <c r="DC74" i="11"/>
  <c r="CG74" i="11"/>
  <c r="BK74" i="11"/>
  <c r="AO74" i="11"/>
  <c r="DQ74" i="11"/>
  <c r="CT74" i="11"/>
  <c r="BW74" i="11"/>
  <c r="AZ74" i="11"/>
  <c r="DT74" i="11"/>
  <c r="CV74" i="11"/>
  <c r="BX74" i="11"/>
  <c r="AY74" i="11"/>
  <c r="DS74" i="11"/>
  <c r="CU74" i="11"/>
  <c r="BV74" i="11"/>
  <c r="BV110" i="11" s="1"/>
  <c r="AX74" i="11"/>
  <c r="DN74" i="11"/>
  <c r="CP74" i="11"/>
  <c r="BR74" i="11"/>
  <c r="BR110" i="11" s="1"/>
  <c r="AT74" i="11"/>
  <c r="DU74" i="11"/>
  <c r="CQ74" i="11"/>
  <c r="BO74" i="11"/>
  <c r="AM74" i="11"/>
  <c r="DL74" i="11"/>
  <c r="CK74" i="11"/>
  <c r="BI74" i="11"/>
  <c r="AH74" i="11"/>
  <c r="DO74" i="11"/>
  <c r="CJ74" i="11"/>
  <c r="BF74" i="11"/>
  <c r="DM74" i="11"/>
  <c r="CI74" i="11"/>
  <c r="BE74" i="11"/>
  <c r="DK74" i="11"/>
  <c r="DK110" i="11" s="1"/>
  <c r="CH74" i="11"/>
  <c r="BD74" i="11"/>
  <c r="BD110" i="11" s="1"/>
  <c r="DJ74" i="11"/>
  <c r="CF74" i="11"/>
  <c r="BC74" i="11"/>
  <c r="DI74" i="11"/>
  <c r="CE74" i="11"/>
  <c r="BB74" i="11"/>
  <c r="DH74" i="11"/>
  <c r="CD74" i="11"/>
  <c r="BA74" i="11"/>
  <c r="DG74" i="11"/>
  <c r="CC74" i="11"/>
  <c r="AW74" i="11"/>
  <c r="BU74" i="11"/>
  <c r="DV74" i="11"/>
  <c r="AV84" i="11"/>
  <c r="CL84" i="11"/>
  <c r="AJ91" i="11"/>
  <c r="CO91" i="11"/>
  <c r="BA92" i="11"/>
  <c r="BA80" i="11" s="1"/>
  <c r="DD92" i="11"/>
  <c r="DD80" i="11" s="1"/>
  <c r="AS3" i="11"/>
  <c r="BO3" i="11"/>
  <c r="AE5" i="11"/>
  <c r="BI5" i="11"/>
  <c r="DB46" i="11"/>
  <c r="AT7" i="11"/>
  <c r="DE11" i="11"/>
  <c r="CI11" i="11"/>
  <c r="BM11" i="11"/>
  <c r="DC11" i="11"/>
  <c r="DC48" i="11" s="1"/>
  <c r="CF11" i="11"/>
  <c r="BI11" i="11"/>
  <c r="DK11" i="11"/>
  <c r="CM11" i="11"/>
  <c r="BO11" i="11"/>
  <c r="DF11" i="11"/>
  <c r="CG11" i="11"/>
  <c r="CG48" i="11" s="1"/>
  <c r="BH11" i="11"/>
  <c r="CZ11" i="11"/>
  <c r="CZ48" i="11" s="1"/>
  <c r="BZ11" i="11"/>
  <c r="BZ48" i="11" s="1"/>
  <c r="AZ11" i="11"/>
  <c r="AZ48" i="11" s="1"/>
  <c r="DY11" i="11"/>
  <c r="CY11" i="11"/>
  <c r="CY48" i="11" s="1"/>
  <c r="BY11" i="11"/>
  <c r="BY48" i="11" s="1"/>
  <c r="AY11" i="11"/>
  <c r="DX11" i="11"/>
  <c r="DX48" i="11" s="1"/>
  <c r="CX11" i="11"/>
  <c r="CX48" i="11" s="1"/>
  <c r="BX11" i="11"/>
  <c r="AX11" i="11"/>
  <c r="DW11" i="11"/>
  <c r="CW11" i="11"/>
  <c r="BW11" i="11"/>
  <c r="AW11" i="11"/>
  <c r="DU11" i="11"/>
  <c r="CU11" i="11"/>
  <c r="BU11" i="11"/>
  <c r="BU48" i="11" s="1"/>
  <c r="AU11" i="11"/>
  <c r="CC11" i="11"/>
  <c r="DL11" i="11"/>
  <c r="DL48" i="11" s="1"/>
  <c r="DQ21" i="11"/>
  <c r="AU40" i="11"/>
  <c r="CA40" i="11"/>
  <c r="DH40" i="11"/>
  <c r="AZ44" i="11"/>
  <c r="CG44" i="11"/>
  <c r="DY44" i="11"/>
  <c r="DB59" i="11"/>
  <c r="AN59" i="11"/>
  <c r="DX59" i="11"/>
  <c r="AP59" i="11"/>
  <c r="AN73" i="11"/>
  <c r="CE73" i="11"/>
  <c r="CE109" i="11" s="1"/>
  <c r="AI74" i="11"/>
  <c r="BY74" i="11"/>
  <c r="DW74" i="11"/>
  <c r="AX84" i="11"/>
  <c r="CM84" i="11"/>
  <c r="CM80" i="11" s="1"/>
  <c r="AL91" i="11"/>
  <c r="CQ91" i="11"/>
  <c r="BB92" i="11"/>
  <c r="DF92" i="11"/>
  <c r="CF3" i="11"/>
  <c r="CF49" i="11" s="1"/>
  <c r="AT3" i="11"/>
  <c r="BJ5" i="11"/>
  <c r="AU7" i="11"/>
  <c r="DX10" i="11"/>
  <c r="DB10" i="11"/>
  <c r="DB47" i="11" s="1"/>
  <c r="CF10" i="11"/>
  <c r="BJ10" i="11"/>
  <c r="AN10" i="11"/>
  <c r="DS10" i="11"/>
  <c r="CV10" i="11"/>
  <c r="CV47" i="11" s="1"/>
  <c r="BY10" i="11"/>
  <c r="BB10" i="11"/>
  <c r="BB47" i="11" s="1"/>
  <c r="DW10" i="11"/>
  <c r="CY10" i="11"/>
  <c r="CA10" i="11"/>
  <c r="BC10" i="11"/>
  <c r="DQ10" i="11"/>
  <c r="CS10" i="11"/>
  <c r="CS47" i="11" s="1"/>
  <c r="BU10" i="11"/>
  <c r="BU47" i="11" s="1"/>
  <c r="AW10" i="11"/>
  <c r="DG10" i="11"/>
  <c r="DG47" i="11" s="1"/>
  <c r="CG10" i="11"/>
  <c r="CG47" i="11" s="1"/>
  <c r="BF10" i="11"/>
  <c r="BF47" i="11" s="1"/>
  <c r="DF10" i="11"/>
  <c r="DF47" i="11" s="1"/>
  <c r="CE10" i="11"/>
  <c r="BE10" i="11"/>
  <c r="DE10" i="11"/>
  <c r="DE47" i="11" s="1"/>
  <c r="CD10" i="11"/>
  <c r="BD10" i="11"/>
  <c r="DD10" i="11"/>
  <c r="CC10" i="11"/>
  <c r="BA10" i="11"/>
  <c r="BA47" i="11" s="1"/>
  <c r="DA10" i="11"/>
  <c r="DA47" i="11" s="1"/>
  <c r="BZ10" i="11"/>
  <c r="BZ47" i="11" s="1"/>
  <c r="AY10" i="11"/>
  <c r="AY47" i="11" s="1"/>
  <c r="BM10" i="11"/>
  <c r="CR10" i="11"/>
  <c r="CD11" i="11"/>
  <c r="CD48" i="11" s="1"/>
  <c r="DM11" i="11"/>
  <c r="DM48" i="11" s="1"/>
  <c r="DJ12" i="11"/>
  <c r="DR21" i="11"/>
  <c r="DR49" i="11" s="1"/>
  <c r="CB40" i="11"/>
  <c r="DI40" i="11"/>
  <c r="BA44" i="11"/>
  <c r="CI44" i="11"/>
  <c r="DM45" i="11"/>
  <c r="CQ45" i="11"/>
  <c r="BU45" i="11"/>
  <c r="AY45" i="11"/>
  <c r="DU45" i="11"/>
  <c r="CX45" i="11"/>
  <c r="CA45" i="11"/>
  <c r="CA48" i="11" s="1"/>
  <c r="BD45" i="11"/>
  <c r="DP45" i="11"/>
  <c r="CS45" i="11"/>
  <c r="CS48" i="11" s="1"/>
  <c r="BV45" i="11"/>
  <c r="BV48" i="11" s="1"/>
  <c r="AX45" i="11"/>
  <c r="DE45" i="11"/>
  <c r="CF45" i="11"/>
  <c r="BG45" i="11"/>
  <c r="DY45" i="11"/>
  <c r="CZ45" i="11"/>
  <c r="BZ45" i="11"/>
  <c r="BA45" i="11"/>
  <c r="DT45" i="11"/>
  <c r="CR45" i="11"/>
  <c r="BP45" i="11"/>
  <c r="DS45" i="11"/>
  <c r="CP45" i="11"/>
  <c r="BO45" i="11"/>
  <c r="DR45" i="11"/>
  <c r="CO45" i="11"/>
  <c r="BN45" i="11"/>
  <c r="DQ45" i="11"/>
  <c r="CN45" i="11"/>
  <c r="BM45" i="11"/>
  <c r="DN45" i="11"/>
  <c r="CL45" i="11"/>
  <c r="BK45" i="11"/>
  <c r="DL45" i="11"/>
  <c r="CK45" i="11"/>
  <c r="BJ45" i="11"/>
  <c r="DO45" i="11"/>
  <c r="DC59" i="11"/>
  <c r="CG59" i="11"/>
  <c r="AQ109" i="11"/>
  <c r="BP109" i="11"/>
  <c r="AO73" i="11"/>
  <c r="CF73" i="11"/>
  <c r="AJ74" i="11"/>
  <c r="BZ74" i="11"/>
  <c r="DX74" i="11"/>
  <c r="AY84" i="11"/>
  <c r="DF88" i="11"/>
  <c r="CJ88" i="11"/>
  <c r="BN88" i="11"/>
  <c r="DQ88" i="11"/>
  <c r="CT88" i="11"/>
  <c r="BW88" i="11"/>
  <c r="BW80" i="11" s="1"/>
  <c r="AZ88" i="11"/>
  <c r="DL88" i="11"/>
  <c r="CO88" i="11"/>
  <c r="BR88" i="11"/>
  <c r="BR80" i="11" s="1"/>
  <c r="BR112" i="11" s="1"/>
  <c r="AU88" i="11"/>
  <c r="AU80" i="11" s="1"/>
  <c r="DB88" i="11"/>
  <c r="CC88" i="11"/>
  <c r="BD88" i="11"/>
  <c r="DA88" i="11"/>
  <c r="CB88" i="11"/>
  <c r="BC88" i="11"/>
  <c r="DV88" i="11"/>
  <c r="CW88" i="11"/>
  <c r="BX88" i="11"/>
  <c r="AX88" i="11"/>
  <c r="DR88" i="11"/>
  <c r="CN88" i="11"/>
  <c r="BK88" i="11"/>
  <c r="DK88" i="11"/>
  <c r="CH88" i="11"/>
  <c r="BF88" i="11"/>
  <c r="DE88" i="11"/>
  <c r="BY88" i="11"/>
  <c r="DD88" i="11"/>
  <c r="BV88" i="11"/>
  <c r="DC88" i="11"/>
  <c r="BU88" i="11"/>
  <c r="CZ88" i="11"/>
  <c r="BT88" i="11"/>
  <c r="CY88" i="11"/>
  <c r="BS88" i="11"/>
  <c r="CX88" i="11"/>
  <c r="BQ88" i="11"/>
  <c r="CV88" i="11"/>
  <c r="BP88" i="11"/>
  <c r="CK88" i="11"/>
  <c r="AM91" i="11"/>
  <c r="CU91" i="11"/>
  <c r="DG92" i="11"/>
  <c r="AG5" i="11"/>
  <c r="AG46" i="11" s="1"/>
  <c r="BK5" i="11"/>
  <c r="BI6" i="11"/>
  <c r="AM6" i="11"/>
  <c r="BP6" i="11"/>
  <c r="BP47" i="11" s="1"/>
  <c r="AS6" i="11"/>
  <c r="AS47" i="11" s="1"/>
  <c r="BH6" i="11"/>
  <c r="BH47" i="11" s="1"/>
  <c r="AJ6" i="11"/>
  <c r="AW6" i="11"/>
  <c r="AV6" i="11"/>
  <c r="AV47" i="11" s="1"/>
  <c r="AU6" i="11"/>
  <c r="AT6" i="11"/>
  <c r="BQ6" i="11"/>
  <c r="AQ6" i="11"/>
  <c r="AG47" i="11"/>
  <c r="BM6" i="11"/>
  <c r="AV7" i="11"/>
  <c r="AV48" i="11" s="1"/>
  <c r="AH10" i="11"/>
  <c r="BN10" i="11"/>
  <c r="CT10" i="11"/>
  <c r="CT47" i="11" s="1"/>
  <c r="CE11" i="11"/>
  <c r="DN11" i="11"/>
  <c r="BR36" i="11"/>
  <c r="AW40" i="11"/>
  <c r="CC40" i="11"/>
  <c r="DJ40" i="11"/>
  <c r="DJ47" i="11" s="1"/>
  <c r="BB44" i="11"/>
  <c r="CJ44" i="11"/>
  <c r="AT45" i="11"/>
  <c r="CE45" i="11"/>
  <c r="AS109" i="11"/>
  <c r="AJ5" i="11"/>
  <c r="BN5" i="11"/>
  <c r="AK6" i="11"/>
  <c r="BR3" i="11"/>
  <c r="BR49" i="11" s="1"/>
  <c r="CN3" i="11"/>
  <c r="BE7" i="11"/>
  <c r="AK10" i="11"/>
  <c r="BQ10" i="11"/>
  <c r="CX10" i="11"/>
  <c r="BC11" i="11"/>
  <c r="CK11" i="11"/>
  <c r="DQ11" i="11"/>
  <c r="DQ48" i="11" s="1"/>
  <c r="AK36" i="11"/>
  <c r="BW36" i="11"/>
  <c r="BW47" i="11" s="1"/>
  <c r="BA40" i="11"/>
  <c r="CF40" i="11"/>
  <c r="DU40" i="11"/>
  <c r="DU47" i="11" s="1"/>
  <c r="BE44" i="11"/>
  <c r="CW44" i="11"/>
  <c r="AW45" i="11"/>
  <c r="CI45" i="11"/>
  <c r="AU73" i="11"/>
  <c r="CS73" i="11"/>
  <c r="AP74" i="11"/>
  <c r="AP110" i="11" s="1"/>
  <c r="CM74" i="11"/>
  <c r="AV75" i="11"/>
  <c r="CT75" i="11"/>
  <c r="CT111" i="11" s="1"/>
  <c r="BF84" i="11"/>
  <c r="BF80" i="11" s="1"/>
  <c r="DF84" i="11"/>
  <c r="AY88" i="11"/>
  <c r="CQ88" i="11"/>
  <c r="BF91" i="11"/>
  <c r="CY91" i="11"/>
  <c r="BU92" i="11"/>
  <c r="DO92" i="11"/>
  <c r="DO111" i="11" s="1"/>
  <c r="AW104" i="11"/>
  <c r="CS104" i="11"/>
  <c r="CQ3" i="11"/>
  <c r="DM3" i="11"/>
  <c r="AK5" i="11"/>
  <c r="BP5" i="11"/>
  <c r="AL6" i="11"/>
  <c r="BF7" i="11"/>
  <c r="AL10" i="11"/>
  <c r="BR10" i="11"/>
  <c r="BR47" i="11" s="1"/>
  <c r="CZ10" i="11"/>
  <c r="CZ47" i="11" s="1"/>
  <c r="BD11" i="11"/>
  <c r="CL11" i="11"/>
  <c r="CL48" i="11" s="1"/>
  <c r="DR11" i="11"/>
  <c r="DR48" i="11" s="1"/>
  <c r="AE12" i="11"/>
  <c r="BA12" i="11"/>
  <c r="DA21" i="11"/>
  <c r="DA49" i="11" s="1"/>
  <c r="AM36" i="11"/>
  <c r="BX36" i="11"/>
  <c r="BB40" i="11"/>
  <c r="CI40" i="11"/>
  <c r="DV40" i="11"/>
  <c r="BF44" i="11"/>
  <c r="CX44" i="11"/>
  <c r="AZ45" i="11"/>
  <c r="CJ45" i="11"/>
  <c r="BV59" i="11"/>
  <c r="CT59" i="11"/>
  <c r="BF67" i="11"/>
  <c r="AW67" i="11"/>
  <c r="BG67" i="11"/>
  <c r="BE67" i="11"/>
  <c r="BA67" i="11"/>
  <c r="AV67" i="11"/>
  <c r="BP67" i="11"/>
  <c r="BO67" i="11"/>
  <c r="BN67" i="11"/>
  <c r="BM67" i="11"/>
  <c r="AV73" i="11"/>
  <c r="CT73" i="11"/>
  <c r="AQ74" i="11"/>
  <c r="CN74" i="11"/>
  <c r="AW75" i="11"/>
  <c r="CU75" i="11"/>
  <c r="BH84" i="11"/>
  <c r="DG84" i="11"/>
  <c r="BA88" i="11"/>
  <c r="CR88" i="11"/>
  <c r="BG91" i="11"/>
  <c r="CZ91" i="11"/>
  <c r="BV92" i="11"/>
  <c r="DP92" i="11"/>
  <c r="AX104" i="11"/>
  <c r="CT104" i="11"/>
  <c r="CM49" i="11"/>
  <c r="DX3" i="11"/>
  <c r="DX49" i="11" s="1"/>
  <c r="CR3" i="11"/>
  <c r="CR49" i="11" s="1"/>
  <c r="AL5" i="11"/>
  <c r="BQ5" i="11"/>
  <c r="AN6" i="11"/>
  <c r="BG7" i="11"/>
  <c r="AM10" i="11"/>
  <c r="BS10" i="11"/>
  <c r="DC10" i="11"/>
  <c r="BE11" i="11"/>
  <c r="CN11" i="11"/>
  <c r="DS11" i="11"/>
  <c r="DS48" i="11" s="1"/>
  <c r="J12" i="11"/>
  <c r="AF12" i="11"/>
  <c r="BB12" i="11"/>
  <c r="BX12" i="11"/>
  <c r="CT12" i="11"/>
  <c r="DP12" i="11"/>
  <c r="AR36" i="11"/>
  <c r="BY36" i="11"/>
  <c r="BC40" i="11"/>
  <c r="CJ40" i="11"/>
  <c r="CJ47" i="11" s="1"/>
  <c r="DW40" i="11"/>
  <c r="BG44" i="11"/>
  <c r="BG47" i="11" s="1"/>
  <c r="CY44" i="11"/>
  <c r="BB45" i="11"/>
  <c r="CM45" i="11"/>
  <c r="CU59" i="11"/>
  <c r="CU109" i="11"/>
  <c r="AY111" i="11"/>
  <c r="AT67" i="11"/>
  <c r="AW73" i="11"/>
  <c r="AW109" i="11" s="1"/>
  <c r="CW73" i="11"/>
  <c r="AR74" i="11"/>
  <c r="CO74" i="11"/>
  <c r="CO110" i="11" s="1"/>
  <c r="AX75" i="11"/>
  <c r="CV75" i="11"/>
  <c r="BI84" i="11"/>
  <c r="DH84" i="11"/>
  <c r="BB88" i="11"/>
  <c r="CS88" i="11"/>
  <c r="BH91" i="11"/>
  <c r="DA91" i="11"/>
  <c r="DA110" i="11" s="1"/>
  <c r="BW92" i="11"/>
  <c r="DR92" i="11"/>
  <c r="AY104" i="11"/>
  <c r="CU104" i="11"/>
  <c r="CS3" i="11"/>
  <c r="CS49" i="11" s="1"/>
  <c r="DO3" i="11"/>
  <c r="DO49" i="11" s="1"/>
  <c r="AM5" i="11"/>
  <c r="AO6" i="11"/>
  <c r="BH7" i="11"/>
  <c r="AO10" i="11"/>
  <c r="BT10" i="11"/>
  <c r="BT47" i="11" s="1"/>
  <c r="DH10" i="11"/>
  <c r="BF11" i="11"/>
  <c r="CO11" i="11"/>
  <c r="CO48" i="11" s="1"/>
  <c r="DT11" i="11"/>
  <c r="AG12" i="11"/>
  <c r="CG21" i="11"/>
  <c r="CG49" i="11" s="1"/>
  <c r="DC21" i="11"/>
  <c r="DC49" i="11" s="1"/>
  <c r="DY21" i="11"/>
  <c r="AS36" i="11"/>
  <c r="CA36" i="11"/>
  <c r="BD40" i="11"/>
  <c r="CL40" i="11"/>
  <c r="DX40" i="11"/>
  <c r="BH44" i="11"/>
  <c r="CZ44" i="11"/>
  <c r="BC45" i="11"/>
  <c r="CT45" i="11"/>
  <c r="BY59" i="11"/>
  <c r="AV59" i="11"/>
  <c r="BR59" i="11"/>
  <c r="BX109" i="11"/>
  <c r="DT59" i="11"/>
  <c r="CL111" i="11"/>
  <c r="AU67" i="11"/>
  <c r="BA73" i="11"/>
  <c r="CX73" i="11"/>
  <c r="CX109" i="11" s="1"/>
  <c r="AS74" i="11"/>
  <c r="AS110" i="11" s="1"/>
  <c r="CR74" i="11"/>
  <c r="AY75" i="11"/>
  <c r="CW75" i="11"/>
  <c r="BK84" i="11"/>
  <c r="BK80" i="11" s="1"/>
  <c r="DI84" i="11"/>
  <c r="BE88" i="11"/>
  <c r="CU88" i="11"/>
  <c r="CU80" i="11" s="1"/>
  <c r="CU112" i="11" s="1"/>
  <c r="BI91" i="11"/>
  <c r="DD91" i="11"/>
  <c r="BY92" i="11"/>
  <c r="DS92" i="11"/>
  <c r="AZ104" i="11"/>
  <c r="DG104" i="11"/>
  <c r="J3" i="11"/>
  <c r="J49" i="11" s="1"/>
  <c r="DP3" i="11"/>
  <c r="AN5" i="11"/>
  <c r="AP6" i="11"/>
  <c r="AP3" i="11" s="1"/>
  <c r="BI7" i="11"/>
  <c r="AP10" i="11"/>
  <c r="BV10" i="11"/>
  <c r="DI10" i="11"/>
  <c r="BG11" i="11"/>
  <c r="CP11" i="11"/>
  <c r="CP48" i="11" s="1"/>
  <c r="DV11" i="11"/>
  <c r="DV48" i="11" s="1"/>
  <c r="AT36" i="11"/>
  <c r="CB36" i="11"/>
  <c r="CB47" i="11" s="1"/>
  <c r="BE40" i="11"/>
  <c r="BE47" i="11" s="1"/>
  <c r="CR40" i="11"/>
  <c r="DF41" i="11"/>
  <c r="CJ41" i="11"/>
  <c r="BN41" i="11"/>
  <c r="DW41" i="11"/>
  <c r="CZ41" i="11"/>
  <c r="CC41" i="11"/>
  <c r="BF41" i="11"/>
  <c r="DR41" i="11"/>
  <c r="CU41" i="11"/>
  <c r="BX41" i="11"/>
  <c r="BA41" i="11"/>
  <c r="DC41" i="11"/>
  <c r="CD41" i="11"/>
  <c r="BD41" i="11"/>
  <c r="DV41" i="11"/>
  <c r="CW41" i="11"/>
  <c r="BW41" i="11"/>
  <c r="AX41" i="11"/>
  <c r="DP41" i="11"/>
  <c r="DP48" i="11" s="1"/>
  <c r="CO41" i="11"/>
  <c r="BM41" i="11"/>
  <c r="BM48" i="11" s="1"/>
  <c r="DO41" i="11"/>
  <c r="CN41" i="11"/>
  <c r="BL41" i="11"/>
  <c r="DN41" i="11"/>
  <c r="CM41" i="11"/>
  <c r="BK41" i="11"/>
  <c r="DM41" i="11"/>
  <c r="CL41" i="11"/>
  <c r="BJ41" i="11"/>
  <c r="DK41" i="11"/>
  <c r="CI41" i="11"/>
  <c r="BH41" i="11"/>
  <c r="CA41" i="11"/>
  <c r="DJ41" i="11"/>
  <c r="DJ48" i="11" s="1"/>
  <c r="BL44" i="11"/>
  <c r="DA44" i="11"/>
  <c r="BE45" i="11"/>
  <c r="CU45" i="11"/>
  <c r="AW59" i="11"/>
  <c r="BS59" i="11"/>
  <c r="CW59" i="11"/>
  <c r="BA63" i="11"/>
  <c r="CN63" i="11"/>
  <c r="CN111" i="11" s="1"/>
  <c r="AX67" i="11"/>
  <c r="BC73" i="11"/>
  <c r="BC109" i="11" s="1"/>
  <c r="DA73" i="11"/>
  <c r="DA109" i="11" s="1"/>
  <c r="AU74" i="11"/>
  <c r="AU110" i="11" s="1"/>
  <c r="CS74" i="11"/>
  <c r="AZ75" i="11"/>
  <c r="CX75" i="11"/>
  <c r="BT84" i="11"/>
  <c r="DJ84" i="11"/>
  <c r="BG88" i="11"/>
  <c r="DG88" i="11"/>
  <c r="BK91" i="11"/>
  <c r="DE91" i="11"/>
  <c r="BZ92" i="11"/>
  <c r="DU92" i="11"/>
  <c r="BD104" i="11"/>
  <c r="DJ104" i="11"/>
  <c r="AB59" i="11"/>
  <c r="CP59" i="11"/>
  <c r="CX59" i="11"/>
  <c r="DV109" i="11"/>
  <c r="DP110" i="11"/>
  <c r="AZ98" i="11"/>
  <c r="AZ109" i="11" s="1"/>
  <c r="CJ98" i="11"/>
  <c r="DW98" i="11"/>
  <c r="BK99" i="11"/>
  <c r="CV99" i="11"/>
  <c r="CA12" i="11"/>
  <c r="AT35" i="11"/>
  <c r="DS43" i="11"/>
  <c r="CW43" i="11"/>
  <c r="CA43" i="11"/>
  <c r="BE43" i="11"/>
  <c r="AI43" i="11"/>
  <c r="DR43" i="11"/>
  <c r="CU43" i="11"/>
  <c r="BX43" i="11"/>
  <c r="BA43" i="11"/>
  <c r="AD43" i="11"/>
  <c r="DM43" i="11"/>
  <c r="DM46" i="11" s="1"/>
  <c r="CP43" i="11"/>
  <c r="BS43" i="11"/>
  <c r="AV43" i="11"/>
  <c r="Y43" i="11"/>
  <c r="DI43" i="11"/>
  <c r="DI46" i="11" s="1"/>
  <c r="CJ43" i="11"/>
  <c r="BK43" i="11"/>
  <c r="AL43" i="11"/>
  <c r="DD43" i="11"/>
  <c r="CE43" i="11"/>
  <c r="BF43" i="11"/>
  <c r="AF43" i="11"/>
  <c r="AW43" i="11"/>
  <c r="BY43" i="11"/>
  <c r="DA43" i="11"/>
  <c r="BF62" i="11"/>
  <c r="CN62" i="11"/>
  <c r="J80" i="11"/>
  <c r="J112" i="11" s="1"/>
  <c r="DP80" i="11"/>
  <c r="BB98" i="11"/>
  <c r="CO98" i="11"/>
  <c r="BM99" i="11"/>
  <c r="BM110" i="11" s="1"/>
  <c r="S50" i="11"/>
  <c r="DC50" i="11"/>
  <c r="AK109" i="11"/>
  <c r="I112" i="11"/>
  <c r="DY98" i="11"/>
  <c r="DC98" i="11"/>
  <c r="CG98" i="11"/>
  <c r="BK98" i="11"/>
  <c r="AO98" i="11"/>
  <c r="DT98" i="11"/>
  <c r="CX98" i="11"/>
  <c r="CB98" i="11"/>
  <c r="BF98" i="11"/>
  <c r="AJ98" i="11"/>
  <c r="DV98" i="11"/>
  <c r="CW98" i="11"/>
  <c r="BY98" i="11"/>
  <c r="BA98" i="11"/>
  <c r="AC98" i="11"/>
  <c r="DR98" i="11"/>
  <c r="CS98" i="11"/>
  <c r="CS109" i="11" s="1"/>
  <c r="BT98" i="11"/>
  <c r="AU98" i="11"/>
  <c r="V98" i="11"/>
  <c r="DM98" i="11"/>
  <c r="CN98" i="11"/>
  <c r="BO98" i="11"/>
  <c r="AP98" i="11"/>
  <c r="DN98" i="11"/>
  <c r="CL98" i="11"/>
  <c r="BJ98" i="11"/>
  <c r="AH98" i="11"/>
  <c r="DL98" i="11"/>
  <c r="CK98" i="11"/>
  <c r="BI98" i="11"/>
  <c r="AG98" i="11"/>
  <c r="AG80" i="11" s="1"/>
  <c r="AG112" i="11" s="1"/>
  <c r="DH98" i="11"/>
  <c r="CF98" i="11"/>
  <c r="BD98" i="11"/>
  <c r="AB98" i="11"/>
  <c r="AB80" i="11" s="1"/>
  <c r="AB112" i="11" s="1"/>
  <c r="CT98" i="11"/>
  <c r="CT109" i="11" s="1"/>
  <c r="BN98" i="11"/>
  <c r="BN109" i="11" s="1"/>
  <c r="AF98" i="11"/>
  <c r="AF80" i="11" s="1"/>
  <c r="AF112" i="11" s="1"/>
  <c r="DS98" i="11"/>
  <c r="CM98" i="11"/>
  <c r="BE98" i="11"/>
  <c r="Y98" i="11"/>
  <c r="BC98" i="11"/>
  <c r="CP98" i="11"/>
  <c r="DP99" i="11"/>
  <c r="CT99" i="11"/>
  <c r="BX99" i="11"/>
  <c r="BB99" i="11"/>
  <c r="DK99" i="11"/>
  <c r="CO99" i="11"/>
  <c r="BS99" i="11"/>
  <c r="AW99" i="11"/>
  <c r="DV99" i="11"/>
  <c r="CX99" i="11"/>
  <c r="CX110" i="11" s="1"/>
  <c r="BZ99" i="11"/>
  <c r="BA99" i="11"/>
  <c r="DX99" i="11"/>
  <c r="CY99" i="11"/>
  <c r="BY99" i="11"/>
  <c r="AY99" i="11"/>
  <c r="DR99" i="11"/>
  <c r="CR99" i="11"/>
  <c r="BR99" i="11"/>
  <c r="AS99" i="11"/>
  <c r="DB99" i="11"/>
  <c r="CA99" i="11"/>
  <c r="AV99" i="11"/>
  <c r="DA99" i="11"/>
  <c r="BW99" i="11"/>
  <c r="AU99" i="11"/>
  <c r="DW99" i="11"/>
  <c r="CU99" i="11"/>
  <c r="BQ99" i="11"/>
  <c r="AP99" i="11"/>
  <c r="CQ99" i="11"/>
  <c r="BL99" i="11"/>
  <c r="AH99" i="11"/>
  <c r="DQ99" i="11"/>
  <c r="CK99" i="11"/>
  <c r="BG99" i="11"/>
  <c r="BN99" i="11"/>
  <c r="CZ99" i="11"/>
  <c r="DN46" i="11"/>
  <c r="DU12" i="11"/>
  <c r="DU49" i="11" s="1"/>
  <c r="CK35" i="11"/>
  <c r="BO35" i="11"/>
  <c r="AS35" i="11"/>
  <c r="W35" i="11"/>
  <c r="CJ35" i="11"/>
  <c r="BM35" i="11"/>
  <c r="AP35" i="11"/>
  <c r="BT35" i="11"/>
  <c r="AV35" i="11"/>
  <c r="X35" i="11"/>
  <c r="CM35" i="11"/>
  <c r="CM46" i="11" s="1"/>
  <c r="BN35" i="11"/>
  <c r="AO35" i="11"/>
  <c r="AW35" i="11"/>
  <c r="BW35" i="11"/>
  <c r="BD80" i="11"/>
  <c r="CC80" i="11"/>
  <c r="CC112" i="11" s="1"/>
  <c r="W98" i="11"/>
  <c r="W80" i="11" s="1"/>
  <c r="W112" i="11" s="1"/>
  <c r="BG98" i="11"/>
  <c r="CQ98" i="11"/>
  <c r="AI99" i="11"/>
  <c r="BO99" i="11"/>
  <c r="DC99" i="11"/>
  <c r="CL3" i="11"/>
  <c r="CL49" i="11" s="1"/>
  <c r="BH12" i="11"/>
  <c r="V35" i="11"/>
  <c r="AX35" i="11"/>
  <c r="BX35" i="11"/>
  <c r="AQ50" i="11"/>
  <c r="BM50" i="11"/>
  <c r="BB59" i="11"/>
  <c r="BF109" i="11"/>
  <c r="CD109" i="11"/>
  <c r="DV62" i="11"/>
  <c r="DV110" i="11" s="1"/>
  <c r="CZ62" i="11"/>
  <c r="CZ59" i="11" s="1"/>
  <c r="CD62" i="11"/>
  <c r="CD110" i="11" s="1"/>
  <c r="BH62" i="11"/>
  <c r="BH110" i="11" s="1"/>
  <c r="AL62" i="11"/>
  <c r="AG110" i="11"/>
  <c r="DE62" i="11"/>
  <c r="CH62" i="11"/>
  <c r="BK62" i="11"/>
  <c r="AN62" i="11"/>
  <c r="DF62" i="11"/>
  <c r="CG62" i="11"/>
  <c r="BI62" i="11"/>
  <c r="AJ62" i="11"/>
  <c r="DD62" i="11"/>
  <c r="CF62" i="11"/>
  <c r="BG62" i="11"/>
  <c r="AI62" i="11"/>
  <c r="DX62" i="11"/>
  <c r="CY62" i="11"/>
  <c r="CA62" i="11"/>
  <c r="BC62" i="11"/>
  <c r="BC110" i="11" s="1"/>
  <c r="DR62" i="11"/>
  <c r="CQ62" i="11"/>
  <c r="BP62" i="11"/>
  <c r="AO62" i="11"/>
  <c r="AO110" i="11" s="1"/>
  <c r="DM62" i="11"/>
  <c r="CL62" i="11"/>
  <c r="CL110" i="11" s="1"/>
  <c r="BJ62" i="11"/>
  <c r="BN62" i="11"/>
  <c r="CR62" i="11"/>
  <c r="DU62" i="11"/>
  <c r="BI66" i="11"/>
  <c r="AM66" i="11"/>
  <c r="AY66" i="11"/>
  <c r="BG66" i="11"/>
  <c r="AI66" i="11"/>
  <c r="BF66" i="11"/>
  <c r="AH66" i="11"/>
  <c r="BB66" i="11"/>
  <c r="AT66" i="11"/>
  <c r="BP66" i="11"/>
  <c r="AO66" i="11"/>
  <c r="BM66" i="11"/>
  <c r="CA80" i="11"/>
  <c r="X98" i="11"/>
  <c r="BH98" i="11"/>
  <c r="BH80" i="11" s="1"/>
  <c r="CR98" i="11"/>
  <c r="AJ99" i="11"/>
  <c r="BP99" i="11"/>
  <c r="DD99" i="11"/>
  <c r="CQ47" i="11"/>
  <c r="Y35" i="11"/>
  <c r="AY35" i="11"/>
  <c r="BY35" i="11"/>
  <c r="Z43" i="11"/>
  <c r="BB43" i="11"/>
  <c r="CD43" i="11"/>
  <c r="DF43" i="11"/>
  <c r="V50" i="11"/>
  <c r="CJ50" i="11"/>
  <c r="AI109" i="11"/>
  <c r="AH62" i="11"/>
  <c r="BO62" i="11"/>
  <c r="BO110" i="11" s="1"/>
  <c r="CS62" i="11"/>
  <c r="DW62" i="11"/>
  <c r="DW110" i="11" s="1"/>
  <c r="AJ66" i="11"/>
  <c r="BN66" i="11"/>
  <c r="CX80" i="11"/>
  <c r="CX112" i="11" s="1"/>
  <c r="Z98" i="11"/>
  <c r="Z80" i="11" s="1"/>
  <c r="Z112" i="11" s="1"/>
  <c r="BL98" i="11"/>
  <c r="CU98" i="11"/>
  <c r="AK99" i="11"/>
  <c r="BT99" i="11"/>
  <c r="DE99" i="11"/>
  <c r="BT3" i="11"/>
  <c r="BT49" i="11" s="1"/>
  <c r="DJ3" i="11"/>
  <c r="DK9" i="11"/>
  <c r="DK46" i="11" s="1"/>
  <c r="CO9" i="11"/>
  <c r="CO46" i="11" s="1"/>
  <c r="BS9" i="11"/>
  <c r="AW9" i="11"/>
  <c r="AA9" i="11"/>
  <c r="DX9" i="11"/>
  <c r="DX46" i="11" s="1"/>
  <c r="DA9" i="11"/>
  <c r="DA46" i="11" s="1"/>
  <c r="CD9" i="11"/>
  <c r="CD46" i="11" s="1"/>
  <c r="BG9" i="11"/>
  <c r="AJ9" i="11"/>
  <c r="DW9" i="11"/>
  <c r="DW46" i="11" s="1"/>
  <c r="CY9" i="11"/>
  <c r="CY46" i="11" s="1"/>
  <c r="CA9" i="11"/>
  <c r="CA46" i="11" s="1"/>
  <c r="BC9" i="11"/>
  <c r="AE9" i="11"/>
  <c r="DR9" i="11"/>
  <c r="CT9" i="11"/>
  <c r="BV9" i="11"/>
  <c r="AX9" i="11"/>
  <c r="Y9" i="11"/>
  <c r="AU9" i="11"/>
  <c r="BW9" i="11"/>
  <c r="CW9" i="11"/>
  <c r="DY9" i="11"/>
  <c r="DY46" i="11" s="1"/>
  <c r="CF12" i="11"/>
  <c r="Z35" i="11"/>
  <c r="AZ35" i="11"/>
  <c r="BZ35" i="11"/>
  <c r="BZ46" i="11" s="1"/>
  <c r="AA43" i="11"/>
  <c r="BC43" i="11"/>
  <c r="CF43" i="11"/>
  <c r="DG43" i="11"/>
  <c r="L59" i="11"/>
  <c r="L112" i="11" s="1"/>
  <c r="AH59" i="11"/>
  <c r="BD59" i="11"/>
  <c r="BZ59" i="11"/>
  <c r="AJ109" i="11"/>
  <c r="AK62" i="11"/>
  <c r="AK110" i="11" s="1"/>
  <c r="BQ62" i="11"/>
  <c r="CT62" i="11"/>
  <c r="AK66" i="11"/>
  <c r="BO66" i="11"/>
  <c r="AA98" i="11"/>
  <c r="BM98" i="11"/>
  <c r="CV98" i="11"/>
  <c r="AL99" i="11"/>
  <c r="BU99" i="11"/>
  <c r="DF99" i="11"/>
  <c r="U109" i="11"/>
  <c r="AA56" i="11"/>
  <c r="AA109" i="11" s="1"/>
  <c r="AF56" i="11"/>
  <c r="AE59" i="11"/>
  <c r="CC109" i="11"/>
  <c r="BB65" i="11"/>
  <c r="AF65" i="11"/>
  <c r="BM65" i="11"/>
  <c r="BM109" i="11" s="1"/>
  <c r="AP65" i="11"/>
  <c r="AP109" i="11" s="1"/>
  <c r="AV65" i="11"/>
  <c r="AV109" i="11" s="1"/>
  <c r="X65" i="11"/>
  <c r="AU65" i="11"/>
  <c r="W65" i="11"/>
  <c r="BO65" i="11"/>
  <c r="AQ65" i="11"/>
  <c r="AX65" i="11"/>
  <c r="CA77" i="11"/>
  <c r="BE77" i="11"/>
  <c r="AI77" i="11"/>
  <c r="BY77" i="11"/>
  <c r="BB77" i="11"/>
  <c r="AE77" i="11"/>
  <c r="BL77" i="11"/>
  <c r="BL109" i="11" s="1"/>
  <c r="AN77" i="11"/>
  <c r="AN109" i="11" s="1"/>
  <c r="BK77" i="11"/>
  <c r="AM77" i="11"/>
  <c r="BG77" i="11"/>
  <c r="AH77" i="11"/>
  <c r="AV77" i="11"/>
  <c r="BW77" i="11"/>
  <c r="DU80" i="11"/>
  <c r="DU112" i="11" s="1"/>
  <c r="DR83" i="11"/>
  <c r="DR80" i="11" s="1"/>
  <c r="CV83" i="11"/>
  <c r="BZ83" i="11"/>
  <c r="BD83" i="11"/>
  <c r="AH83" i="11"/>
  <c r="DK83" i="11"/>
  <c r="CN83" i="11"/>
  <c r="BQ83" i="11"/>
  <c r="AT83" i="11"/>
  <c r="DL83" i="11"/>
  <c r="CM83" i="11"/>
  <c r="BO83" i="11"/>
  <c r="AQ83" i="11"/>
  <c r="DJ83" i="11"/>
  <c r="CL83" i="11"/>
  <c r="BN83" i="11"/>
  <c r="AP83" i="11"/>
  <c r="DF83" i="11"/>
  <c r="CH83" i="11"/>
  <c r="CH80" i="11" s="1"/>
  <c r="BJ83" i="11"/>
  <c r="AL83" i="11"/>
  <c r="AL80" i="11" s="1"/>
  <c r="BI83" i="11"/>
  <c r="BI80" i="11" s="1"/>
  <c r="BI112" i="11" s="1"/>
  <c r="CK83" i="11"/>
  <c r="CK80" i="11" s="1"/>
  <c r="CK112" i="11" s="1"/>
  <c r="DO83" i="11"/>
  <c r="DK90" i="11"/>
  <c r="CO90" i="11"/>
  <c r="BS90" i="11"/>
  <c r="DV90" i="11"/>
  <c r="CY90" i="11"/>
  <c r="CB90" i="11"/>
  <c r="BE90" i="11"/>
  <c r="AI90" i="11"/>
  <c r="DO90" i="11"/>
  <c r="CQ90" i="11"/>
  <c r="BR90" i="11"/>
  <c r="AU90" i="11"/>
  <c r="X90" i="11"/>
  <c r="DI90" i="11"/>
  <c r="DI80" i="11" s="1"/>
  <c r="CK90" i="11"/>
  <c r="BM90" i="11"/>
  <c r="AP90" i="11"/>
  <c r="DJ90" i="11"/>
  <c r="CI90" i="11"/>
  <c r="BI90" i="11"/>
  <c r="AJ90" i="11"/>
  <c r="AJ80" i="11" s="1"/>
  <c r="DH90" i="11"/>
  <c r="CH90" i="11"/>
  <c r="BH90" i="11"/>
  <c r="AH90" i="11"/>
  <c r="DD90" i="11"/>
  <c r="CD90" i="11"/>
  <c r="BC90" i="11"/>
  <c r="AD90" i="11"/>
  <c r="AD80" i="11" s="1"/>
  <c r="AD112" i="11" s="1"/>
  <c r="AX90" i="11"/>
  <c r="CA90" i="11"/>
  <c r="DF90" i="11"/>
  <c r="DF109" i="11" s="1"/>
  <c r="DR94" i="11"/>
  <c r="CV94" i="11"/>
  <c r="CV109" i="11" s="1"/>
  <c r="BZ94" i="11"/>
  <c r="BD94" i="11"/>
  <c r="AH94" i="11"/>
  <c r="DT94" i="11"/>
  <c r="CW94" i="11"/>
  <c r="CW80" i="11" s="1"/>
  <c r="CW112" i="11" s="1"/>
  <c r="BY94" i="11"/>
  <c r="BB94" i="11"/>
  <c r="AE94" i="11"/>
  <c r="AE80" i="11" s="1"/>
  <c r="AE112" i="11" s="1"/>
  <c r="DC94" i="11"/>
  <c r="DC109" i="11" s="1"/>
  <c r="CE94" i="11"/>
  <c r="BG94" i="11"/>
  <c r="AI94" i="11"/>
  <c r="DV94" i="11"/>
  <c r="CX94" i="11"/>
  <c r="BX94" i="11"/>
  <c r="AZ94" i="11"/>
  <c r="AB94" i="11"/>
  <c r="CZ94" i="11"/>
  <c r="BW94" i="11"/>
  <c r="AW94" i="11"/>
  <c r="W94" i="11"/>
  <c r="DY94" i="11"/>
  <c r="CY94" i="11"/>
  <c r="BV94" i="11"/>
  <c r="AV94" i="11"/>
  <c r="AV80" i="11" s="1"/>
  <c r="AV112" i="11" s="1"/>
  <c r="V94" i="11"/>
  <c r="V80" i="11" s="1"/>
  <c r="V112" i="11" s="1"/>
  <c r="DS94" i="11"/>
  <c r="CR94" i="11"/>
  <c r="BR94" i="11"/>
  <c r="AR94" i="11"/>
  <c r="BA94" i="11"/>
  <c r="CG94" i="11"/>
  <c r="DJ94" i="11"/>
  <c r="Z56" i="11"/>
  <c r="CB59" i="11"/>
  <c r="CH109" i="11"/>
  <c r="AB65" i="11"/>
  <c r="BD65" i="11"/>
  <c r="DR70" i="11"/>
  <c r="CV70" i="11"/>
  <c r="BZ70" i="11"/>
  <c r="BD70" i="11"/>
  <c r="AH70" i="11"/>
  <c r="DS70" i="11"/>
  <c r="CU70" i="11"/>
  <c r="BX70" i="11"/>
  <c r="BX110" i="11" s="1"/>
  <c r="BA70" i="11"/>
  <c r="BA110" i="11" s="1"/>
  <c r="DH70" i="11"/>
  <c r="CJ70" i="11"/>
  <c r="CJ110" i="11" s="1"/>
  <c r="BL70" i="11"/>
  <c r="BL110" i="11" s="1"/>
  <c r="AN70" i="11"/>
  <c r="DG70" i="11"/>
  <c r="CI70" i="11"/>
  <c r="BK70" i="11"/>
  <c r="AM70" i="11"/>
  <c r="DC70" i="11"/>
  <c r="CE70" i="11"/>
  <c r="BG70" i="11"/>
  <c r="AI70" i="11"/>
  <c r="BJ70" i="11"/>
  <c r="CM70" i="11"/>
  <c r="DN70" i="11"/>
  <c r="Z77" i="11"/>
  <c r="BA77" i="11"/>
  <c r="BV78" i="11"/>
  <c r="AZ78" i="11"/>
  <c r="BW78" i="11"/>
  <c r="BW110" i="11" s="1"/>
  <c r="AY78" i="11"/>
  <c r="BK78" i="11"/>
  <c r="AM78" i="11"/>
  <c r="AM110" i="11" s="1"/>
  <c r="BJ78" i="11"/>
  <c r="AL78" i="11"/>
  <c r="BF78" i="11"/>
  <c r="AH78" i="11"/>
  <c r="BI78" i="11"/>
  <c r="AN83" i="11"/>
  <c r="BR83" i="11"/>
  <c r="CS83" i="11"/>
  <c r="DU83" i="11"/>
  <c r="AA90" i="11"/>
  <c r="BD90" i="11"/>
  <c r="CJ90" i="11"/>
  <c r="DP90" i="11"/>
  <c r="AC94" i="11"/>
  <c r="BI94" i="11"/>
  <c r="CL94" i="11"/>
  <c r="DO94" i="11"/>
  <c r="DS100" i="11"/>
  <c r="CW100" i="11"/>
  <c r="CA100" i="11"/>
  <c r="CA111" i="11" s="1"/>
  <c r="BE100" i="11"/>
  <c r="DN100" i="11"/>
  <c r="CR100" i="11"/>
  <c r="BV100" i="11"/>
  <c r="AZ100" i="11"/>
  <c r="DI100" i="11"/>
  <c r="CK100" i="11"/>
  <c r="BM100" i="11"/>
  <c r="DO100" i="11"/>
  <c r="CO100" i="11"/>
  <c r="BP100" i="11"/>
  <c r="DH100" i="11"/>
  <c r="CI100" i="11"/>
  <c r="BJ100" i="11"/>
  <c r="CZ100" i="11"/>
  <c r="BX100" i="11"/>
  <c r="AV100" i="11"/>
  <c r="CY100" i="11"/>
  <c r="BW100" i="11"/>
  <c r="AU100" i="11"/>
  <c r="DV100" i="11"/>
  <c r="CT100" i="11"/>
  <c r="BR100" i="11"/>
  <c r="BZ100" i="11"/>
  <c r="DE100" i="11"/>
  <c r="BD109" i="11"/>
  <c r="CZ109" i="11"/>
  <c r="BG79" i="11"/>
  <c r="BI79" i="11"/>
  <c r="BQ79" i="11"/>
  <c r="DY87" i="11"/>
  <c r="DC87" i="11"/>
  <c r="CG87" i="11"/>
  <c r="BK87" i="11"/>
  <c r="AO87" i="11"/>
  <c r="DJ87" i="11"/>
  <c r="CM87" i="11"/>
  <c r="BP87" i="11"/>
  <c r="AS87" i="11"/>
  <c r="AS80" i="11" s="1"/>
  <c r="AS112" i="11" s="1"/>
  <c r="DE87" i="11"/>
  <c r="CH87" i="11"/>
  <c r="BJ87" i="11"/>
  <c r="AM87" i="11"/>
  <c r="AM80" i="11" s="1"/>
  <c r="AM112" i="11" s="1"/>
  <c r="BF87" i="11"/>
  <c r="CE87" i="11"/>
  <c r="CE80" i="11" s="1"/>
  <c r="CE112" i="11" s="1"/>
  <c r="DF87" i="11"/>
  <c r="BE103" i="11"/>
  <c r="BE110" i="11" s="1"/>
  <c r="CG103" i="11"/>
  <c r="CV59" i="11"/>
  <c r="DW103" i="11"/>
  <c r="DA103" i="11"/>
  <c r="CE103" i="11"/>
  <c r="BI103" i="11"/>
  <c r="AM103" i="11"/>
  <c r="DR103" i="11"/>
  <c r="CV103" i="11"/>
  <c r="BZ103" i="11"/>
  <c r="BD103" i="11"/>
  <c r="AH103" i="11"/>
  <c r="DJ103" i="11"/>
  <c r="CL103" i="11"/>
  <c r="BN103" i="11"/>
  <c r="AP103" i="11"/>
  <c r="DT103" i="11"/>
  <c r="CT103" i="11"/>
  <c r="BU103" i="11"/>
  <c r="AV103" i="11"/>
  <c r="AV110" i="11" s="1"/>
  <c r="DN103" i="11"/>
  <c r="CO103" i="11"/>
  <c r="BP103" i="11"/>
  <c r="AQ103" i="11"/>
  <c r="BJ103" i="11"/>
  <c r="CK103" i="11"/>
  <c r="DM103" i="11"/>
  <c r="DG50" i="11"/>
  <c r="AX79" i="11"/>
  <c r="BV79" i="11"/>
  <c r="AL87" i="11"/>
  <c r="BM87" i="11"/>
  <c r="CL87" i="11"/>
  <c r="DL87" i="11"/>
  <c r="DI95" i="11"/>
  <c r="CM95" i="11"/>
  <c r="BQ95" i="11"/>
  <c r="AU95" i="11"/>
  <c r="DO95" i="11"/>
  <c r="CR95" i="11"/>
  <c r="BU95" i="11"/>
  <c r="BU110" i="11" s="1"/>
  <c r="AX95" i="11"/>
  <c r="DB95" i="11"/>
  <c r="CD95" i="11"/>
  <c r="BF95" i="11"/>
  <c r="AH95" i="11"/>
  <c r="DU95" i="11"/>
  <c r="CW95" i="11"/>
  <c r="BY95" i="11"/>
  <c r="BA95" i="11"/>
  <c r="BH95" i="11"/>
  <c r="CH95" i="11"/>
  <c r="DH95" i="11"/>
  <c r="AI103" i="11"/>
  <c r="BK103" i="11"/>
  <c r="CM103" i="11"/>
  <c r="DO103" i="11"/>
  <c r="DL86" i="11"/>
  <c r="CP86" i="11"/>
  <c r="CP109" i="11" s="1"/>
  <c r="BT86" i="11"/>
  <c r="AX86" i="11"/>
  <c r="AB86" i="11"/>
  <c r="AB109" i="11" s="1"/>
  <c r="AR86" i="11"/>
  <c r="BO86" i="11"/>
  <c r="CL86" i="11"/>
  <c r="DI86" i="11"/>
  <c r="BO37" i="11"/>
  <c r="DI61" i="11"/>
  <c r="CM61" i="11"/>
  <c r="BQ61" i="11"/>
  <c r="BQ109" i="11" s="1"/>
  <c r="AU61" i="11"/>
  <c r="Y61" i="11"/>
  <c r="Y59" i="11" s="1"/>
  <c r="AR61" i="11"/>
  <c r="BO61" i="11"/>
  <c r="CL61" i="11"/>
  <c r="DJ61" i="11"/>
  <c r="Z86" i="11"/>
  <c r="AW86" i="11"/>
  <c r="BU86" i="11"/>
  <c r="BU109" i="11" s="1"/>
  <c r="CR86" i="11"/>
  <c r="DO86" i="11"/>
  <c r="DL96" i="11"/>
  <c r="CP96" i="11"/>
  <c r="BT96" i="11"/>
  <c r="AX96" i="11"/>
  <c r="DV96" i="11"/>
  <c r="CY96" i="11"/>
  <c r="CB96" i="11"/>
  <c r="BE96" i="11"/>
  <c r="BQ96" i="11"/>
  <c r="CO96" i="11"/>
  <c r="DN96" i="11"/>
  <c r="AQ69" i="11"/>
  <c r="BM69" i="11"/>
  <c r="CI69" i="11"/>
  <c r="AQ82" i="11"/>
  <c r="BM82" i="11"/>
  <c r="CI82" i="11"/>
  <c r="AQ102" i="11"/>
  <c r="BM102" i="11"/>
  <c r="CI102" i="11"/>
  <c r="DE102" i="11"/>
  <c r="Z102" i="11"/>
  <c r="AV102" i="11"/>
  <c r="BR102" i="11"/>
  <c r="CN102" i="11"/>
  <c r="CK61" i="10"/>
  <c r="DQ63" i="10"/>
  <c r="CJ61" i="10"/>
  <c r="DP63" i="10"/>
  <c r="DC63" i="10"/>
  <c r="DB63" i="10"/>
  <c r="CZ61" i="10"/>
  <c r="BH61" i="10"/>
  <c r="DA63" i="10"/>
  <c r="CY61" i="10"/>
  <c r="BB61" i="10"/>
  <c r="CZ63" i="10"/>
  <c r="CT61" i="10"/>
  <c r="BA61" i="10"/>
  <c r="CT63" i="10"/>
  <c r="CS61" i="10"/>
  <c r="AZ61" i="10"/>
  <c r="CS63" i="10"/>
  <c r="CR61" i="10"/>
  <c r="AU61" i="10"/>
  <c r="CR63" i="10"/>
  <c r="CP61" i="10"/>
  <c r="AT61" i="10"/>
  <c r="CQ63" i="10"/>
  <c r="CO61" i="10"/>
  <c r="AS61" i="10"/>
  <c r="CP63" i="10"/>
  <c r="CN61" i="10"/>
  <c r="AQ61" i="10"/>
  <c r="CN63" i="10"/>
  <c r="CM61" i="10"/>
  <c r="AP61" i="10"/>
  <c r="BN63" i="10"/>
  <c r="BG63" i="10"/>
  <c r="BF63" i="10"/>
  <c r="DB61" i="10"/>
  <c r="BM61" i="10"/>
  <c r="DT63" i="10"/>
  <c r="BE63" i="10"/>
  <c r="DA61" i="10"/>
  <c r="BL61" i="10"/>
  <c r="DS63" i="10"/>
  <c r="BC63" i="10"/>
  <c r="CM63" i="10"/>
  <c r="CL63" i="10"/>
  <c r="DD61" i="10"/>
  <c r="BQ61" i="10"/>
  <c r="AG61" i="10"/>
  <c r="CK63" i="10"/>
  <c r="CJ63" i="10"/>
  <c r="CI63" i="10"/>
  <c r="CG63" i="10"/>
  <c r="AT63" i="10"/>
  <c r="BU63" i="10"/>
  <c r="CX61" i="10"/>
  <c r="BK61" i="10"/>
  <c r="BT63" i="10"/>
  <c r="CL62" i="10"/>
  <c r="CK62" i="10"/>
  <c r="AK62" i="10"/>
  <c r="DO63" i="10"/>
  <c r="BS63" i="10"/>
  <c r="DN63" i="10"/>
  <c r="BR63" i="10"/>
  <c r="DF61" i="10"/>
  <c r="BY61" i="10"/>
  <c r="AN61" i="10"/>
  <c r="DL63" i="10"/>
  <c r="BP63" i="10"/>
  <c r="DE61" i="10"/>
  <c r="BT61" i="10"/>
  <c r="DK63" i="10"/>
  <c r="CD10" i="10"/>
  <c r="CE10" i="10"/>
  <c r="CF10" i="10"/>
  <c r="BH10" i="10"/>
  <c r="CC10" i="10"/>
  <c r="CS11" i="10"/>
  <c r="AV11" i="10"/>
  <c r="CQ11" i="10"/>
  <c r="CR11" i="10"/>
  <c r="CT11" i="10"/>
  <c r="CU11" i="10"/>
  <c r="CV11" i="10"/>
  <c r="CW11" i="10"/>
  <c r="AV62" i="10"/>
  <c r="BR62" i="10"/>
  <c r="CN62" i="10"/>
  <c r="DJ62" i="10"/>
  <c r="AJ62" i="10"/>
  <c r="BG62" i="10"/>
  <c r="CD62" i="10"/>
  <c r="DA62" i="10"/>
  <c r="DX62" i="10"/>
  <c r="AS62" i="10"/>
  <c r="BQ62" i="10"/>
  <c r="CP62" i="10"/>
  <c r="DN62" i="10"/>
  <c r="BB62" i="10"/>
  <c r="CA62" i="10"/>
  <c r="CZ62" i="10"/>
  <c r="AH62" i="10"/>
  <c r="BC62" i="10"/>
  <c r="CB62" i="10"/>
  <c r="DB62" i="10"/>
  <c r="BD62" i="10"/>
  <c r="CC62" i="10"/>
  <c r="DC62" i="10"/>
  <c r="BE62" i="10"/>
  <c r="AP62" i="10"/>
  <c r="BU62" i="10"/>
  <c r="CW62" i="10"/>
  <c r="AQ62" i="10"/>
  <c r="BV62" i="10"/>
  <c r="CX62" i="10"/>
  <c r="AR62" i="10"/>
  <c r="BW62" i="10"/>
  <c r="CY62" i="10"/>
  <c r="AT62" i="10"/>
  <c r="BX62" i="10"/>
  <c r="DD62" i="10"/>
  <c r="AU62" i="10"/>
  <c r="BY62" i="10"/>
  <c r="DE62" i="10"/>
  <c r="AW62" i="10"/>
  <c r="BZ62" i="10"/>
  <c r="DF62" i="10"/>
  <c r="AX62" i="10"/>
  <c r="CE62" i="10"/>
  <c r="DG62" i="10"/>
  <c r="AY62" i="10"/>
  <c r="CF62" i="10"/>
  <c r="DH62" i="10"/>
  <c r="AZ62" i="10"/>
  <c r="CG62" i="10"/>
  <c r="DI62" i="10"/>
  <c r="AL62" i="10"/>
  <c r="CM62" i="10"/>
  <c r="AM62" i="10"/>
  <c r="CO62" i="10"/>
  <c r="AN62" i="10"/>
  <c r="CQ62" i="10"/>
  <c r="AO62" i="10"/>
  <c r="CR62" i="10"/>
  <c r="BA62" i="10"/>
  <c r="CS62" i="10"/>
  <c r="BF62" i="10"/>
  <c r="CT62" i="10"/>
  <c r="BH62" i="10"/>
  <c r="CU62" i="10"/>
  <c r="BI62" i="10"/>
  <c r="CV62" i="10"/>
  <c r="BJ62" i="10"/>
  <c r="DK62" i="10"/>
  <c r="BK62" i="10"/>
  <c r="DL62" i="10"/>
  <c r="BL62" i="10"/>
  <c r="DM62" i="10"/>
  <c r="BM62" i="10"/>
  <c r="DO62" i="10"/>
  <c r="BN62" i="10"/>
  <c r="DP62" i="10"/>
  <c r="DQ62" i="10"/>
  <c r="DR62" i="10"/>
  <c r="DS62" i="10"/>
  <c r="BT62" i="10"/>
  <c r="CI62" i="10"/>
  <c r="DV62" i="10"/>
  <c r="DW62" i="10"/>
  <c r="BO62" i="10"/>
  <c r="BP62" i="10"/>
  <c r="BS62" i="10"/>
  <c r="DT62" i="10"/>
  <c r="CH62" i="10"/>
  <c r="DU62" i="10"/>
  <c r="CJ62" i="10"/>
  <c r="CK9" i="10"/>
  <c r="CI9" i="10"/>
  <c r="CJ9" i="10"/>
  <c r="W9" i="10"/>
  <c r="X9" i="10"/>
  <c r="Y9" i="10"/>
  <c r="Z9" i="10"/>
  <c r="AA9" i="10"/>
  <c r="CD9" i="10"/>
  <c r="CH9" i="10"/>
  <c r="CG9" i="10"/>
  <c r="CF9" i="10"/>
  <c r="CE9" i="10"/>
  <c r="BD63" i="10"/>
  <c r="BZ63" i="10"/>
  <c r="CV63" i="10"/>
  <c r="DR63" i="10"/>
  <c r="BK63" i="10"/>
  <c r="CH63" i="10"/>
  <c r="DE63" i="10"/>
  <c r="BQ63" i="10"/>
  <c r="CO63" i="10"/>
  <c r="DM63" i="10"/>
  <c r="AW63" i="10"/>
  <c r="BV63" i="10"/>
  <c r="CU63" i="10"/>
  <c r="DU63" i="10"/>
  <c r="AX63" i="10"/>
  <c r="BW63" i="10"/>
  <c r="CW63" i="10"/>
  <c r="DV63" i="10"/>
  <c r="AY63" i="10"/>
  <c r="BX63" i="10"/>
  <c r="CX63" i="10"/>
  <c r="DW63" i="10"/>
  <c r="AZ63" i="10"/>
  <c r="BY63" i="10"/>
  <c r="CY63" i="10"/>
  <c r="DX63" i="10"/>
  <c r="DJ63" i="10"/>
  <c r="CF63" i="10"/>
  <c r="BB63" i="10"/>
  <c r="DI63" i="10"/>
  <c r="CE63" i="10"/>
  <c r="BA63" i="10"/>
  <c r="AC61" i="10"/>
  <c r="AY61" i="10"/>
  <c r="BU61" i="10"/>
  <c r="CQ61" i="10"/>
  <c r="DM61" i="10"/>
  <c r="AR61" i="10"/>
  <c r="BO61" i="10"/>
  <c r="CL61" i="10"/>
  <c r="DI61" i="10"/>
  <c r="AI61" i="10"/>
  <c r="BG61" i="10"/>
  <c r="CE61" i="10"/>
  <c r="DC61" i="10"/>
  <c r="V61" i="10"/>
  <c r="AV61" i="10"/>
  <c r="BV61" i="10"/>
  <c r="CU61" i="10"/>
  <c r="DT61" i="10"/>
  <c r="X61" i="10"/>
  <c r="AW61" i="10"/>
  <c r="BW61" i="10"/>
  <c r="CV61" i="10"/>
  <c r="DU61" i="10"/>
  <c r="Y61" i="10"/>
  <c r="AX61" i="10"/>
  <c r="BX61" i="10"/>
  <c r="CW61" i="10"/>
  <c r="DV61" i="10"/>
  <c r="DL61" i="10"/>
  <c r="CI61" i="10"/>
  <c r="BF61" i="10"/>
  <c r="AD61" i="10"/>
  <c r="DH63" i="10"/>
  <c r="CD63" i="10"/>
  <c r="AV63" i="10"/>
  <c r="DK61" i="10"/>
  <c r="CH61" i="10"/>
  <c r="BE61" i="10"/>
  <c r="AB61" i="10"/>
  <c r="DG63" i="10"/>
  <c r="CC63" i="10"/>
  <c r="AU63" i="10"/>
  <c r="DJ61" i="10"/>
  <c r="CG61" i="10"/>
  <c r="BD61" i="10"/>
  <c r="AA61" i="10"/>
  <c r="DF63" i="10"/>
  <c r="CB63" i="10"/>
  <c r="DH61" i="10"/>
  <c r="CF61" i="10"/>
  <c r="BC61" i="10"/>
  <c r="Z61" i="10"/>
  <c r="DD63" i="10"/>
  <c r="CA63" i="10"/>
  <c r="AY10" i="10"/>
  <c r="BU10" i="10"/>
  <c r="CQ10" i="10"/>
  <c r="DM10" i="10"/>
  <c r="AZ10" i="10"/>
  <c r="BV10" i="10"/>
  <c r="CR10" i="10"/>
  <c r="DN10" i="10"/>
  <c r="BA10" i="10"/>
  <c r="BW10" i="10"/>
  <c r="CS10" i="10"/>
  <c r="DO10" i="10"/>
  <c r="BB10" i="10"/>
  <c r="BX10" i="10"/>
  <c r="CT10" i="10"/>
  <c r="DP10" i="10"/>
  <c r="BC10" i="10"/>
  <c r="BY10" i="10"/>
  <c r="AM10" i="10"/>
  <c r="BN10" i="10"/>
  <c r="CO10" i="10"/>
  <c r="DS10" i="10"/>
  <c r="AP10" i="10"/>
  <c r="BQ10" i="10"/>
  <c r="CV10" i="10"/>
  <c r="DV10" i="10"/>
  <c r="AQ10" i="10"/>
  <c r="BR10" i="10"/>
  <c r="CW10" i="10"/>
  <c r="DW10" i="10"/>
  <c r="AR10" i="10"/>
  <c r="BS10" i="10"/>
  <c r="CX10" i="10"/>
  <c r="DX10" i="10"/>
  <c r="AN10" i="10"/>
  <c r="BO10" i="10"/>
  <c r="CP10" i="10"/>
  <c r="DT10" i="10"/>
  <c r="AO10" i="10"/>
  <c r="BP10" i="10"/>
  <c r="CU10" i="10"/>
  <c r="DU10" i="10"/>
  <c r="BI10" i="10"/>
  <c r="CZ10" i="10"/>
  <c r="BJ10" i="10"/>
  <c r="DA10" i="10"/>
  <c r="BK10" i="10"/>
  <c r="DB10" i="10"/>
  <c r="BL10" i="10"/>
  <c r="DC10" i="10"/>
  <c r="BM10" i="10"/>
  <c r="DD10" i="10"/>
  <c r="BT10" i="10"/>
  <c r="DE10" i="10"/>
  <c r="BZ10" i="10"/>
  <c r="DF10" i="10"/>
  <c r="AI10" i="10"/>
  <c r="CA10" i="10"/>
  <c r="DG10" i="10"/>
  <c r="AJ10" i="10"/>
  <c r="CB10" i="10"/>
  <c r="DH10" i="10"/>
  <c r="AH10" i="10"/>
  <c r="BG10" i="10"/>
  <c r="DY10" i="10"/>
  <c r="BF10" i="10"/>
  <c r="BG11" i="10"/>
  <c r="CC11" i="10"/>
  <c r="CY11" i="10"/>
  <c r="DU11" i="10"/>
  <c r="BH11" i="10"/>
  <c r="CD11" i="10"/>
  <c r="CZ11" i="10"/>
  <c r="DV11" i="10"/>
  <c r="BI11" i="10"/>
  <c r="CE11" i="10"/>
  <c r="DA11" i="10"/>
  <c r="DW11" i="10"/>
  <c r="BJ11" i="10"/>
  <c r="CF11" i="10"/>
  <c r="DB11" i="10"/>
  <c r="DX11" i="10"/>
  <c r="BK11" i="10"/>
  <c r="CG11" i="10"/>
  <c r="DC11" i="10"/>
  <c r="DY11" i="10"/>
  <c r="AW11" i="10"/>
  <c r="BX11" i="10"/>
  <c r="DD11" i="10"/>
  <c r="AZ11" i="10"/>
  <c r="CA11" i="10"/>
  <c r="DG11" i="10"/>
  <c r="BA11" i="10"/>
  <c r="CB11" i="10"/>
  <c r="DH11" i="10"/>
  <c r="BB11" i="10"/>
  <c r="CH11" i="10"/>
  <c r="DI11" i="10"/>
  <c r="BC11" i="10"/>
  <c r="CI11" i="10"/>
  <c r="DJ11" i="10"/>
  <c r="AX11" i="10"/>
  <c r="BY11" i="10"/>
  <c r="DE11" i="10"/>
  <c r="AY11" i="10"/>
  <c r="BZ11" i="10"/>
  <c r="DF11" i="10"/>
  <c r="BU11" i="10"/>
  <c r="DO11" i="10"/>
  <c r="BV11" i="10"/>
  <c r="DP11" i="10"/>
  <c r="CL11" i="10"/>
  <c r="BW11" i="10"/>
  <c r="DQ11" i="10"/>
  <c r="CJ11" i="10"/>
  <c r="DR11" i="10"/>
  <c r="CK11" i="10"/>
  <c r="DS11" i="10"/>
  <c r="DT11" i="10"/>
  <c r="CM11" i="10"/>
  <c r="AT11" i="10"/>
  <c r="AU11" i="10"/>
  <c r="DR10" i="10"/>
  <c r="BE10" i="10"/>
  <c r="CP11" i="10"/>
  <c r="AE9" i="10"/>
  <c r="BA9" i="10"/>
  <c r="BW9" i="10"/>
  <c r="CS9" i="10"/>
  <c r="DO9" i="10"/>
  <c r="AF9" i="10"/>
  <c r="BB9" i="10"/>
  <c r="BX9" i="10"/>
  <c r="CT9" i="10"/>
  <c r="DP9" i="10"/>
  <c r="AG9" i="10"/>
  <c r="BC9" i="10"/>
  <c r="BY9" i="10"/>
  <c r="CU9" i="10"/>
  <c r="DQ9" i="10"/>
  <c r="AH9" i="10"/>
  <c r="BD9" i="10"/>
  <c r="BZ9" i="10"/>
  <c r="CV9" i="10"/>
  <c r="DR9" i="10"/>
  <c r="AO9" i="10"/>
  <c r="BO9" i="10"/>
  <c r="CO9" i="10"/>
  <c r="DS9" i="10"/>
  <c r="AR9" i="10"/>
  <c r="BR9" i="10"/>
  <c r="CR9" i="10"/>
  <c r="DV9" i="10"/>
  <c r="BS9" i="10"/>
  <c r="CW9" i="10"/>
  <c r="DW9" i="10"/>
  <c r="AT9" i="10"/>
  <c r="BT9" i="10"/>
  <c r="CX9" i="10"/>
  <c r="DX9" i="10"/>
  <c r="AP9" i="10"/>
  <c r="BP9" i="10"/>
  <c r="CP9" i="10"/>
  <c r="DT9" i="10"/>
  <c r="AQ9" i="10"/>
  <c r="BQ9" i="10"/>
  <c r="CQ9" i="10"/>
  <c r="DU9" i="10"/>
  <c r="AS9" i="10"/>
  <c r="AB9" i="10"/>
  <c r="BL9" i="10"/>
  <c r="DB9" i="10"/>
  <c r="AC9" i="10"/>
  <c r="BM9" i="10"/>
  <c r="DC9" i="10"/>
  <c r="AD9" i="10"/>
  <c r="BN9" i="10"/>
  <c r="DD9" i="10"/>
  <c r="AI9" i="10"/>
  <c r="BU9" i="10"/>
  <c r="DE9" i="10"/>
  <c r="AJ9" i="10"/>
  <c r="BV9" i="10"/>
  <c r="DF9" i="10"/>
  <c r="V9" i="10"/>
  <c r="AK9" i="10"/>
  <c r="CA9" i="10"/>
  <c r="DG9" i="10"/>
  <c r="AL9" i="10"/>
  <c r="CB9" i="10"/>
  <c r="DH9" i="10"/>
  <c r="AM9" i="10"/>
  <c r="CC9" i="10"/>
  <c r="DI9" i="10"/>
  <c r="BK9" i="10"/>
  <c r="DQ10" i="10"/>
  <c r="BD10" i="10"/>
  <c r="CO11" i="10"/>
  <c r="BJ9" i="10"/>
  <c r="DL10" i="10"/>
  <c r="AX10" i="10"/>
  <c r="CN11" i="10"/>
  <c r="DY9" i="10"/>
  <c r="BI9" i="10"/>
  <c r="DK10" i="10"/>
  <c r="AW10" i="10"/>
  <c r="BT11" i="10"/>
  <c r="DN9" i="10"/>
  <c r="BH9" i="10"/>
  <c r="DJ10" i="10"/>
  <c r="BS11" i="10"/>
  <c r="DM9" i="10"/>
  <c r="BG9" i="10"/>
  <c r="DI10" i="10"/>
  <c r="AU10" i="10"/>
  <c r="BR11" i="10"/>
  <c r="DL9" i="10"/>
  <c r="BF9" i="10"/>
  <c r="CY10" i="10"/>
  <c r="AT10" i="10"/>
  <c r="BQ11" i="10"/>
  <c r="DK9" i="10"/>
  <c r="BE9" i="10"/>
  <c r="CN10" i="10"/>
  <c r="AS10" i="10"/>
  <c r="BP11" i="10"/>
  <c r="DJ9" i="10"/>
  <c r="AZ9" i="10"/>
  <c r="CM10" i="10"/>
  <c r="AL10" i="10"/>
  <c r="DA9" i="10"/>
  <c r="AY9" i="10"/>
  <c r="CL10" i="10"/>
  <c r="AK10" i="10"/>
  <c r="BN11" i="10"/>
  <c r="CZ9" i="10"/>
  <c r="AX9" i="10"/>
  <c r="CK10" i="10"/>
  <c r="DN11" i="10"/>
  <c r="BM11" i="10"/>
  <c r="CY9" i="10"/>
  <c r="AW9" i="10"/>
  <c r="CJ10" i="10"/>
  <c r="DM11" i="10"/>
  <c r="BL11" i="10"/>
  <c r="CN9" i="10"/>
  <c r="AV9" i="10"/>
  <c r="CI10" i="10"/>
  <c r="DL11" i="10"/>
  <c r="BF11" i="10"/>
  <c r="AV10" i="10"/>
  <c r="BO11" i="10"/>
  <c r="CM9" i="10"/>
  <c r="AU9" i="10"/>
  <c r="CH10" i="10"/>
  <c r="DK11" i="10"/>
  <c r="BE11" i="10"/>
  <c r="CL9" i="10"/>
  <c r="AN9" i="10"/>
  <c r="CG10" i="10"/>
  <c r="CX11" i="10"/>
  <c r="BD11" i="10"/>
  <c r="BR114" i="11" l="1"/>
  <c r="CS112" i="11"/>
  <c r="DD112" i="11"/>
  <c r="BA112" i="11"/>
  <c r="CW114" i="11"/>
  <c r="CH112" i="11"/>
  <c r="BQ112" i="11"/>
  <c r="CM112" i="11"/>
  <c r="AU112" i="11"/>
  <c r="CG113" i="11"/>
  <c r="CG114" i="11"/>
  <c r="CE113" i="11"/>
  <c r="DI112" i="11"/>
  <c r="BJ110" i="11"/>
  <c r="BJ59" i="11"/>
  <c r="CK115" i="11"/>
  <c r="CK114" i="11"/>
  <c r="CC114" i="11"/>
  <c r="CC113" i="11"/>
  <c r="BF112" i="11"/>
  <c r="BH3" i="11"/>
  <c r="DU114" i="11"/>
  <c r="DU113" i="11"/>
  <c r="DM110" i="11"/>
  <c r="DM59" i="11"/>
  <c r="BD112" i="11"/>
  <c r="DN114" i="11"/>
  <c r="DN113" i="11"/>
  <c r="DN115" i="11"/>
  <c r="BP110" i="11"/>
  <c r="BP59" i="11"/>
  <c r="AQ46" i="11"/>
  <c r="AQ3" i="11"/>
  <c r="CQ110" i="11"/>
  <c r="CQ59" i="11"/>
  <c r="DR110" i="11"/>
  <c r="DR59" i="11"/>
  <c r="AW80" i="11"/>
  <c r="AW112" i="11" s="1"/>
  <c r="CR47" i="11"/>
  <c r="AF109" i="11"/>
  <c r="AJ47" i="11"/>
  <c r="BA3" i="11"/>
  <c r="DY112" i="11"/>
  <c r="BA109" i="11"/>
  <c r="DB80" i="11"/>
  <c r="DB112" i="11" s="1"/>
  <c r="DE80" i="11"/>
  <c r="DE112" i="11" s="1"/>
  <c r="BO80" i="11"/>
  <c r="BO112" i="11" s="1"/>
  <c r="DH47" i="11"/>
  <c r="AH109" i="11"/>
  <c r="BT80" i="11"/>
  <c r="BT112" i="11" s="1"/>
  <c r="AR110" i="11"/>
  <c r="BI47" i="11"/>
  <c r="BV109" i="11"/>
  <c r="BA48" i="11"/>
  <c r="AC109" i="11"/>
  <c r="DN48" i="11"/>
  <c r="I113" i="11"/>
  <c r="I115" i="11"/>
  <c r="I114" i="11"/>
  <c r="BK48" i="11"/>
  <c r="BD48" i="11"/>
  <c r="BM80" i="11"/>
  <c r="CK48" i="11"/>
  <c r="BO59" i="11"/>
  <c r="BX47" i="11"/>
  <c r="BH109" i="11"/>
  <c r="V109" i="11"/>
  <c r="DA111" i="11"/>
  <c r="DA59" i="11"/>
  <c r="DA112" i="11" s="1"/>
  <c r="BK111" i="11"/>
  <c r="BC3" i="11"/>
  <c r="CH111" i="11"/>
  <c r="DE110" i="11"/>
  <c r="DE59" i="11"/>
  <c r="BQ3" i="11"/>
  <c r="CB115" i="11"/>
  <c r="CB113" i="11"/>
  <c r="CB114" i="11"/>
  <c r="BY114" i="11"/>
  <c r="BY113" i="11"/>
  <c r="BY115" i="11"/>
  <c r="BK112" i="11"/>
  <c r="BB3" i="11"/>
  <c r="BJ80" i="11"/>
  <c r="BW109" i="11"/>
  <c r="BB109" i="11"/>
  <c r="CS110" i="11"/>
  <c r="CS59" i="11"/>
  <c r="CZ110" i="11"/>
  <c r="BS114" i="11"/>
  <c r="AR80" i="11"/>
  <c r="AR112" i="11" s="1"/>
  <c r="BN80" i="11"/>
  <c r="BN112" i="11" s="1"/>
  <c r="BV80" i="11"/>
  <c r="BV112" i="11" s="1"/>
  <c r="CY47" i="11"/>
  <c r="CO80" i="11"/>
  <c r="CO112" i="11" s="1"/>
  <c r="CL80" i="11"/>
  <c r="CL112" i="11" s="1"/>
  <c r="CY110" i="11"/>
  <c r="CY114" i="11" s="1"/>
  <c r="DT48" i="11"/>
  <c r="DT80" i="11"/>
  <c r="DT112" i="11" s="1"/>
  <c r="BK109" i="11"/>
  <c r="BC59" i="11"/>
  <c r="BG80" i="11"/>
  <c r="BG112" i="11" s="1"/>
  <c r="AV3" i="11"/>
  <c r="CV80" i="11"/>
  <c r="CV112" i="11" s="1"/>
  <c r="BY110" i="11"/>
  <c r="CR80" i="11"/>
  <c r="CR112" i="11" s="1"/>
  <c r="CM47" i="11"/>
  <c r="DG46" i="11"/>
  <c r="AN46" i="11"/>
  <c r="AN3" i="11"/>
  <c r="AM47" i="11"/>
  <c r="W46" i="11"/>
  <c r="W3" i="11"/>
  <c r="CZ80" i="11"/>
  <c r="CZ112" i="11" s="1"/>
  <c r="CR109" i="11"/>
  <c r="BZ110" i="11"/>
  <c r="DP49" i="11"/>
  <c r="CD111" i="11"/>
  <c r="DN110" i="11"/>
  <c r="BJ48" i="11"/>
  <c r="CW109" i="11"/>
  <c r="CW113" i="11" s="1"/>
  <c r="BK3" i="11"/>
  <c r="AT48" i="11"/>
  <c r="CY109" i="11"/>
  <c r="CY113" i="11" s="1"/>
  <c r="CY111" i="11"/>
  <c r="CY115" i="11" s="1"/>
  <c r="AT111" i="11"/>
  <c r="DG80" i="11"/>
  <c r="DG112" i="11" s="1"/>
  <c r="DU111" i="11"/>
  <c r="CI80" i="11"/>
  <c r="AY80" i="11"/>
  <c r="AY112" i="11" s="1"/>
  <c r="AM109" i="11"/>
  <c r="CO47" i="11"/>
  <c r="CZ111" i="11"/>
  <c r="AQ110" i="11"/>
  <c r="DE109" i="11"/>
  <c r="BE80" i="11"/>
  <c r="BE112" i="11" s="1"/>
  <c r="DL111" i="11"/>
  <c r="DL59" i="11"/>
  <c r="AZ80" i="11"/>
  <c r="AZ112" i="11" s="1"/>
  <c r="AQ80" i="11"/>
  <c r="AQ112" i="11" s="1"/>
  <c r="BK110" i="11"/>
  <c r="BI3" i="11"/>
  <c r="BL48" i="11"/>
  <c r="CD59" i="11"/>
  <c r="CD112" i="11" s="1"/>
  <c r="CK109" i="11"/>
  <c r="CK113" i="11" s="1"/>
  <c r="BG111" i="11"/>
  <c r="CG111" i="11"/>
  <c r="CG115" i="11" s="1"/>
  <c r="AG3" i="11"/>
  <c r="AP46" i="11"/>
  <c r="DB111" i="11"/>
  <c r="BG3" i="11"/>
  <c r="AS23" i="11"/>
  <c r="AR46" i="11"/>
  <c r="DR112" i="11"/>
  <c r="CX115" i="11"/>
  <c r="CX113" i="11"/>
  <c r="CX114" i="11"/>
  <c r="BA59" i="11"/>
  <c r="BA111" i="11"/>
  <c r="AL46" i="11"/>
  <c r="AL3" i="11"/>
  <c r="BE48" i="11"/>
  <c r="BE3" i="11"/>
  <c r="BM111" i="11"/>
  <c r="BM59" i="11"/>
  <c r="DJ112" i="11"/>
  <c r="AL110" i="11"/>
  <c r="AB46" i="11"/>
  <c r="AB3" i="11"/>
  <c r="CP111" i="11"/>
  <c r="AI46" i="11"/>
  <c r="AI3" i="11"/>
  <c r="CO109" i="11"/>
  <c r="DS59" i="11"/>
  <c r="DS111" i="11"/>
  <c r="J113" i="11"/>
  <c r="J115" i="11"/>
  <c r="J114" i="11"/>
  <c r="DF111" i="11"/>
  <c r="CN59" i="11"/>
  <c r="CN110" i="11"/>
  <c r="AO59" i="11"/>
  <c r="AO112" i="11" s="1"/>
  <c r="DF80" i="11"/>
  <c r="CA112" i="11"/>
  <c r="BF110" i="11"/>
  <c r="BF59" i="11"/>
  <c r="DH80" i="11"/>
  <c r="DH112" i="11" s="1"/>
  <c r="BC47" i="11"/>
  <c r="DS80" i="11"/>
  <c r="DW112" i="11"/>
  <c r="DH111" i="11"/>
  <c r="AP80" i="11"/>
  <c r="AP112" i="11" s="1"/>
  <c r="AH110" i="11"/>
  <c r="AW47" i="11"/>
  <c r="CA47" i="11"/>
  <c r="AX80" i="11"/>
  <c r="AX112" i="11" s="1"/>
  <c r="AD46" i="11"/>
  <c r="AD3" i="11"/>
  <c r="BL80" i="11"/>
  <c r="BL112" i="11" s="1"/>
  <c r="AK112" i="11"/>
  <c r="CA110" i="11"/>
  <c r="CA59" i="11"/>
  <c r="CQ80" i="11"/>
  <c r="CT80" i="11"/>
  <c r="CT112" i="11" s="1"/>
  <c r="AG109" i="11"/>
  <c r="CU110" i="11"/>
  <c r="CU114" i="11" s="1"/>
  <c r="X80" i="11"/>
  <c r="X112" i="11" s="1"/>
  <c r="BF111" i="11"/>
  <c r="DW47" i="11"/>
  <c r="Z46" i="11"/>
  <c r="Z3" i="11"/>
  <c r="DX80" i="11"/>
  <c r="DX112" i="11" s="1"/>
  <c r="AF46" i="11"/>
  <c r="AF3" i="11"/>
  <c r="DS110" i="11"/>
  <c r="AW110" i="11"/>
  <c r="BB80" i="11"/>
  <c r="BB112" i="11" s="1"/>
  <c r="BT46" i="11"/>
  <c r="AP47" i="11"/>
  <c r="DY109" i="11"/>
  <c r="BY109" i="11"/>
  <c r="DQ80" i="11"/>
  <c r="AC80" i="11"/>
  <c r="AC112" i="11" s="1"/>
  <c r="CV110" i="11"/>
  <c r="DD47" i="11"/>
  <c r="AW3" i="11"/>
  <c r="BP80" i="11"/>
  <c r="BX80" i="11"/>
  <c r="CC111" i="11"/>
  <c r="CC115" i="11" s="1"/>
  <c r="BH48" i="11"/>
  <c r="BX48" i="11"/>
  <c r="BG109" i="11"/>
  <c r="AU111" i="11"/>
  <c r="BL111" i="11"/>
  <c r="CE111" i="11"/>
  <c r="CE115" i="11" s="1"/>
  <c r="AO47" i="11"/>
  <c r="BB110" i="11"/>
  <c r="BW111" i="11"/>
  <c r="BW59" i="11"/>
  <c r="BW112" i="11" s="1"/>
  <c r="BR111" i="11"/>
  <c r="BR115" i="11" s="1"/>
  <c r="BH59" i="11"/>
  <c r="BH112" i="11" s="1"/>
  <c r="DJ109" i="11"/>
  <c r="DJ59" i="11"/>
  <c r="CN109" i="11"/>
  <c r="AM46" i="11"/>
  <c r="AM3" i="11"/>
  <c r="CE48" i="11"/>
  <c r="DP47" i="11"/>
  <c r="CO59" i="11"/>
  <c r="CO111" i="11"/>
  <c r="DC80" i="11"/>
  <c r="DC112" i="11" s="1"/>
  <c r="BJ111" i="11"/>
  <c r="DV59" i="11"/>
  <c r="DV112" i="11" s="1"/>
  <c r="BX111" i="11"/>
  <c r="BX59" i="11"/>
  <c r="DO48" i="11"/>
  <c r="CE110" i="11"/>
  <c r="CE114" i="11" s="1"/>
  <c r="CI109" i="11"/>
  <c r="CR110" i="11"/>
  <c r="DR46" i="11"/>
  <c r="BN110" i="11"/>
  <c r="BN59" i="11"/>
  <c r="CH110" i="11"/>
  <c r="CH59" i="11"/>
  <c r="AX111" i="11"/>
  <c r="BJ3" i="11"/>
  <c r="DY48" i="11"/>
  <c r="AE46" i="11"/>
  <c r="AE3" i="11"/>
  <c r="DJ110" i="11"/>
  <c r="AX110" i="11"/>
  <c r="AL59" i="11"/>
  <c r="AL112" i="11" s="1"/>
  <c r="L26" i="11"/>
  <c r="K21" i="11"/>
  <c r="K49" i="11" s="1"/>
  <c r="BR109" i="11"/>
  <c r="BR113" i="11" s="1"/>
  <c r="DL109" i="11"/>
  <c r="CP47" i="11"/>
  <c r="CI111" i="11"/>
  <c r="CI59" i="11"/>
  <c r="DC111" i="11"/>
  <c r="AI47" i="11"/>
  <c r="BD111" i="11"/>
  <c r="AO46" i="11"/>
  <c r="BO111" i="11"/>
  <c r="CM110" i="11"/>
  <c r="CN49" i="11"/>
  <c r="DF48" i="11"/>
  <c r="CM111" i="11"/>
  <c r="DL80" i="11"/>
  <c r="BS46" i="11"/>
  <c r="BS113" i="11" s="1"/>
  <c r="AI110" i="11"/>
  <c r="AI59" i="11"/>
  <c r="AI112" i="11" s="1"/>
  <c r="DK111" i="11"/>
  <c r="CT49" i="11"/>
  <c r="AR109" i="11"/>
  <c r="DX111" i="11"/>
  <c r="CW46" i="11"/>
  <c r="CF110" i="11"/>
  <c r="CF59" i="11"/>
  <c r="CF112" i="11" s="1"/>
  <c r="CD47" i="11"/>
  <c r="CU48" i="11"/>
  <c r="BT111" i="11"/>
  <c r="AU109" i="11"/>
  <c r="AU59" i="11"/>
  <c r="DD110" i="11"/>
  <c r="DD59" i="11"/>
  <c r="AK47" i="11"/>
  <c r="X46" i="11"/>
  <c r="X3" i="11"/>
  <c r="CR111" i="11"/>
  <c r="DI47" i="11"/>
  <c r="AK46" i="11"/>
  <c r="AK3" i="11"/>
  <c r="CF109" i="11"/>
  <c r="DX47" i="11"/>
  <c r="DO110" i="11"/>
  <c r="AX3" i="11"/>
  <c r="DP111" i="11"/>
  <c r="DP59" i="11"/>
  <c r="DP112" i="11" s="1"/>
  <c r="AH80" i="11"/>
  <c r="AH112" i="11" s="1"/>
  <c r="AJ46" i="11"/>
  <c r="AJ3" i="11"/>
  <c r="CE47" i="11"/>
  <c r="BW48" i="11"/>
  <c r="Y46" i="11"/>
  <c r="Y3" i="11"/>
  <c r="AH47" i="11"/>
  <c r="DI59" i="11"/>
  <c r="DI109" i="11"/>
  <c r="CG110" i="11"/>
  <c r="BQ47" i="11"/>
  <c r="BU111" i="11"/>
  <c r="CL109" i="11"/>
  <c r="CL59" i="11"/>
  <c r="DX110" i="11"/>
  <c r="BF48" i="11"/>
  <c r="BC80" i="11"/>
  <c r="BC112" i="11" s="1"/>
  <c r="AL47" i="11"/>
  <c r="BX46" i="11"/>
  <c r="AV111" i="11"/>
  <c r="DK48" i="11"/>
  <c r="AU3" i="11"/>
  <c r="DJ49" i="11"/>
  <c r="DS109" i="11"/>
  <c r="CF48" i="11"/>
  <c r="DL110" i="11"/>
  <c r="Z109" i="11"/>
  <c r="AY110" i="11"/>
  <c r="BV47" i="11"/>
  <c r="AW111" i="11"/>
  <c r="W109" i="11"/>
  <c r="DQ110" i="11"/>
  <c r="CI110" i="11"/>
  <c r="BZ80" i="11"/>
  <c r="BZ112" i="11" s="1"/>
  <c r="CT110" i="11"/>
  <c r="BV46" i="11"/>
  <c r="DF110" i="11"/>
  <c r="DF59" i="11"/>
  <c r="BG48" i="11"/>
  <c r="DV47" i="11"/>
  <c r="AT47" i="11"/>
  <c r="DW48" i="11"/>
  <c r="CI48" i="11"/>
  <c r="CK110" i="11"/>
  <c r="CJ80" i="11"/>
  <c r="CJ112" i="11" s="1"/>
  <c r="AA46" i="11"/>
  <c r="AA3" i="11"/>
  <c r="CX111" i="11"/>
  <c r="CS111" i="11"/>
  <c r="BL3" i="11"/>
  <c r="DQ49" i="11"/>
  <c r="BU59" i="11"/>
  <c r="BU112" i="11" s="1"/>
  <c r="CF111" i="11"/>
  <c r="CC47" i="11"/>
  <c r="CC48" i="11"/>
  <c r="BN111" i="11"/>
  <c r="BO109" i="11"/>
  <c r="CU111" i="11"/>
  <c r="CU115" i="11" s="1"/>
  <c r="AT80" i="11"/>
  <c r="AT112" i="11" s="1"/>
  <c r="BG110" i="11"/>
  <c r="CM48" i="11"/>
  <c r="BZ109" i="11"/>
  <c r="CN48" i="11"/>
  <c r="CF47" i="11"/>
  <c r="DT110" i="11"/>
  <c r="V3" i="11"/>
  <c r="CP80" i="11"/>
  <c r="CP112" i="11" s="1"/>
  <c r="BP111" i="11"/>
  <c r="BX49" i="11"/>
  <c r="CN80" i="11"/>
  <c r="BW46" i="11"/>
  <c r="BP3" i="11"/>
  <c r="BM47" i="11"/>
  <c r="BM3" i="11"/>
  <c r="DU48" i="11"/>
  <c r="DU115" i="11" s="1"/>
  <c r="DM80" i="11"/>
  <c r="DM112" i="11" s="1"/>
  <c r="CV111" i="11"/>
  <c r="AX48" i="11"/>
  <c r="AJ110" i="11"/>
  <c r="AJ59" i="11"/>
  <c r="AJ112" i="11" s="1"/>
  <c r="BQ59" i="11"/>
  <c r="DR109" i="11"/>
  <c r="BQ111" i="11"/>
  <c r="BN47" i="11"/>
  <c r="CM59" i="11"/>
  <c r="CM109" i="11"/>
  <c r="BI110" i="11"/>
  <c r="BS47" i="11"/>
  <c r="DM49" i="11"/>
  <c r="AQ47" i="11"/>
  <c r="AU48" i="11"/>
  <c r="CW111" i="11"/>
  <c r="CW115" i="11" s="1"/>
  <c r="N22" i="11"/>
  <c r="CU46" i="11"/>
  <c r="CU113" i="11" s="1"/>
  <c r="DK59" i="11"/>
  <c r="DK112" i="11" s="1"/>
  <c r="CQ49" i="11"/>
  <c r="CW48" i="11"/>
  <c r="AY3" i="11"/>
  <c r="BS111" i="11"/>
  <c r="BS115" i="11" s="1"/>
  <c r="DY111" i="11"/>
  <c r="DH109" i="11"/>
  <c r="DO80" i="11"/>
  <c r="DO112" i="11" s="1"/>
  <c r="X109" i="11"/>
  <c r="BQ110" i="11"/>
  <c r="CT46" i="11"/>
  <c r="DU110" i="11"/>
  <c r="AN110" i="11"/>
  <c r="BI48" i="11"/>
  <c r="AN47" i="11"/>
  <c r="AU47" i="11"/>
  <c r="DE48" i="11"/>
  <c r="AZ3" i="11"/>
  <c r="DT109" i="11"/>
  <c r="BV111" i="11"/>
  <c r="DQ111" i="11"/>
  <c r="DQ59" i="11"/>
  <c r="AH46" i="11"/>
  <c r="AH3" i="11"/>
  <c r="DK113" i="11" l="1"/>
  <c r="DK115" i="11"/>
  <c r="DK114" i="11"/>
  <c r="DP115" i="11"/>
  <c r="DP113" i="11"/>
  <c r="DP114" i="11"/>
  <c r="CF115" i="11"/>
  <c r="CF113" i="11"/>
  <c r="CF114" i="11"/>
  <c r="BU113" i="11"/>
  <c r="BU114" i="11"/>
  <c r="BU115" i="11"/>
  <c r="BW114" i="11"/>
  <c r="BW113" i="11"/>
  <c r="BW115" i="11"/>
  <c r="CD115" i="11"/>
  <c r="CD114" i="11"/>
  <c r="CD113" i="11"/>
  <c r="DV115" i="11"/>
  <c r="DV114" i="11"/>
  <c r="DV113" i="11"/>
  <c r="DA114" i="11"/>
  <c r="DA113" i="11"/>
  <c r="DA115" i="11"/>
  <c r="CA115" i="11"/>
  <c r="CA113" i="11"/>
  <c r="CA114" i="11"/>
  <c r="DG113" i="11"/>
  <c r="DG115" i="11"/>
  <c r="DG114" i="11"/>
  <c r="DJ113" i="11"/>
  <c r="DJ115" i="11"/>
  <c r="DJ114" i="11"/>
  <c r="CL114" i="11"/>
  <c r="CL113" i="11"/>
  <c r="CL115" i="11"/>
  <c r="CQ112" i="11"/>
  <c r="DE113" i="11"/>
  <c r="DE115" i="11"/>
  <c r="DE114" i="11"/>
  <c r="BZ113" i="11"/>
  <c r="BZ115" i="11"/>
  <c r="BZ114" i="11"/>
  <c r="O22" i="11"/>
  <c r="DC115" i="11"/>
  <c r="DC113" i="11"/>
  <c r="DC114" i="11"/>
  <c r="DI114" i="11"/>
  <c r="DI113" i="11"/>
  <c r="DI115" i="11"/>
  <c r="CP114" i="11"/>
  <c r="CP113" i="11"/>
  <c r="CP115" i="11"/>
  <c r="BP112" i="11"/>
  <c r="AT23" i="11"/>
  <c r="AS46" i="11"/>
  <c r="CH113" i="11"/>
  <c r="CH115" i="11"/>
  <c r="CH114" i="11"/>
  <c r="DS112" i="11"/>
  <c r="DF112" i="11"/>
  <c r="CT115" i="11"/>
  <c r="CT114" i="11"/>
  <c r="CT113" i="11"/>
  <c r="DD114" i="11"/>
  <c r="DD113" i="11"/>
  <c r="DD115" i="11"/>
  <c r="DM113" i="11"/>
  <c r="DM114" i="11"/>
  <c r="DM115" i="11"/>
  <c r="M26" i="11"/>
  <c r="L21" i="11"/>
  <c r="L49" i="11" s="1"/>
  <c r="BM112" i="11"/>
  <c r="BV114" i="11"/>
  <c r="BV113" i="11"/>
  <c r="BV115" i="11"/>
  <c r="CM114" i="11"/>
  <c r="CM113" i="11"/>
  <c r="CM115" i="11"/>
  <c r="DL112" i="11"/>
  <c r="BX112" i="11"/>
  <c r="DR114" i="11"/>
  <c r="DR115" i="11"/>
  <c r="DR113" i="11"/>
  <c r="CS114" i="11"/>
  <c r="CS115" i="11"/>
  <c r="CS113" i="11"/>
  <c r="CJ115" i="11"/>
  <c r="CJ114" i="11"/>
  <c r="CJ113" i="11"/>
  <c r="DX115" i="11"/>
  <c r="DX114" i="11"/>
  <c r="DX113" i="11"/>
  <c r="DW115" i="11"/>
  <c r="DW114" i="11"/>
  <c r="DW113" i="11"/>
  <c r="BT113" i="11"/>
  <c r="BT115" i="11"/>
  <c r="BT114" i="11"/>
  <c r="CR114" i="11"/>
  <c r="CR115" i="11"/>
  <c r="CR113" i="11"/>
  <c r="K114" i="11"/>
  <c r="K113" i="11"/>
  <c r="K115" i="11"/>
  <c r="CO114" i="11"/>
  <c r="CO113" i="11"/>
  <c r="CO115" i="11"/>
  <c r="DB113" i="11"/>
  <c r="DB114" i="11"/>
  <c r="DB115" i="11"/>
  <c r="DY115" i="11"/>
  <c r="DY113" i="11"/>
  <c r="DY114" i="11"/>
  <c r="CV113" i="11"/>
  <c r="CV114" i="11"/>
  <c r="CV115" i="11"/>
  <c r="CN112" i="11"/>
  <c r="DQ112" i="11"/>
  <c r="DH113" i="11"/>
  <c r="DH115" i="11"/>
  <c r="DH114" i="11"/>
  <c r="CI112" i="11"/>
  <c r="CZ115" i="11"/>
  <c r="CZ114" i="11"/>
  <c r="CZ113" i="11"/>
  <c r="DO115" i="11"/>
  <c r="DO113" i="11"/>
  <c r="DO114" i="11"/>
  <c r="DT115" i="11"/>
  <c r="DT113" i="11"/>
  <c r="DT114" i="11"/>
  <c r="BJ112" i="11"/>
  <c r="CI115" i="11" l="1"/>
  <c r="CI114" i="11"/>
  <c r="CI113" i="11"/>
  <c r="L114" i="11"/>
  <c r="L115" i="11"/>
  <c r="L113" i="11"/>
  <c r="N26" i="11"/>
  <c r="M21" i="11"/>
  <c r="M49" i="11" s="1"/>
  <c r="DS115" i="11"/>
  <c r="DS114" i="11"/>
  <c r="DS113" i="11"/>
  <c r="P22" i="11"/>
  <c r="BX115" i="11"/>
  <c r="BX113" i="11"/>
  <c r="BX114" i="11"/>
  <c r="CQ114" i="11"/>
  <c r="CQ113" i="11"/>
  <c r="CQ115" i="11"/>
  <c r="CN115" i="11"/>
  <c r="CN114" i="11"/>
  <c r="CN113" i="11"/>
  <c r="AU23" i="11"/>
  <c r="AT46" i="11"/>
  <c r="DF114" i="11"/>
  <c r="DF113" i="11"/>
  <c r="DF115" i="11"/>
  <c r="DL113" i="11"/>
  <c r="DL114" i="11"/>
  <c r="DL115" i="11"/>
  <c r="DQ115" i="11"/>
  <c r="DQ113" i="11"/>
  <c r="DQ114" i="11"/>
  <c r="Q22" i="11" l="1"/>
  <c r="M114" i="11"/>
  <c r="M113" i="11"/>
  <c r="M115" i="11"/>
  <c r="O26" i="11"/>
  <c r="N21" i="11"/>
  <c r="N49" i="11" s="1"/>
  <c r="AV23" i="11"/>
  <c r="AU46" i="11"/>
  <c r="AW23" i="11" l="1"/>
  <c r="AV46" i="11"/>
  <c r="N115" i="11"/>
  <c r="N113" i="11"/>
  <c r="N114" i="11"/>
  <c r="P26" i="11"/>
  <c r="O21" i="11"/>
  <c r="O49" i="11" s="1"/>
  <c r="R22" i="11"/>
  <c r="O115" i="11" l="1"/>
  <c r="O113" i="11"/>
  <c r="O114" i="11"/>
  <c r="AX23" i="11"/>
  <c r="AW46" i="11"/>
  <c r="S22" i="11"/>
  <c r="Q26" i="11"/>
  <c r="P21" i="11"/>
  <c r="P49" i="11" s="1"/>
  <c r="P115" i="11" l="1"/>
  <c r="P114" i="11"/>
  <c r="P113" i="11"/>
  <c r="R26" i="11"/>
  <c r="R21" i="11" s="1"/>
  <c r="R49" i="11" s="1"/>
  <c r="Q21" i="11"/>
  <c r="Q49" i="11" s="1"/>
  <c r="S21" i="11"/>
  <c r="S49" i="11" s="1"/>
  <c r="T22" i="11"/>
  <c r="AY23" i="11"/>
  <c r="AX46" i="11"/>
  <c r="AZ23" i="11" l="1"/>
  <c r="AY46" i="11"/>
  <c r="U22" i="11"/>
  <c r="T21" i="11"/>
  <c r="T49" i="11" s="1"/>
  <c r="S115" i="11"/>
  <c r="S113" i="11"/>
  <c r="S114" i="11"/>
  <c r="Q115" i="11"/>
  <c r="Q114" i="11"/>
  <c r="Q113" i="11"/>
  <c r="R115" i="11"/>
  <c r="R113" i="11"/>
  <c r="R114" i="11"/>
  <c r="V22" i="11" l="1"/>
  <c r="U21" i="11"/>
  <c r="U49" i="11" s="1"/>
  <c r="BA23" i="11"/>
  <c r="AZ46" i="11"/>
  <c r="T113" i="11"/>
  <c r="T115" i="11"/>
  <c r="T114" i="11"/>
  <c r="U114" i="11" l="1"/>
  <c r="U115" i="11"/>
  <c r="U113" i="11"/>
  <c r="BB23" i="11"/>
  <c r="BA46" i="11"/>
  <c r="W22" i="11"/>
  <c r="V21" i="11"/>
  <c r="V49" i="11" s="1"/>
  <c r="V114" i="11" l="1"/>
  <c r="V115" i="11"/>
  <c r="V113" i="11"/>
  <c r="X22" i="11"/>
  <c r="W21" i="11"/>
  <c r="W49" i="11" s="1"/>
  <c r="BC23" i="11"/>
  <c r="BB46" i="11"/>
  <c r="BD23" i="11" l="1"/>
  <c r="BC46" i="11"/>
  <c r="W114" i="11"/>
  <c r="W115" i="11"/>
  <c r="W113" i="11"/>
  <c r="Y22" i="11"/>
  <c r="X21" i="11"/>
  <c r="X49" i="11" s="1"/>
  <c r="BE23" i="11" l="1"/>
  <c r="BD46" i="11"/>
  <c r="X114" i="11"/>
  <c r="X113" i="11"/>
  <c r="X115" i="11"/>
  <c r="Y21" i="11"/>
  <c r="Y49" i="11" s="1"/>
  <c r="Z22" i="11"/>
  <c r="BF23" i="11" l="1"/>
  <c r="BE46" i="11"/>
  <c r="AA22" i="11"/>
  <c r="Z21" i="11"/>
  <c r="Z49" i="11" s="1"/>
  <c r="Y114" i="11"/>
  <c r="Y113" i="11"/>
  <c r="Y115" i="11"/>
  <c r="AB22" i="11" l="1"/>
  <c r="AA21" i="11"/>
  <c r="AA49" i="11" s="1"/>
  <c r="BG23" i="11"/>
  <c r="BF46" i="11"/>
  <c r="Z115" i="11"/>
  <c r="Z114" i="11"/>
  <c r="Z113" i="11"/>
  <c r="BH23" i="11" l="1"/>
  <c r="BG46" i="11"/>
  <c r="AC22" i="11"/>
  <c r="AB21" i="11"/>
  <c r="AB49" i="11" s="1"/>
  <c r="AA113" i="11"/>
  <c r="AA114" i="11"/>
  <c r="AA115" i="11"/>
  <c r="BI23" i="11" l="1"/>
  <c r="BH46" i="11"/>
  <c r="AC21" i="11"/>
  <c r="AC49" i="11" s="1"/>
  <c r="AD22" i="11"/>
  <c r="AB114" i="11"/>
  <c r="AB115" i="11"/>
  <c r="AB113" i="11"/>
  <c r="AC114" i="11" l="1"/>
  <c r="AC115" i="11"/>
  <c r="AC113" i="11"/>
  <c r="BJ23" i="11"/>
  <c r="BI46" i="11"/>
  <c r="AE22" i="11"/>
  <c r="AD21" i="11"/>
  <c r="AD49" i="11" s="1"/>
  <c r="AE21" i="11" l="1"/>
  <c r="AE49" i="11" s="1"/>
  <c r="AF22" i="11"/>
  <c r="AD114" i="11"/>
  <c r="AD115" i="11"/>
  <c r="AD113" i="11"/>
  <c r="BK23" i="11"/>
  <c r="BJ46" i="11"/>
  <c r="AE115" i="11" l="1"/>
  <c r="AE113" i="11"/>
  <c r="AE114" i="11"/>
  <c r="BL23" i="11"/>
  <c r="BK46" i="11"/>
  <c r="AF21" i="11"/>
  <c r="AF49" i="11" s="1"/>
  <c r="AG22" i="11"/>
  <c r="AF115" i="11" l="1"/>
  <c r="AF114" i="11"/>
  <c r="AF113" i="11"/>
  <c r="AH22" i="11"/>
  <c r="AG21" i="11"/>
  <c r="AG49" i="11" s="1"/>
  <c r="BM23" i="11"/>
  <c r="BL46" i="11"/>
  <c r="BN23" i="11" l="1"/>
  <c r="BM46" i="11"/>
  <c r="AG114" i="11"/>
  <c r="AG115" i="11"/>
  <c r="AG113" i="11"/>
  <c r="AI22" i="11"/>
  <c r="AH21" i="11"/>
  <c r="AH49" i="11" s="1"/>
  <c r="BO23" i="11" l="1"/>
  <c r="BN46" i="11"/>
  <c r="AJ22" i="11"/>
  <c r="AI21" i="11"/>
  <c r="AI49" i="11" s="1"/>
  <c r="AH113" i="11"/>
  <c r="AH114" i="11"/>
  <c r="AH115" i="11"/>
  <c r="BP23" i="11" l="1"/>
  <c r="BO46" i="11"/>
  <c r="AJ21" i="11"/>
  <c r="AJ49" i="11" s="1"/>
  <c r="AK22" i="11"/>
  <c r="AI113" i="11"/>
  <c r="AI115" i="11"/>
  <c r="AI114" i="11"/>
  <c r="AJ113" i="11" l="1"/>
  <c r="AJ114" i="11"/>
  <c r="AJ115" i="11"/>
  <c r="BQ23" i="11"/>
  <c r="BP46" i="11"/>
  <c r="AK21" i="11"/>
  <c r="AK49" i="11" s="1"/>
  <c r="AL22" i="11"/>
  <c r="AK113" i="11" l="1"/>
  <c r="AK114" i="11"/>
  <c r="AK115" i="11"/>
  <c r="AM22" i="11"/>
  <c r="AL21" i="11"/>
  <c r="AL49" i="11" s="1"/>
  <c r="BQ21" i="11"/>
  <c r="BQ49" i="11" s="1"/>
  <c r="BQ46" i="11"/>
  <c r="AL115" i="11" l="1"/>
  <c r="AL113" i="11"/>
  <c r="AL114" i="11"/>
  <c r="BQ114" i="11"/>
  <c r="BQ115" i="11"/>
  <c r="BQ113" i="11"/>
  <c r="AM21" i="11"/>
  <c r="AM49" i="11" s="1"/>
  <c r="AN22" i="11"/>
  <c r="AN21" i="11" l="1"/>
  <c r="AN49" i="11" s="1"/>
  <c r="AO22" i="11"/>
  <c r="AM114" i="11"/>
  <c r="AM113" i="11"/>
  <c r="AM115" i="11"/>
  <c r="AO21" i="11" l="1"/>
  <c r="AO49" i="11" s="1"/>
  <c r="AP22" i="11"/>
  <c r="AN114" i="11"/>
  <c r="AN113" i="11"/>
  <c r="AN115" i="11"/>
  <c r="AQ22" i="11" l="1"/>
  <c r="AP21" i="11"/>
  <c r="AP49" i="11" s="1"/>
  <c r="AO115" i="11"/>
  <c r="AO113" i="11"/>
  <c r="AO114" i="11"/>
  <c r="AP113" i="11" l="1"/>
  <c r="AP114" i="11"/>
  <c r="AP115" i="11"/>
  <c r="AQ21" i="11"/>
  <c r="AQ49" i="11" s="1"/>
  <c r="AR22" i="11"/>
  <c r="AR21" i="11" l="1"/>
  <c r="AR49" i="11" s="1"/>
  <c r="AS22" i="11"/>
  <c r="AQ115" i="11"/>
  <c r="AQ114" i="11"/>
  <c r="AQ113" i="11"/>
  <c r="AS21" i="11" l="1"/>
  <c r="AS49" i="11" s="1"/>
  <c r="AT22" i="11"/>
  <c r="AR113" i="11"/>
  <c r="AR114" i="11"/>
  <c r="AR115" i="11"/>
  <c r="AT21" i="11" l="1"/>
  <c r="AT49" i="11" s="1"/>
  <c r="AU22" i="11"/>
  <c r="AS113" i="11"/>
  <c r="AS115" i="11"/>
  <c r="AS114" i="11"/>
  <c r="AV22" i="11" l="1"/>
  <c r="AU21" i="11"/>
  <c r="AU49" i="11" s="1"/>
  <c r="AT113" i="11"/>
  <c r="AT115" i="11"/>
  <c r="AT114" i="11"/>
  <c r="AU113" i="11" l="1"/>
  <c r="AU115" i="11"/>
  <c r="AU114" i="11"/>
  <c r="AV21" i="11"/>
  <c r="AV49" i="11" s="1"/>
  <c r="AW22" i="11"/>
  <c r="AX22" i="11" l="1"/>
  <c r="AW21" i="11"/>
  <c r="AW49" i="11" s="1"/>
  <c r="AV115" i="11"/>
  <c r="AV113" i="11"/>
  <c r="AV114" i="11"/>
  <c r="AW113" i="11" l="1"/>
  <c r="AW114" i="11"/>
  <c r="AW115" i="11"/>
  <c r="AY22" i="11"/>
  <c r="AX21" i="11"/>
  <c r="AX49" i="11" s="1"/>
  <c r="AX115" i="11" l="1"/>
  <c r="AX113" i="11"/>
  <c r="AX114" i="11"/>
  <c r="AZ22" i="11"/>
  <c r="AY21" i="11"/>
  <c r="AY49" i="11" s="1"/>
  <c r="AY115" i="11" l="1"/>
  <c r="AY113" i="11"/>
  <c r="AY114" i="11"/>
  <c r="BA22" i="11"/>
  <c r="AZ21" i="11"/>
  <c r="AZ49" i="11" s="1"/>
  <c r="AZ114" i="11" l="1"/>
  <c r="AZ115" i="11"/>
  <c r="AZ113" i="11"/>
  <c r="BB22" i="11"/>
  <c r="BA21" i="11"/>
  <c r="BA49" i="11" s="1"/>
  <c r="BA114" i="11" l="1"/>
  <c r="BA115" i="11"/>
  <c r="BA113" i="11"/>
  <c r="BB21" i="11"/>
  <c r="BB49" i="11" s="1"/>
  <c r="BC22" i="11"/>
  <c r="BC21" i="11" l="1"/>
  <c r="BC49" i="11" s="1"/>
  <c r="BD22" i="11"/>
  <c r="BB114" i="11"/>
  <c r="BB115" i="11"/>
  <c r="BB113" i="11"/>
  <c r="BC113" i="11" l="1"/>
  <c r="BC115" i="11"/>
  <c r="BC114" i="11"/>
  <c r="BE22" i="11"/>
  <c r="BD21" i="11"/>
  <c r="BD49" i="11" s="1"/>
  <c r="BD113" i="11" l="1"/>
  <c r="BD114" i="11"/>
  <c r="BD115" i="11"/>
  <c r="BF22" i="11"/>
  <c r="BE21" i="11"/>
  <c r="BE49" i="11" s="1"/>
  <c r="BE114" i="11" l="1"/>
  <c r="BE113" i="11"/>
  <c r="BE115" i="11"/>
  <c r="BG22" i="11"/>
  <c r="BF21" i="11"/>
  <c r="BF49" i="11" s="1"/>
  <c r="BF115" i="11" l="1"/>
  <c r="BF113" i="11"/>
  <c r="BF114" i="11"/>
  <c r="BH22" i="11"/>
  <c r="BG21" i="11"/>
  <c r="BG49" i="11" s="1"/>
  <c r="BG115" i="11" l="1"/>
  <c r="BG113" i="11"/>
  <c r="BG114" i="11"/>
  <c r="BI22" i="11"/>
  <c r="BH21" i="11"/>
  <c r="BH49" i="11" s="1"/>
  <c r="BH113" i="11" l="1"/>
  <c r="BH115" i="11"/>
  <c r="BH114" i="11"/>
  <c r="BJ22" i="11"/>
  <c r="BI21" i="11"/>
  <c r="BI49" i="11" s="1"/>
  <c r="BI115" i="11" l="1"/>
  <c r="BI113" i="11"/>
  <c r="BI114" i="11"/>
  <c r="BK22" i="11"/>
  <c r="BJ21" i="11"/>
  <c r="BJ49" i="11" s="1"/>
  <c r="BJ113" i="11" l="1"/>
  <c r="BJ115" i="11"/>
  <c r="BJ114" i="11"/>
  <c r="BK21" i="11"/>
  <c r="BK49" i="11" s="1"/>
  <c r="BL22" i="11"/>
  <c r="BL21" i="11" l="1"/>
  <c r="BL49" i="11" s="1"/>
  <c r="BM22" i="11"/>
  <c r="BK115" i="11"/>
  <c r="BK113" i="11"/>
  <c r="BK114" i="11"/>
  <c r="BN22" i="11" l="1"/>
  <c r="BM21" i="11"/>
  <c r="BM49" i="11" s="1"/>
  <c r="BL113" i="11"/>
  <c r="BL114" i="11"/>
  <c r="BL115" i="11"/>
  <c r="BM114" i="11" l="1"/>
  <c r="BM115" i="11"/>
  <c r="BM113" i="11"/>
  <c r="BN21" i="11"/>
  <c r="BN49" i="11" s="1"/>
  <c r="BO22" i="11"/>
  <c r="BO21" i="11" l="1"/>
  <c r="BO49" i="11" s="1"/>
  <c r="BP22" i="11"/>
  <c r="BP21" i="11" s="1"/>
  <c r="BP49" i="11" s="1"/>
  <c r="BN113" i="11"/>
  <c r="BN115" i="11"/>
  <c r="BN114" i="11"/>
  <c r="BP113" i="11" l="1"/>
  <c r="BP114" i="11"/>
  <c r="BP115" i="11"/>
  <c r="BO114" i="11"/>
  <c r="BO113" i="11"/>
  <c r="BO115" i="11"/>
  <c r="BR6" i="10" l="1"/>
  <c r="BS6" i="10"/>
  <c r="BT6" i="10"/>
  <c r="BU6" i="10"/>
  <c r="BV6" i="10"/>
  <c r="BW6" i="10"/>
  <c r="BX6" i="10"/>
  <c r="BY6" i="10"/>
  <c r="BZ6" i="10"/>
  <c r="CA6" i="10"/>
  <c r="CB6" i="10"/>
  <c r="CC6" i="10"/>
  <c r="CD6" i="10"/>
  <c r="CE6" i="10"/>
  <c r="CF6" i="10"/>
  <c r="CG6" i="10"/>
  <c r="CH6" i="10"/>
  <c r="CI6" i="10"/>
  <c r="CJ6" i="10"/>
  <c r="CK6" i="10"/>
  <c r="CL6" i="10"/>
  <c r="CM6" i="10"/>
  <c r="CN6" i="10"/>
  <c r="CO6" i="10"/>
  <c r="CP6" i="10"/>
  <c r="CQ6" i="10"/>
  <c r="CR6" i="10"/>
  <c r="CS6" i="10"/>
  <c r="CT6" i="10"/>
  <c r="CU6" i="10"/>
  <c r="CV6" i="10"/>
  <c r="CW6" i="10"/>
  <c r="CX6" i="10"/>
  <c r="CY6" i="10"/>
  <c r="CZ6" i="10"/>
  <c r="DA6" i="10"/>
  <c r="DB6" i="10"/>
  <c r="DC6" i="10"/>
  <c r="DD6" i="10"/>
  <c r="DE6" i="10"/>
  <c r="DF6" i="10"/>
  <c r="DG6" i="10"/>
  <c r="DH6" i="10"/>
  <c r="DI6" i="10"/>
  <c r="DJ6" i="10"/>
  <c r="DK6" i="10"/>
  <c r="DL6" i="10"/>
  <c r="DM6" i="10"/>
  <c r="DN6" i="10"/>
  <c r="DO6" i="10"/>
  <c r="DP6" i="10"/>
  <c r="DQ6" i="10"/>
  <c r="DR6" i="10"/>
  <c r="DS6" i="10"/>
  <c r="DT6" i="10"/>
  <c r="DU6" i="10"/>
  <c r="DV6" i="10"/>
  <c r="DW6" i="10"/>
  <c r="DX6" i="10"/>
  <c r="DY6" i="10"/>
  <c r="BR5" i="10"/>
  <c r="BS5" i="10"/>
  <c r="BT5" i="10"/>
  <c r="BU5" i="10"/>
  <c r="BV5" i="10"/>
  <c r="BW5" i="10"/>
  <c r="BX5" i="10"/>
  <c r="BY5" i="10"/>
  <c r="BZ5" i="10"/>
  <c r="CA5" i="10"/>
  <c r="CB5" i="10"/>
  <c r="CC5" i="10"/>
  <c r="CD5" i="10"/>
  <c r="CE5" i="10"/>
  <c r="CF5" i="10"/>
  <c r="CG5" i="10"/>
  <c r="CH5" i="10"/>
  <c r="CI5" i="10"/>
  <c r="CJ5" i="10"/>
  <c r="CK5" i="10"/>
  <c r="CL5" i="10"/>
  <c r="CM5" i="10"/>
  <c r="CN5" i="10"/>
  <c r="CO5" i="10"/>
  <c r="CP5" i="10"/>
  <c r="CQ5" i="10"/>
  <c r="CR5" i="10"/>
  <c r="CS5" i="10"/>
  <c r="CT5" i="10"/>
  <c r="CU5" i="10"/>
  <c r="CV5" i="10"/>
  <c r="CW5" i="10"/>
  <c r="CX5" i="10"/>
  <c r="CY5" i="10"/>
  <c r="CZ5" i="10"/>
  <c r="DA5" i="10"/>
  <c r="DB5" i="10"/>
  <c r="DC5" i="10"/>
  <c r="DD5" i="10"/>
  <c r="DE5" i="10"/>
  <c r="DF5" i="10"/>
  <c r="DG5" i="10"/>
  <c r="DH5" i="10"/>
  <c r="DI5" i="10"/>
  <c r="DJ5" i="10"/>
  <c r="DK5" i="10"/>
  <c r="DL5" i="10"/>
  <c r="DM5" i="10"/>
  <c r="DN5" i="10"/>
  <c r="DO5" i="10"/>
  <c r="DP5" i="10"/>
  <c r="DQ5" i="10"/>
  <c r="DR5" i="10"/>
  <c r="DS5" i="10"/>
  <c r="DT5" i="10"/>
  <c r="DU5" i="10"/>
  <c r="DV5" i="10"/>
  <c r="DW5" i="10"/>
  <c r="DX5" i="10"/>
  <c r="DY5" i="10"/>
  <c r="P3" i="5"/>
  <c r="N3" i="5"/>
  <c r="M3" i="5"/>
  <c r="J3" i="5"/>
  <c r="K3" i="5"/>
  <c r="H3" i="5"/>
  <c r="G3" i="5"/>
  <c r="E3" i="5"/>
  <c r="H113" i="10"/>
  <c r="G113" i="10"/>
  <c r="DY105" i="10"/>
  <c r="DX105" i="10"/>
  <c r="DW105" i="10"/>
  <c r="DV105" i="10"/>
  <c r="DU105" i="10"/>
  <c r="DT105" i="10"/>
  <c r="DS105" i="10"/>
  <c r="DR105" i="10"/>
  <c r="DQ105" i="10"/>
  <c r="DP105" i="10"/>
  <c r="DO105" i="10"/>
  <c r="DN105" i="10"/>
  <c r="DM105" i="10"/>
  <c r="DL105" i="10"/>
  <c r="DK105" i="10"/>
  <c r="DJ105" i="10"/>
  <c r="DI105" i="10"/>
  <c r="DH105" i="10"/>
  <c r="DG105" i="10"/>
  <c r="DF105" i="10"/>
  <c r="DE105" i="10"/>
  <c r="DD105" i="10"/>
  <c r="DC105" i="10"/>
  <c r="DB105" i="10"/>
  <c r="DA105" i="10"/>
  <c r="CZ105" i="10"/>
  <c r="CY105" i="10"/>
  <c r="CX105" i="10"/>
  <c r="CW105" i="10"/>
  <c r="CV105" i="10"/>
  <c r="CU105" i="10"/>
  <c r="CT105" i="10"/>
  <c r="CS105" i="10"/>
  <c r="CR105" i="10"/>
  <c r="CQ105" i="10"/>
  <c r="CP105" i="10"/>
  <c r="CO105" i="10"/>
  <c r="CN105" i="10"/>
  <c r="CM105" i="10"/>
  <c r="CL105" i="10"/>
  <c r="CK105" i="10"/>
  <c r="CJ105" i="10"/>
  <c r="CI105" i="10"/>
  <c r="CH105" i="10"/>
  <c r="CG105" i="10"/>
  <c r="CF105" i="10"/>
  <c r="CE105" i="10"/>
  <c r="CD105" i="10"/>
  <c r="CC105" i="10"/>
  <c r="CB105" i="10"/>
  <c r="CA105" i="10"/>
  <c r="BZ105" i="10"/>
  <c r="BY105" i="10"/>
  <c r="BX105" i="10"/>
  <c r="BW105" i="10"/>
  <c r="BV105" i="10"/>
  <c r="BU105" i="10"/>
  <c r="BT105" i="10"/>
  <c r="BS105" i="10"/>
  <c r="BR105" i="10"/>
  <c r="BQ105" i="10"/>
  <c r="BP105" i="10"/>
  <c r="BO105" i="10"/>
  <c r="BN105" i="10"/>
  <c r="BM105" i="10"/>
  <c r="BL105" i="10"/>
  <c r="BK105" i="10"/>
  <c r="BJ105" i="10"/>
  <c r="BI105" i="10"/>
  <c r="BH105" i="10"/>
  <c r="BG105" i="10"/>
  <c r="BF105" i="10"/>
  <c r="BE105" i="10"/>
  <c r="BD105" i="10"/>
  <c r="BC105" i="10"/>
  <c r="BB105" i="10"/>
  <c r="BA105" i="10"/>
  <c r="AZ105" i="10"/>
  <c r="AY105" i="10"/>
  <c r="AX105" i="10"/>
  <c r="AW105" i="10"/>
  <c r="AV105" i="10"/>
  <c r="AU105" i="10"/>
  <c r="AT105" i="10"/>
  <c r="AS105" i="10"/>
  <c r="AR105" i="10"/>
  <c r="AQ105" i="10"/>
  <c r="AP105" i="10"/>
  <c r="AO105" i="10"/>
  <c r="AN105" i="10"/>
  <c r="AM105" i="10"/>
  <c r="AL105" i="10"/>
  <c r="AK105" i="10"/>
  <c r="AJ105" i="10"/>
  <c r="AI105" i="10"/>
  <c r="AH105" i="10"/>
  <c r="AG105" i="10"/>
  <c r="AF105" i="10"/>
  <c r="AE105" i="10"/>
  <c r="AD105" i="10"/>
  <c r="AC105" i="10"/>
  <c r="AB105" i="10"/>
  <c r="AA105" i="10"/>
  <c r="Z105" i="10"/>
  <c r="Y105" i="10"/>
  <c r="X105" i="10"/>
  <c r="W105" i="10"/>
  <c r="V105" i="10"/>
  <c r="U105" i="10"/>
  <c r="T105" i="10"/>
  <c r="S105" i="10"/>
  <c r="R105" i="10"/>
  <c r="Q105" i="10"/>
  <c r="P105" i="10"/>
  <c r="O105" i="10"/>
  <c r="N105" i="10"/>
  <c r="M105" i="10"/>
  <c r="L105" i="10"/>
  <c r="K105" i="10"/>
  <c r="J105" i="10"/>
  <c r="DY101" i="10"/>
  <c r="DX101" i="10"/>
  <c r="DW101" i="10"/>
  <c r="DV101" i="10"/>
  <c r="DU101" i="10"/>
  <c r="DT101" i="10"/>
  <c r="DS101" i="10"/>
  <c r="DR101" i="10"/>
  <c r="DQ101" i="10"/>
  <c r="DP101" i="10"/>
  <c r="DO101" i="10"/>
  <c r="DN101" i="10"/>
  <c r="DM101" i="10"/>
  <c r="DL101" i="10"/>
  <c r="DK101" i="10"/>
  <c r="DJ101" i="10"/>
  <c r="DI101" i="10"/>
  <c r="DH101" i="10"/>
  <c r="DG101" i="10"/>
  <c r="DF101" i="10"/>
  <c r="DE101" i="10"/>
  <c r="DD101" i="10"/>
  <c r="DC101" i="10"/>
  <c r="DB101" i="10"/>
  <c r="DA101" i="10"/>
  <c r="CZ101" i="10"/>
  <c r="CY101" i="10"/>
  <c r="CX101" i="10"/>
  <c r="CW101" i="10"/>
  <c r="CV101" i="10"/>
  <c r="CU101" i="10"/>
  <c r="CT101" i="10"/>
  <c r="CS101" i="10"/>
  <c r="CR101" i="10"/>
  <c r="CQ101" i="10"/>
  <c r="CP101" i="10"/>
  <c r="CO101" i="10"/>
  <c r="CN101" i="10"/>
  <c r="CM101" i="10"/>
  <c r="CL101" i="10"/>
  <c r="CK101" i="10"/>
  <c r="CJ101" i="10"/>
  <c r="CI101" i="10"/>
  <c r="CH101" i="10"/>
  <c r="CG101" i="10"/>
  <c r="CF101" i="10"/>
  <c r="CE101" i="10"/>
  <c r="CD101" i="10"/>
  <c r="CC101" i="10"/>
  <c r="CB101" i="10"/>
  <c r="CA101" i="10"/>
  <c r="BZ101" i="10"/>
  <c r="BY101" i="10"/>
  <c r="BX101" i="10"/>
  <c r="BW101" i="10"/>
  <c r="BV101" i="10"/>
  <c r="BU101" i="10"/>
  <c r="BT101" i="10"/>
  <c r="BS101" i="10"/>
  <c r="BR101" i="10"/>
  <c r="BQ101" i="10"/>
  <c r="BP101" i="10"/>
  <c r="BO101" i="10"/>
  <c r="BN101" i="10"/>
  <c r="BM101" i="10"/>
  <c r="BL101" i="10"/>
  <c r="BK101" i="10"/>
  <c r="BJ101" i="10"/>
  <c r="BI101" i="10"/>
  <c r="BH101" i="10"/>
  <c r="BG101" i="10"/>
  <c r="BF101" i="10"/>
  <c r="BE101" i="10"/>
  <c r="BD101" i="10"/>
  <c r="BC101" i="10"/>
  <c r="BB101" i="10"/>
  <c r="BA101" i="10"/>
  <c r="AZ101" i="10"/>
  <c r="AY101" i="10"/>
  <c r="AX101" i="10"/>
  <c r="AW101" i="10"/>
  <c r="AV101" i="10"/>
  <c r="AU101" i="10"/>
  <c r="AT101" i="10"/>
  <c r="AS101" i="10"/>
  <c r="AS104" i="10" s="1"/>
  <c r="AR101" i="10"/>
  <c r="AQ101" i="10"/>
  <c r="AP101" i="10"/>
  <c r="AO101" i="10"/>
  <c r="AN101" i="10"/>
  <c r="AM101" i="10"/>
  <c r="AL101" i="10"/>
  <c r="AK101" i="10"/>
  <c r="AJ101" i="10"/>
  <c r="AI101" i="10"/>
  <c r="AH101" i="10"/>
  <c r="AG101" i="10"/>
  <c r="AG103" i="10" s="1"/>
  <c r="AF101" i="10"/>
  <c r="AE101" i="10"/>
  <c r="AD101" i="10"/>
  <c r="AC101" i="10"/>
  <c r="AB101" i="10"/>
  <c r="AA101" i="10"/>
  <c r="Z101" i="10"/>
  <c r="Y101" i="10"/>
  <c r="X101" i="10"/>
  <c r="W101" i="10"/>
  <c r="V101" i="10"/>
  <c r="U101" i="10"/>
  <c r="U102" i="10" s="1"/>
  <c r="T101" i="10"/>
  <c r="S101" i="10"/>
  <c r="R101" i="10"/>
  <c r="Q101" i="10"/>
  <c r="P101" i="10"/>
  <c r="O101" i="10"/>
  <c r="N101" i="10"/>
  <c r="M101" i="10"/>
  <c r="L101" i="10"/>
  <c r="K101" i="10"/>
  <c r="J101" i="10"/>
  <c r="DY97" i="10"/>
  <c r="DX97" i="10"/>
  <c r="DW97" i="10"/>
  <c r="DV97" i="10"/>
  <c r="DU97" i="10"/>
  <c r="DT97" i="10"/>
  <c r="DS97" i="10"/>
  <c r="DR97" i="10"/>
  <c r="DQ97" i="10"/>
  <c r="DP97" i="10"/>
  <c r="DO97" i="10"/>
  <c r="DN97" i="10"/>
  <c r="DM97" i="10"/>
  <c r="DL97" i="10"/>
  <c r="DK97" i="10"/>
  <c r="DJ97" i="10"/>
  <c r="DI97" i="10"/>
  <c r="DH97" i="10"/>
  <c r="DG97" i="10"/>
  <c r="DF97" i="10"/>
  <c r="DE97" i="10"/>
  <c r="DD97" i="10"/>
  <c r="DC97" i="10"/>
  <c r="DB97" i="10"/>
  <c r="DA97" i="10"/>
  <c r="CZ97" i="10"/>
  <c r="CY97" i="10"/>
  <c r="CX97" i="10"/>
  <c r="CW97" i="10"/>
  <c r="CV97" i="10"/>
  <c r="CU97" i="10"/>
  <c r="CT97" i="10"/>
  <c r="CS97" i="10"/>
  <c r="CR97" i="10"/>
  <c r="CQ97" i="10"/>
  <c r="CP97" i="10"/>
  <c r="CO97" i="10"/>
  <c r="CN97" i="10"/>
  <c r="CM97" i="10"/>
  <c r="CL97" i="10"/>
  <c r="CK97" i="10"/>
  <c r="CJ97" i="10"/>
  <c r="CI97" i="10"/>
  <c r="CH97" i="10"/>
  <c r="CG97" i="10"/>
  <c r="CF97" i="10"/>
  <c r="CE97" i="10"/>
  <c r="CD97" i="10"/>
  <c r="CC97" i="10"/>
  <c r="CB97" i="10"/>
  <c r="CA97" i="10"/>
  <c r="BZ97" i="10"/>
  <c r="BY97" i="10"/>
  <c r="BX97" i="10"/>
  <c r="BW97" i="10"/>
  <c r="BV97" i="10"/>
  <c r="BU97" i="10"/>
  <c r="BT97" i="10"/>
  <c r="BS97" i="10"/>
  <c r="BR97" i="10"/>
  <c r="BQ97" i="10"/>
  <c r="BP97" i="10"/>
  <c r="BO97" i="10"/>
  <c r="BN97" i="10"/>
  <c r="BM97" i="10"/>
  <c r="BL97" i="10"/>
  <c r="BK97" i="10"/>
  <c r="BJ97" i="10"/>
  <c r="BI97" i="10"/>
  <c r="BH97" i="10"/>
  <c r="BG97" i="10"/>
  <c r="BF97" i="10"/>
  <c r="BE97" i="10"/>
  <c r="BD97" i="10"/>
  <c r="BC97" i="10"/>
  <c r="BB97" i="10"/>
  <c r="BA97" i="10"/>
  <c r="AZ97" i="10"/>
  <c r="AY97" i="10"/>
  <c r="AX97" i="10"/>
  <c r="AW97" i="10"/>
  <c r="AV97" i="10"/>
  <c r="AU97" i="10"/>
  <c r="AT97" i="10"/>
  <c r="AS97" i="10"/>
  <c r="AS100" i="10" s="1"/>
  <c r="AR97" i="10"/>
  <c r="AQ97" i="10"/>
  <c r="AP97" i="10"/>
  <c r="AO97" i="10"/>
  <c r="AN97" i="10"/>
  <c r="AM97" i="10"/>
  <c r="AL97" i="10"/>
  <c r="AK97" i="10"/>
  <c r="AJ97" i="10"/>
  <c r="AI97" i="10"/>
  <c r="AH97" i="10"/>
  <c r="AG97" i="10"/>
  <c r="AG99" i="10" s="1"/>
  <c r="AF97" i="10"/>
  <c r="AE97" i="10"/>
  <c r="AD97" i="10"/>
  <c r="AC97" i="10"/>
  <c r="AB97" i="10"/>
  <c r="AA97" i="10"/>
  <c r="Z97" i="10"/>
  <c r="Y97" i="10"/>
  <c r="X97" i="10"/>
  <c r="W97" i="10"/>
  <c r="V97" i="10"/>
  <c r="U97" i="10"/>
  <c r="U98" i="10" s="1"/>
  <c r="T97" i="10"/>
  <c r="S97" i="10"/>
  <c r="R97" i="10"/>
  <c r="Q97" i="10"/>
  <c r="P97" i="10"/>
  <c r="O97" i="10"/>
  <c r="N97" i="10"/>
  <c r="M97" i="10"/>
  <c r="L97" i="10"/>
  <c r="K97" i="10"/>
  <c r="J97" i="10"/>
  <c r="DY93" i="10"/>
  <c r="DX93" i="10"/>
  <c r="DW93" i="10"/>
  <c r="DV93" i="10"/>
  <c r="DU93" i="10"/>
  <c r="DT93" i="10"/>
  <c r="DS93" i="10"/>
  <c r="DR93" i="10"/>
  <c r="DQ93" i="10"/>
  <c r="DP93" i="10"/>
  <c r="DO93" i="10"/>
  <c r="DN93" i="10"/>
  <c r="DM93" i="10"/>
  <c r="DL93" i="10"/>
  <c r="DK93" i="10"/>
  <c r="DJ93" i="10"/>
  <c r="DI93" i="10"/>
  <c r="DH93" i="10"/>
  <c r="DG93" i="10"/>
  <c r="DF93" i="10"/>
  <c r="DE93" i="10"/>
  <c r="DD93" i="10"/>
  <c r="DC93" i="10"/>
  <c r="DB93" i="10"/>
  <c r="DA93" i="10"/>
  <c r="CZ93" i="10"/>
  <c r="CY93" i="10"/>
  <c r="CX93" i="10"/>
  <c r="CW93" i="10"/>
  <c r="CV93" i="10"/>
  <c r="CU93" i="10"/>
  <c r="CT93" i="10"/>
  <c r="CS93" i="10"/>
  <c r="CR93" i="10"/>
  <c r="CQ93" i="10"/>
  <c r="CP93" i="10"/>
  <c r="CO93" i="10"/>
  <c r="CN93" i="10"/>
  <c r="CM93" i="10"/>
  <c r="CL93" i="10"/>
  <c r="CK93" i="10"/>
  <c r="CJ93" i="10"/>
  <c r="CI93" i="10"/>
  <c r="CH93" i="10"/>
  <c r="CG93" i="10"/>
  <c r="CF93" i="10"/>
  <c r="CE93" i="10"/>
  <c r="CD93" i="10"/>
  <c r="CC93" i="10"/>
  <c r="CB93" i="10"/>
  <c r="CA93" i="10"/>
  <c r="BZ93" i="10"/>
  <c r="BY93" i="10"/>
  <c r="BX93" i="10"/>
  <c r="BW93" i="10"/>
  <c r="BV93" i="10"/>
  <c r="BU93" i="10"/>
  <c r="BT93" i="10"/>
  <c r="BS93" i="10"/>
  <c r="BR93" i="10"/>
  <c r="BQ93" i="10"/>
  <c r="BP93" i="10"/>
  <c r="BO93" i="10"/>
  <c r="BN93" i="10"/>
  <c r="BM93" i="10"/>
  <c r="BL93" i="10"/>
  <c r="BK93" i="10"/>
  <c r="BJ93" i="10"/>
  <c r="BI93" i="10"/>
  <c r="BH93" i="10"/>
  <c r="BG93" i="10"/>
  <c r="BF93" i="10"/>
  <c r="BE93" i="10"/>
  <c r="BD93" i="10"/>
  <c r="BC93" i="10"/>
  <c r="BB93" i="10"/>
  <c r="BA93" i="10"/>
  <c r="AZ93" i="10"/>
  <c r="AY93" i="10"/>
  <c r="AX93" i="10"/>
  <c r="AW93" i="10"/>
  <c r="AV93" i="10"/>
  <c r="AU93" i="10"/>
  <c r="AT93" i="10"/>
  <c r="AS93" i="10"/>
  <c r="AS96" i="10" s="1"/>
  <c r="AR93" i="10"/>
  <c r="AQ93" i="10"/>
  <c r="AP93" i="10"/>
  <c r="AO93" i="10"/>
  <c r="AN93" i="10"/>
  <c r="AM93" i="10"/>
  <c r="AL93" i="10"/>
  <c r="AK93" i="10"/>
  <c r="AJ93" i="10"/>
  <c r="AI93" i="10"/>
  <c r="AH93" i="10"/>
  <c r="AG93" i="10"/>
  <c r="AG95" i="10" s="1"/>
  <c r="AF93" i="10"/>
  <c r="AE93" i="10"/>
  <c r="AD93" i="10"/>
  <c r="AC93" i="10"/>
  <c r="AB93" i="10"/>
  <c r="AA93" i="10"/>
  <c r="Z93" i="10"/>
  <c r="Y93" i="10"/>
  <c r="X93" i="10"/>
  <c r="W93" i="10"/>
  <c r="V93" i="10"/>
  <c r="U93" i="10"/>
  <c r="U94" i="10" s="1"/>
  <c r="T93" i="10"/>
  <c r="S93" i="10"/>
  <c r="R93" i="10"/>
  <c r="Q93" i="10"/>
  <c r="P93" i="10"/>
  <c r="O93" i="10"/>
  <c r="N93" i="10"/>
  <c r="M93" i="10"/>
  <c r="L93" i="10"/>
  <c r="K93" i="10"/>
  <c r="J93" i="10"/>
  <c r="DY89" i="10"/>
  <c r="DX89" i="10"/>
  <c r="DW89" i="10"/>
  <c r="DV89" i="10"/>
  <c r="DU89" i="10"/>
  <c r="DT89" i="10"/>
  <c r="DS89" i="10"/>
  <c r="DR89" i="10"/>
  <c r="DQ89" i="10"/>
  <c r="DP89" i="10"/>
  <c r="DO89" i="10"/>
  <c r="DN89" i="10"/>
  <c r="DM89" i="10"/>
  <c r="DL89" i="10"/>
  <c r="DK89" i="10"/>
  <c r="DJ89" i="10"/>
  <c r="DI89" i="10"/>
  <c r="DH89" i="10"/>
  <c r="DG89" i="10"/>
  <c r="DF89" i="10"/>
  <c r="DE89" i="10"/>
  <c r="DD89" i="10"/>
  <c r="DC89" i="10"/>
  <c r="DB89" i="10"/>
  <c r="DA89" i="10"/>
  <c r="CZ89" i="10"/>
  <c r="CY89" i="10"/>
  <c r="CX89" i="10"/>
  <c r="CW89" i="10"/>
  <c r="CV89" i="10"/>
  <c r="CU89" i="10"/>
  <c r="CT89" i="10"/>
  <c r="CS89" i="10"/>
  <c r="CR89" i="10"/>
  <c r="CQ89" i="10"/>
  <c r="CP89" i="10"/>
  <c r="CO89" i="10"/>
  <c r="CN89" i="10"/>
  <c r="CM89" i="10"/>
  <c r="CL89" i="10"/>
  <c r="CK89" i="10"/>
  <c r="CJ89" i="10"/>
  <c r="CI89" i="10"/>
  <c r="CH89" i="10"/>
  <c r="CG89" i="10"/>
  <c r="CF89" i="10"/>
  <c r="CE89" i="10"/>
  <c r="CD89" i="10"/>
  <c r="CC89" i="10"/>
  <c r="CB89" i="10"/>
  <c r="CA89" i="10"/>
  <c r="BZ89" i="10"/>
  <c r="BY89" i="10"/>
  <c r="BX89" i="10"/>
  <c r="BW89" i="10"/>
  <c r="BV89" i="10"/>
  <c r="BU89" i="10"/>
  <c r="BT89" i="10"/>
  <c r="BS89" i="10"/>
  <c r="BR89" i="10"/>
  <c r="BQ89" i="10"/>
  <c r="BP89" i="10"/>
  <c r="BO89" i="10"/>
  <c r="BN89" i="10"/>
  <c r="BM89" i="10"/>
  <c r="BL89" i="10"/>
  <c r="BK89" i="10"/>
  <c r="BJ89" i="10"/>
  <c r="BI89" i="10"/>
  <c r="BH89" i="10"/>
  <c r="BG89" i="10"/>
  <c r="BF89" i="10"/>
  <c r="BE89" i="10"/>
  <c r="BD89" i="10"/>
  <c r="BC89" i="10"/>
  <c r="BB89" i="10"/>
  <c r="BA89" i="10"/>
  <c r="AZ89" i="10"/>
  <c r="AY89" i="10"/>
  <c r="AX89" i="10"/>
  <c r="AW89" i="10"/>
  <c r="AV89" i="10"/>
  <c r="AU89" i="10"/>
  <c r="AT89" i="10"/>
  <c r="AS89" i="10"/>
  <c r="AS92" i="10" s="1"/>
  <c r="AR89" i="10"/>
  <c r="AQ89" i="10"/>
  <c r="AP89" i="10"/>
  <c r="AO89" i="10"/>
  <c r="AN89" i="10"/>
  <c r="AM89" i="10"/>
  <c r="AL89" i="10"/>
  <c r="AK89" i="10"/>
  <c r="AJ89" i="10"/>
  <c r="AI89" i="10"/>
  <c r="AH89" i="10"/>
  <c r="AG89" i="10"/>
  <c r="AG91" i="10" s="1"/>
  <c r="AF89" i="10"/>
  <c r="AE89" i="10"/>
  <c r="AD89" i="10"/>
  <c r="AC89" i="10"/>
  <c r="AB89" i="10"/>
  <c r="AA89" i="10"/>
  <c r="Z89" i="10"/>
  <c r="Y89" i="10"/>
  <c r="X89" i="10"/>
  <c r="W89" i="10"/>
  <c r="V89" i="10"/>
  <c r="U89" i="10"/>
  <c r="U90" i="10" s="1"/>
  <c r="T89" i="10"/>
  <c r="S89" i="10"/>
  <c r="R89" i="10"/>
  <c r="Q89" i="10"/>
  <c r="P89" i="10"/>
  <c r="O89" i="10"/>
  <c r="N89" i="10"/>
  <c r="M89" i="10"/>
  <c r="L89" i="10"/>
  <c r="K89" i="10"/>
  <c r="J89" i="10"/>
  <c r="DY85" i="10"/>
  <c r="DX85" i="10"/>
  <c r="DW85" i="10"/>
  <c r="DV85" i="10"/>
  <c r="DU85" i="10"/>
  <c r="DT85" i="10"/>
  <c r="DS85" i="10"/>
  <c r="DR85" i="10"/>
  <c r="DQ85" i="10"/>
  <c r="DP85" i="10"/>
  <c r="DO85" i="10"/>
  <c r="DN85" i="10"/>
  <c r="DM85" i="10"/>
  <c r="DL85" i="10"/>
  <c r="DK85" i="10"/>
  <c r="DJ85" i="10"/>
  <c r="DI85" i="10"/>
  <c r="DH85" i="10"/>
  <c r="DG85" i="10"/>
  <c r="DF85" i="10"/>
  <c r="DE85" i="10"/>
  <c r="DD85" i="10"/>
  <c r="DC85" i="10"/>
  <c r="DB85" i="10"/>
  <c r="DA85" i="10"/>
  <c r="CZ85" i="10"/>
  <c r="CY85" i="10"/>
  <c r="CX85" i="10"/>
  <c r="CW85" i="10"/>
  <c r="CV85" i="10"/>
  <c r="CU85" i="10"/>
  <c r="CT85" i="10"/>
  <c r="CS85" i="10"/>
  <c r="CR85" i="10"/>
  <c r="CQ85" i="10"/>
  <c r="CP85" i="10"/>
  <c r="CO85" i="10"/>
  <c r="CN85" i="10"/>
  <c r="CM85" i="10"/>
  <c r="CL85" i="10"/>
  <c r="CK85" i="10"/>
  <c r="CJ85" i="10"/>
  <c r="CI85" i="10"/>
  <c r="CH85" i="10"/>
  <c r="CG85" i="10"/>
  <c r="CF85" i="10"/>
  <c r="CE85" i="10"/>
  <c r="CD85" i="10"/>
  <c r="CC85" i="10"/>
  <c r="CB85" i="10"/>
  <c r="CA85" i="10"/>
  <c r="BZ85" i="10"/>
  <c r="BY85" i="10"/>
  <c r="BX85" i="10"/>
  <c r="BW85" i="10"/>
  <c r="BV85" i="10"/>
  <c r="BU85" i="10"/>
  <c r="BT85" i="10"/>
  <c r="BS85" i="10"/>
  <c r="BR85" i="10"/>
  <c r="BQ85" i="10"/>
  <c r="BP85" i="10"/>
  <c r="BO85" i="10"/>
  <c r="BN85" i="10"/>
  <c r="BM85" i="10"/>
  <c r="BL85" i="10"/>
  <c r="BK85" i="10"/>
  <c r="BJ85" i="10"/>
  <c r="BI85" i="10"/>
  <c r="BH85" i="10"/>
  <c r="BG85" i="10"/>
  <c r="BF85" i="10"/>
  <c r="BE85" i="10"/>
  <c r="BD85" i="10"/>
  <c r="BC85" i="10"/>
  <c r="BB85" i="10"/>
  <c r="BA85" i="10"/>
  <c r="AZ85" i="10"/>
  <c r="AY85" i="10"/>
  <c r="AX85" i="10"/>
  <c r="AW85" i="10"/>
  <c r="AV85" i="10"/>
  <c r="AU85" i="10"/>
  <c r="AT85" i="10"/>
  <c r="AS85" i="10"/>
  <c r="AS88" i="10" s="1"/>
  <c r="AR85" i="10"/>
  <c r="AQ85" i="10"/>
  <c r="AP85" i="10"/>
  <c r="AO85" i="10"/>
  <c r="AN85" i="10"/>
  <c r="AM85" i="10"/>
  <c r="AL85" i="10"/>
  <c r="AK85" i="10"/>
  <c r="AJ85" i="10"/>
  <c r="AI85" i="10"/>
  <c r="AH85" i="10"/>
  <c r="AG85" i="10"/>
  <c r="AG87" i="10" s="1"/>
  <c r="AF85" i="10"/>
  <c r="AE85" i="10"/>
  <c r="AD85" i="10"/>
  <c r="AC85" i="10"/>
  <c r="AB85" i="10"/>
  <c r="AA85" i="10"/>
  <c r="Z85" i="10"/>
  <c r="Y85" i="10"/>
  <c r="X85" i="10"/>
  <c r="W85" i="10"/>
  <c r="V85" i="10"/>
  <c r="U85" i="10"/>
  <c r="U86" i="10" s="1"/>
  <c r="T85" i="10"/>
  <c r="S85" i="10"/>
  <c r="R85" i="10"/>
  <c r="Q85" i="10"/>
  <c r="P85" i="10"/>
  <c r="O85" i="10"/>
  <c r="N85" i="10"/>
  <c r="M85" i="10"/>
  <c r="L85" i="10"/>
  <c r="K85" i="10"/>
  <c r="J85" i="10"/>
  <c r="DY81" i="10"/>
  <c r="DX81" i="10"/>
  <c r="DW81" i="10"/>
  <c r="DV81" i="10"/>
  <c r="DU81" i="10"/>
  <c r="DT81" i="10"/>
  <c r="DS81" i="10"/>
  <c r="DR81" i="10"/>
  <c r="DQ81" i="10"/>
  <c r="DP81" i="10"/>
  <c r="DO81" i="10"/>
  <c r="DN81" i="10"/>
  <c r="DM81" i="10"/>
  <c r="DL81" i="10"/>
  <c r="DK81" i="10"/>
  <c r="DJ81" i="10"/>
  <c r="DI81" i="10"/>
  <c r="DH81" i="10"/>
  <c r="DG81" i="10"/>
  <c r="DF81" i="10"/>
  <c r="DE81" i="10"/>
  <c r="DD81" i="10"/>
  <c r="DC81" i="10"/>
  <c r="DB81" i="10"/>
  <c r="DA81" i="10"/>
  <c r="CZ81" i="10"/>
  <c r="CY81" i="10"/>
  <c r="CX81" i="10"/>
  <c r="CW81" i="10"/>
  <c r="CV81" i="10"/>
  <c r="CU81" i="10"/>
  <c r="CT81" i="10"/>
  <c r="CS81" i="10"/>
  <c r="CR81" i="10"/>
  <c r="CQ81" i="10"/>
  <c r="CP81" i="10"/>
  <c r="CO81" i="10"/>
  <c r="CN81" i="10"/>
  <c r="CM81" i="10"/>
  <c r="CL81" i="10"/>
  <c r="CK81" i="10"/>
  <c r="CJ81" i="10"/>
  <c r="CI81" i="10"/>
  <c r="CH81" i="10"/>
  <c r="CG81" i="10"/>
  <c r="CF81" i="10"/>
  <c r="CE81" i="10"/>
  <c r="CD81" i="10"/>
  <c r="CC81" i="10"/>
  <c r="CB81" i="10"/>
  <c r="CA81" i="10"/>
  <c r="BZ81" i="10"/>
  <c r="BY81" i="10"/>
  <c r="BX81" i="10"/>
  <c r="BW81" i="10"/>
  <c r="BV81" i="10"/>
  <c r="BU81" i="10"/>
  <c r="BT81" i="10"/>
  <c r="BS81" i="10"/>
  <c r="BR81" i="10"/>
  <c r="BQ81" i="10"/>
  <c r="BP81" i="10"/>
  <c r="BO81" i="10"/>
  <c r="BN81" i="10"/>
  <c r="BM81" i="10"/>
  <c r="BL81" i="10"/>
  <c r="BK81" i="10"/>
  <c r="BJ81" i="10"/>
  <c r="BI81" i="10"/>
  <c r="BH81" i="10"/>
  <c r="BG81" i="10"/>
  <c r="BF81" i="10"/>
  <c r="BE81" i="10"/>
  <c r="BD81" i="10"/>
  <c r="BC81" i="10"/>
  <c r="BB81" i="10"/>
  <c r="BA81" i="10"/>
  <c r="AZ81" i="10"/>
  <c r="AY81" i="10"/>
  <c r="AX81" i="10"/>
  <c r="AW81" i="10"/>
  <c r="AV81" i="10"/>
  <c r="AU81" i="10"/>
  <c r="AT81" i="10"/>
  <c r="AS81" i="10"/>
  <c r="AS84" i="10" s="1"/>
  <c r="AR81" i="10"/>
  <c r="AQ81" i="10"/>
  <c r="AP81" i="10"/>
  <c r="AO81" i="10"/>
  <c r="AN81" i="10"/>
  <c r="AM81" i="10"/>
  <c r="AL81" i="10"/>
  <c r="AK81" i="10"/>
  <c r="AJ81" i="10"/>
  <c r="AI81" i="10"/>
  <c r="AH81" i="10"/>
  <c r="AG81" i="10"/>
  <c r="AG83" i="10" s="1"/>
  <c r="AF81" i="10"/>
  <c r="AE81" i="10"/>
  <c r="AD81" i="10"/>
  <c r="AC81" i="10"/>
  <c r="AB81" i="10"/>
  <c r="AA81" i="10"/>
  <c r="Z81" i="10"/>
  <c r="Y81" i="10"/>
  <c r="X81" i="10"/>
  <c r="W81" i="10"/>
  <c r="V81" i="10"/>
  <c r="U81" i="10"/>
  <c r="U82" i="10" s="1"/>
  <c r="T81" i="10"/>
  <c r="S81" i="10"/>
  <c r="R81" i="10"/>
  <c r="Q81" i="10"/>
  <c r="P81" i="10"/>
  <c r="O81" i="10"/>
  <c r="N81" i="10"/>
  <c r="M81" i="10"/>
  <c r="L81" i="10"/>
  <c r="K81" i="10"/>
  <c r="J81" i="10"/>
  <c r="DY76" i="10"/>
  <c r="DX76" i="10"/>
  <c r="DW76" i="10"/>
  <c r="DV76" i="10"/>
  <c r="DU76" i="10"/>
  <c r="DT76" i="10"/>
  <c r="DS76" i="10"/>
  <c r="DR76" i="10"/>
  <c r="DQ76" i="10"/>
  <c r="DP76" i="10"/>
  <c r="DO76" i="10"/>
  <c r="DN76" i="10"/>
  <c r="DM76" i="10"/>
  <c r="DL76" i="10"/>
  <c r="DK76" i="10"/>
  <c r="DJ76" i="10"/>
  <c r="DI76" i="10"/>
  <c r="DH76" i="10"/>
  <c r="DG76" i="10"/>
  <c r="DF76" i="10"/>
  <c r="DE76" i="10"/>
  <c r="DD76" i="10"/>
  <c r="DC76" i="10"/>
  <c r="DB76" i="10"/>
  <c r="DA76" i="10"/>
  <c r="CZ76" i="10"/>
  <c r="CY76" i="10"/>
  <c r="CX76" i="10"/>
  <c r="CW76" i="10"/>
  <c r="CV76" i="10"/>
  <c r="CU76" i="10"/>
  <c r="CT76" i="10"/>
  <c r="CS76" i="10"/>
  <c r="CR76" i="10"/>
  <c r="CQ76" i="10"/>
  <c r="CP76" i="10"/>
  <c r="CO76" i="10"/>
  <c r="CN76" i="10"/>
  <c r="CM76" i="10"/>
  <c r="CL76" i="10"/>
  <c r="CK76" i="10"/>
  <c r="CJ76" i="10"/>
  <c r="CI76" i="10"/>
  <c r="CH76" i="10"/>
  <c r="CG76" i="10"/>
  <c r="CF76" i="10"/>
  <c r="CE76" i="10"/>
  <c r="CD76" i="10"/>
  <c r="CC76" i="10"/>
  <c r="CB76" i="10"/>
  <c r="CA76" i="10"/>
  <c r="BZ76" i="10"/>
  <c r="BY76" i="10"/>
  <c r="BX76" i="10"/>
  <c r="BW76" i="10"/>
  <c r="BV76" i="10"/>
  <c r="BU76" i="10"/>
  <c r="BT76" i="10"/>
  <c r="BS76" i="10"/>
  <c r="BR76" i="10"/>
  <c r="BQ76" i="10"/>
  <c r="BP76" i="10"/>
  <c r="BO76" i="10"/>
  <c r="BN76" i="10"/>
  <c r="BM76" i="10"/>
  <c r="BL76" i="10"/>
  <c r="BK76" i="10"/>
  <c r="BJ76" i="10"/>
  <c r="BI76" i="10"/>
  <c r="BH76" i="10"/>
  <c r="BG76" i="10"/>
  <c r="BF76" i="10"/>
  <c r="BE76" i="10"/>
  <c r="BD76" i="10"/>
  <c r="BC76" i="10"/>
  <c r="BB76" i="10"/>
  <c r="BA76" i="10"/>
  <c r="AZ76" i="10"/>
  <c r="AY76" i="10"/>
  <c r="AX76" i="10"/>
  <c r="AW76" i="10"/>
  <c r="AV76" i="10"/>
  <c r="AU76" i="10"/>
  <c r="AT76" i="10"/>
  <c r="AS76" i="10"/>
  <c r="AS79" i="10" s="1"/>
  <c r="AR76" i="10"/>
  <c r="AQ76" i="10"/>
  <c r="AP76" i="10"/>
  <c r="AO76" i="10"/>
  <c r="AN76" i="10"/>
  <c r="AM76" i="10"/>
  <c r="AL76" i="10"/>
  <c r="AK76" i="10"/>
  <c r="AJ76" i="10"/>
  <c r="AI76" i="10"/>
  <c r="AH76" i="10"/>
  <c r="AG76" i="10"/>
  <c r="AG78" i="10" s="1"/>
  <c r="AF76" i="10"/>
  <c r="AE76" i="10"/>
  <c r="AD76" i="10"/>
  <c r="AC76" i="10"/>
  <c r="AB76" i="10"/>
  <c r="AA76" i="10"/>
  <c r="Z76" i="10"/>
  <c r="Y76" i="10"/>
  <c r="X76" i="10"/>
  <c r="W76" i="10"/>
  <c r="V76" i="10"/>
  <c r="U76" i="10"/>
  <c r="U77" i="10" s="1"/>
  <c r="T76" i="10"/>
  <c r="S76" i="10"/>
  <c r="R76" i="10"/>
  <c r="Q76" i="10"/>
  <c r="P76" i="10"/>
  <c r="O76" i="10"/>
  <c r="N76" i="10"/>
  <c r="M76" i="10"/>
  <c r="L76" i="10"/>
  <c r="K76" i="10"/>
  <c r="J76" i="10"/>
  <c r="DY72" i="10"/>
  <c r="DX72" i="10"/>
  <c r="DW72" i="10"/>
  <c r="DV72" i="10"/>
  <c r="DU72" i="10"/>
  <c r="DT72" i="10"/>
  <c r="DS72" i="10"/>
  <c r="DR72" i="10"/>
  <c r="DQ72" i="10"/>
  <c r="DP72" i="10"/>
  <c r="DO72" i="10"/>
  <c r="DN72" i="10"/>
  <c r="DM72" i="10"/>
  <c r="DL72" i="10"/>
  <c r="DK72" i="10"/>
  <c r="DJ72" i="10"/>
  <c r="DI72" i="10"/>
  <c r="DH72" i="10"/>
  <c r="DG72" i="10"/>
  <c r="DF72" i="10"/>
  <c r="DE72" i="10"/>
  <c r="DD72" i="10"/>
  <c r="DC72" i="10"/>
  <c r="DB72" i="10"/>
  <c r="DA72" i="10"/>
  <c r="CZ72" i="10"/>
  <c r="CY72" i="10"/>
  <c r="CX72" i="10"/>
  <c r="CW72" i="10"/>
  <c r="CV72" i="10"/>
  <c r="CU72" i="10"/>
  <c r="CT72" i="10"/>
  <c r="CS72" i="10"/>
  <c r="CR72" i="10"/>
  <c r="CQ72" i="10"/>
  <c r="CP72" i="10"/>
  <c r="CO72" i="10"/>
  <c r="CN72" i="10"/>
  <c r="CM72" i="10"/>
  <c r="CL72" i="10"/>
  <c r="CK72" i="10"/>
  <c r="CJ72" i="10"/>
  <c r="CI72" i="10"/>
  <c r="CH72" i="10"/>
  <c r="CG72" i="10"/>
  <c r="CF72" i="10"/>
  <c r="CE72" i="10"/>
  <c r="CD72" i="10"/>
  <c r="CC72" i="10"/>
  <c r="CB72" i="10"/>
  <c r="CA72" i="10"/>
  <c r="BZ72" i="10"/>
  <c r="BY72" i="10"/>
  <c r="BX72" i="10"/>
  <c r="BW72" i="10"/>
  <c r="BV72" i="10"/>
  <c r="BU72" i="10"/>
  <c r="BT72" i="10"/>
  <c r="BS72" i="10"/>
  <c r="BR72" i="10"/>
  <c r="BQ72" i="10"/>
  <c r="BP72" i="10"/>
  <c r="BO72" i="10"/>
  <c r="BN72" i="10"/>
  <c r="BM72" i="10"/>
  <c r="BL72" i="10"/>
  <c r="BK72" i="10"/>
  <c r="BJ72" i="10"/>
  <c r="BI72" i="10"/>
  <c r="BH72" i="10"/>
  <c r="BG72" i="10"/>
  <c r="BF72" i="10"/>
  <c r="BE72" i="10"/>
  <c r="BD72" i="10"/>
  <c r="BC72" i="10"/>
  <c r="BB72" i="10"/>
  <c r="BA72" i="10"/>
  <c r="AZ72" i="10"/>
  <c r="AY72" i="10"/>
  <c r="AX72" i="10"/>
  <c r="AW72" i="10"/>
  <c r="AV72" i="10"/>
  <c r="AU72" i="10"/>
  <c r="AT72" i="10"/>
  <c r="AS72" i="10"/>
  <c r="AS75" i="10" s="1"/>
  <c r="AR72" i="10"/>
  <c r="AQ72" i="10"/>
  <c r="AP72" i="10"/>
  <c r="AO72" i="10"/>
  <c r="AN72" i="10"/>
  <c r="AM72" i="10"/>
  <c r="AL72" i="10"/>
  <c r="AK72" i="10"/>
  <c r="AJ72" i="10"/>
  <c r="AI72" i="10"/>
  <c r="AH72" i="10"/>
  <c r="AG72" i="10"/>
  <c r="AG74" i="10" s="1"/>
  <c r="AF72" i="10"/>
  <c r="AE72" i="10"/>
  <c r="AD72" i="10"/>
  <c r="AC72" i="10"/>
  <c r="AB72" i="10"/>
  <c r="AA72" i="10"/>
  <c r="Z72" i="10"/>
  <c r="Y72" i="10"/>
  <c r="X72" i="10"/>
  <c r="W72" i="10"/>
  <c r="V72" i="10"/>
  <c r="U72" i="10"/>
  <c r="U73" i="10" s="1"/>
  <c r="T72" i="10"/>
  <c r="S72" i="10"/>
  <c r="R72" i="10"/>
  <c r="Q72" i="10"/>
  <c r="P72" i="10"/>
  <c r="O72" i="10"/>
  <c r="N72" i="10"/>
  <c r="M72" i="10"/>
  <c r="L72" i="10"/>
  <c r="K72" i="10"/>
  <c r="J72" i="10"/>
  <c r="DY68" i="10"/>
  <c r="DX68" i="10"/>
  <c r="DW68" i="10"/>
  <c r="DV68" i="10"/>
  <c r="DU68" i="10"/>
  <c r="DT68" i="10"/>
  <c r="DS68" i="10"/>
  <c r="DR68" i="10"/>
  <c r="DQ68" i="10"/>
  <c r="DP68" i="10"/>
  <c r="DO68" i="10"/>
  <c r="DN68" i="10"/>
  <c r="DM68" i="10"/>
  <c r="DL68" i="10"/>
  <c r="DK68" i="10"/>
  <c r="DJ68" i="10"/>
  <c r="DI68" i="10"/>
  <c r="DH68" i="10"/>
  <c r="DG68" i="10"/>
  <c r="DF68" i="10"/>
  <c r="DE68" i="10"/>
  <c r="DD68" i="10"/>
  <c r="DC68" i="10"/>
  <c r="DB68" i="10"/>
  <c r="DA68" i="10"/>
  <c r="CZ68" i="10"/>
  <c r="CY68" i="10"/>
  <c r="CX68" i="10"/>
  <c r="CW68" i="10"/>
  <c r="CV68" i="10"/>
  <c r="CU68" i="10"/>
  <c r="CT68" i="10"/>
  <c r="CS68" i="10"/>
  <c r="CR68" i="10"/>
  <c r="CQ68" i="10"/>
  <c r="CP68" i="10"/>
  <c r="CO68" i="10"/>
  <c r="CN68" i="10"/>
  <c r="CM68" i="10"/>
  <c r="CL68" i="10"/>
  <c r="CK68" i="10"/>
  <c r="CJ68" i="10"/>
  <c r="CI68" i="10"/>
  <c r="CH68" i="10"/>
  <c r="CG68" i="10"/>
  <c r="CF68" i="10"/>
  <c r="CE68" i="10"/>
  <c r="CD68" i="10"/>
  <c r="CC68" i="10"/>
  <c r="CB68" i="10"/>
  <c r="CA68" i="10"/>
  <c r="BZ68" i="10"/>
  <c r="BY68" i="10"/>
  <c r="BX68" i="10"/>
  <c r="BW68" i="10"/>
  <c r="BV68" i="10"/>
  <c r="BU68" i="10"/>
  <c r="BT68" i="10"/>
  <c r="BS68" i="10"/>
  <c r="BR68" i="10"/>
  <c r="BQ68" i="10"/>
  <c r="BP68" i="10"/>
  <c r="BO68" i="10"/>
  <c r="BN68" i="10"/>
  <c r="BM68" i="10"/>
  <c r="BL68" i="10"/>
  <c r="BK68" i="10"/>
  <c r="BJ68" i="10"/>
  <c r="BI68" i="10"/>
  <c r="BH68" i="10"/>
  <c r="BG68" i="10"/>
  <c r="BF68" i="10"/>
  <c r="BE68" i="10"/>
  <c r="BD68" i="10"/>
  <c r="BC68" i="10"/>
  <c r="BB68" i="10"/>
  <c r="BA68" i="10"/>
  <c r="AZ68" i="10"/>
  <c r="AY68" i="10"/>
  <c r="AX68" i="10"/>
  <c r="AW68" i="10"/>
  <c r="AV68" i="10"/>
  <c r="AU68" i="10"/>
  <c r="AT68" i="10"/>
  <c r="AS68" i="10"/>
  <c r="AS71" i="10" s="1"/>
  <c r="AR68" i="10"/>
  <c r="AQ68" i="10"/>
  <c r="AP68" i="10"/>
  <c r="AO68" i="10"/>
  <c r="AN68" i="10"/>
  <c r="AM68" i="10"/>
  <c r="AL68" i="10"/>
  <c r="AK68" i="10"/>
  <c r="AJ68" i="10"/>
  <c r="AI68" i="10"/>
  <c r="AH68" i="10"/>
  <c r="AG68" i="10"/>
  <c r="AG70" i="10" s="1"/>
  <c r="AF68" i="10"/>
  <c r="AE68" i="10"/>
  <c r="AD68" i="10"/>
  <c r="AC68" i="10"/>
  <c r="AB68" i="10"/>
  <c r="AA68" i="10"/>
  <c r="Z68" i="10"/>
  <c r="Y68" i="10"/>
  <c r="X68" i="10"/>
  <c r="W68" i="10"/>
  <c r="V68" i="10"/>
  <c r="U68" i="10"/>
  <c r="U69" i="10" s="1"/>
  <c r="T68" i="10"/>
  <c r="S68" i="10"/>
  <c r="R68" i="10"/>
  <c r="Q68" i="10"/>
  <c r="P68" i="10"/>
  <c r="O68" i="10"/>
  <c r="N68" i="10"/>
  <c r="M68" i="10"/>
  <c r="L68" i="10"/>
  <c r="K68" i="10"/>
  <c r="J68" i="10"/>
  <c r="DY64" i="10"/>
  <c r="DX64" i="10"/>
  <c r="DW64" i="10"/>
  <c r="DV64" i="10"/>
  <c r="DU64" i="10"/>
  <c r="DT64" i="10"/>
  <c r="DS64" i="10"/>
  <c r="DR64" i="10"/>
  <c r="DQ64" i="10"/>
  <c r="DP64" i="10"/>
  <c r="DO64" i="10"/>
  <c r="DN64" i="10"/>
  <c r="DM64" i="10"/>
  <c r="DL64" i="10"/>
  <c r="DK64" i="10"/>
  <c r="DJ64" i="10"/>
  <c r="DI64" i="10"/>
  <c r="DH64" i="10"/>
  <c r="DG64" i="10"/>
  <c r="DF64" i="10"/>
  <c r="DE64" i="10"/>
  <c r="DD64" i="10"/>
  <c r="DC64" i="10"/>
  <c r="DB64" i="10"/>
  <c r="DA64" i="10"/>
  <c r="CZ64" i="10"/>
  <c r="CY64" i="10"/>
  <c r="CX64" i="10"/>
  <c r="CW64" i="10"/>
  <c r="CV64" i="10"/>
  <c r="CU64" i="10"/>
  <c r="CT64" i="10"/>
  <c r="CS64" i="10"/>
  <c r="CR64" i="10"/>
  <c r="CQ64" i="10"/>
  <c r="CP64" i="10"/>
  <c r="CO64" i="10"/>
  <c r="CN64" i="10"/>
  <c r="CM64" i="10"/>
  <c r="CL64" i="10"/>
  <c r="CK64" i="10"/>
  <c r="CJ64" i="10"/>
  <c r="CI64" i="10"/>
  <c r="CH64" i="10"/>
  <c r="CG64" i="10"/>
  <c r="CF64" i="10"/>
  <c r="CE64" i="10"/>
  <c r="CD64" i="10"/>
  <c r="CC64" i="10"/>
  <c r="CB64" i="10"/>
  <c r="CA64" i="10"/>
  <c r="BZ64" i="10"/>
  <c r="BY64" i="10"/>
  <c r="BX64" i="10"/>
  <c r="BW64" i="10"/>
  <c r="BV64" i="10"/>
  <c r="BU64" i="10"/>
  <c r="BT64" i="10"/>
  <c r="BS64" i="10"/>
  <c r="BR64" i="10"/>
  <c r="BQ64" i="10"/>
  <c r="BP64" i="10"/>
  <c r="BO64" i="10"/>
  <c r="BN64" i="10"/>
  <c r="BM64" i="10"/>
  <c r="BL64" i="10"/>
  <c r="BK64" i="10"/>
  <c r="BJ64" i="10"/>
  <c r="BI64" i="10"/>
  <c r="BH64" i="10"/>
  <c r="BG64" i="10"/>
  <c r="BF64" i="10"/>
  <c r="BE64" i="10"/>
  <c r="BD64" i="10"/>
  <c r="BC64" i="10"/>
  <c r="BB64" i="10"/>
  <c r="BA64" i="10"/>
  <c r="AZ64" i="10"/>
  <c r="AY64" i="10"/>
  <c r="AX64" i="10"/>
  <c r="AW64" i="10"/>
  <c r="AV64" i="10"/>
  <c r="AU64" i="10"/>
  <c r="AT64" i="10"/>
  <c r="AS64" i="10"/>
  <c r="AS67" i="10" s="1"/>
  <c r="AR64" i="10"/>
  <c r="AQ64" i="10"/>
  <c r="AP64" i="10"/>
  <c r="AO64" i="10"/>
  <c r="AN64" i="10"/>
  <c r="AM64" i="10"/>
  <c r="AL64" i="10"/>
  <c r="AK64" i="10"/>
  <c r="AJ64" i="10"/>
  <c r="AI64" i="10"/>
  <c r="AH64" i="10"/>
  <c r="AG64" i="10"/>
  <c r="AG66" i="10" s="1"/>
  <c r="AF64" i="10"/>
  <c r="AE64" i="10"/>
  <c r="AD64" i="10"/>
  <c r="AC64" i="10"/>
  <c r="AB64" i="10"/>
  <c r="AA64" i="10"/>
  <c r="Z64" i="10"/>
  <c r="Y64" i="10"/>
  <c r="X64" i="10"/>
  <c r="W64" i="10"/>
  <c r="V64" i="10"/>
  <c r="U64" i="10"/>
  <c r="U65" i="10" s="1"/>
  <c r="T64" i="10"/>
  <c r="S64" i="10"/>
  <c r="R64" i="10"/>
  <c r="Q64" i="10"/>
  <c r="P64" i="10"/>
  <c r="O64" i="10"/>
  <c r="N64" i="10"/>
  <c r="M64" i="10"/>
  <c r="L64" i="10"/>
  <c r="K64" i="10"/>
  <c r="J64" i="10"/>
  <c r="J60" i="10"/>
  <c r="DY55" i="10"/>
  <c r="DX55" i="10"/>
  <c r="DW55" i="10"/>
  <c r="DV55" i="10"/>
  <c r="DU55" i="10"/>
  <c r="DT55" i="10"/>
  <c r="DS55" i="10"/>
  <c r="DR55" i="10"/>
  <c r="DQ55" i="10"/>
  <c r="DP55" i="10"/>
  <c r="DO55" i="10"/>
  <c r="DN55" i="10"/>
  <c r="DM55" i="10"/>
  <c r="DL55" i="10"/>
  <c r="DK55" i="10"/>
  <c r="DJ55" i="10"/>
  <c r="DI55" i="10"/>
  <c r="DH55" i="10"/>
  <c r="DG55" i="10"/>
  <c r="DF55" i="10"/>
  <c r="DE55" i="10"/>
  <c r="DD55" i="10"/>
  <c r="DC55" i="10"/>
  <c r="DB55" i="10"/>
  <c r="DA55" i="10"/>
  <c r="CZ55" i="10"/>
  <c r="CY55" i="10"/>
  <c r="CX55" i="10"/>
  <c r="CW55" i="10"/>
  <c r="CV55" i="10"/>
  <c r="CU55" i="10"/>
  <c r="CT55" i="10"/>
  <c r="CS55" i="10"/>
  <c r="CR55" i="10"/>
  <c r="CQ55" i="10"/>
  <c r="CP55" i="10"/>
  <c r="CO55" i="10"/>
  <c r="CN55" i="10"/>
  <c r="CM55" i="10"/>
  <c r="CL55" i="10"/>
  <c r="CK55" i="10"/>
  <c r="CJ55" i="10"/>
  <c r="CI55" i="10"/>
  <c r="CH55" i="10"/>
  <c r="CG55" i="10"/>
  <c r="CF55" i="10"/>
  <c r="CE55" i="10"/>
  <c r="CD55" i="10"/>
  <c r="CC55" i="10"/>
  <c r="CB55" i="10"/>
  <c r="CA55" i="10"/>
  <c r="BZ55" i="10"/>
  <c r="BY55" i="10"/>
  <c r="BX55" i="10"/>
  <c r="BW55" i="10"/>
  <c r="BV55" i="10"/>
  <c r="BU55" i="10"/>
  <c r="BT55" i="10"/>
  <c r="BS55" i="10"/>
  <c r="BR55" i="10"/>
  <c r="BQ55" i="10"/>
  <c r="BP55" i="10"/>
  <c r="BO55" i="10"/>
  <c r="BN55" i="10"/>
  <c r="BM55" i="10"/>
  <c r="BL55" i="10"/>
  <c r="BK55" i="10"/>
  <c r="BJ55" i="10"/>
  <c r="BI55" i="10"/>
  <c r="BH55" i="10"/>
  <c r="BG55" i="10"/>
  <c r="BF55" i="10"/>
  <c r="BE55" i="10"/>
  <c r="BD55" i="10"/>
  <c r="BC55" i="10"/>
  <c r="BB55" i="10"/>
  <c r="BA55" i="10"/>
  <c r="AZ55" i="10"/>
  <c r="AY55" i="10"/>
  <c r="AX55" i="10"/>
  <c r="AW55" i="10"/>
  <c r="AV55" i="10"/>
  <c r="AU55" i="10"/>
  <c r="AT55" i="10"/>
  <c r="AS55" i="10"/>
  <c r="AR55" i="10"/>
  <c r="AQ55" i="10"/>
  <c r="AP55" i="10"/>
  <c r="AO55" i="10"/>
  <c r="AN55" i="10"/>
  <c r="AM55" i="10"/>
  <c r="AL55" i="10"/>
  <c r="AK55" i="10"/>
  <c r="AJ55" i="10"/>
  <c r="AI55" i="10"/>
  <c r="AH55" i="10"/>
  <c r="AG55" i="10"/>
  <c r="AF55" i="10"/>
  <c r="AE55" i="10"/>
  <c r="AD55" i="10"/>
  <c r="AC55" i="10"/>
  <c r="AB55" i="10"/>
  <c r="AA55" i="10"/>
  <c r="Z55" i="10"/>
  <c r="Y55" i="10"/>
  <c r="X55" i="10"/>
  <c r="W55" i="10"/>
  <c r="V55" i="10"/>
  <c r="U55" i="10"/>
  <c r="U56" i="10" s="1"/>
  <c r="T55" i="10"/>
  <c r="S55" i="10"/>
  <c r="R55" i="10"/>
  <c r="Q55" i="10"/>
  <c r="P55" i="10"/>
  <c r="O55" i="10"/>
  <c r="N55" i="10"/>
  <c r="M55" i="10"/>
  <c r="L55" i="10"/>
  <c r="K55" i="10"/>
  <c r="J55" i="10"/>
  <c r="DY51" i="10"/>
  <c r="DX51" i="10"/>
  <c r="DW51" i="10"/>
  <c r="DV51" i="10"/>
  <c r="DU51" i="10"/>
  <c r="DT51" i="10"/>
  <c r="DS51" i="10"/>
  <c r="DR51" i="10"/>
  <c r="DQ51" i="10"/>
  <c r="DP51" i="10"/>
  <c r="DO51" i="10"/>
  <c r="DN51" i="10"/>
  <c r="DM51" i="10"/>
  <c r="DL51" i="10"/>
  <c r="DK51" i="10"/>
  <c r="DJ51" i="10"/>
  <c r="DI51" i="10"/>
  <c r="DH51" i="10"/>
  <c r="DG51" i="10"/>
  <c r="DF51" i="10"/>
  <c r="DE51" i="10"/>
  <c r="DD51" i="10"/>
  <c r="DC51" i="10"/>
  <c r="DB51" i="10"/>
  <c r="DA51" i="10"/>
  <c r="CZ51" i="10"/>
  <c r="CY51" i="10"/>
  <c r="CX51" i="10"/>
  <c r="CW51" i="10"/>
  <c r="CV51" i="10"/>
  <c r="CU51" i="10"/>
  <c r="CT51" i="10"/>
  <c r="CS51" i="10"/>
  <c r="CR51" i="10"/>
  <c r="CQ51" i="10"/>
  <c r="CP51" i="10"/>
  <c r="CO51" i="10"/>
  <c r="CN51" i="10"/>
  <c r="CM51" i="10"/>
  <c r="CL51" i="10"/>
  <c r="CK51" i="10"/>
  <c r="CJ51" i="10"/>
  <c r="CI51" i="10"/>
  <c r="CH51" i="10"/>
  <c r="CG51" i="10"/>
  <c r="CF51" i="10"/>
  <c r="CE51" i="10"/>
  <c r="CD51" i="10"/>
  <c r="CC51" i="10"/>
  <c r="CB51" i="10"/>
  <c r="CA51" i="10"/>
  <c r="BZ51" i="10"/>
  <c r="BY51" i="10"/>
  <c r="BX51" i="10"/>
  <c r="BW51" i="10"/>
  <c r="BV51" i="10"/>
  <c r="BU51" i="10"/>
  <c r="BT51" i="10"/>
  <c r="BS51" i="10"/>
  <c r="BR51" i="10"/>
  <c r="BQ51" i="10"/>
  <c r="BP51" i="10"/>
  <c r="BO51" i="10"/>
  <c r="BN51" i="10"/>
  <c r="BM51" i="10"/>
  <c r="BL51" i="10"/>
  <c r="BK51" i="10"/>
  <c r="BJ51" i="10"/>
  <c r="BI51" i="10"/>
  <c r="BH51" i="10"/>
  <c r="BG51" i="10"/>
  <c r="BF51" i="10"/>
  <c r="BE51" i="10"/>
  <c r="BD51" i="10"/>
  <c r="BC51" i="10"/>
  <c r="BB51" i="10"/>
  <c r="BA51" i="10"/>
  <c r="AZ51" i="10"/>
  <c r="AY51" i="10"/>
  <c r="AX51" i="10"/>
  <c r="AW51" i="10"/>
  <c r="AV51" i="10"/>
  <c r="AU51" i="10"/>
  <c r="AT51" i="10"/>
  <c r="AS51" i="10"/>
  <c r="AR51" i="10"/>
  <c r="AQ51" i="10"/>
  <c r="AP51" i="10"/>
  <c r="AO51" i="10"/>
  <c r="AN51" i="10"/>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0" i="10"/>
  <c r="I49" i="10"/>
  <c r="DY42" i="10"/>
  <c r="DX42" i="10"/>
  <c r="DW42" i="10"/>
  <c r="DV42" i="10"/>
  <c r="DU42" i="10"/>
  <c r="DT42" i="10"/>
  <c r="DS42" i="10"/>
  <c r="DR42" i="10"/>
  <c r="DQ42" i="10"/>
  <c r="DP42" i="10"/>
  <c r="DO42" i="10"/>
  <c r="DN42" i="10"/>
  <c r="DM42" i="10"/>
  <c r="DL42" i="10"/>
  <c r="DK42" i="10"/>
  <c r="DJ42" i="10"/>
  <c r="DI42" i="10"/>
  <c r="DH42" i="10"/>
  <c r="DG42" i="10"/>
  <c r="DF42" i="10"/>
  <c r="DE42" i="10"/>
  <c r="DD42" i="10"/>
  <c r="DC42" i="10"/>
  <c r="DB42" i="10"/>
  <c r="DA42" i="10"/>
  <c r="CZ42" i="10"/>
  <c r="CY42" i="10"/>
  <c r="CX42" i="10"/>
  <c r="CW42" i="10"/>
  <c r="CV42" i="10"/>
  <c r="CU42" i="10"/>
  <c r="CT42" i="10"/>
  <c r="CS42" i="10"/>
  <c r="CR42" i="10"/>
  <c r="CQ42" i="10"/>
  <c r="CP42" i="10"/>
  <c r="CO42" i="10"/>
  <c r="CN42" i="10"/>
  <c r="CM42" i="10"/>
  <c r="CL42" i="10"/>
  <c r="CK42" i="10"/>
  <c r="CJ42" i="10"/>
  <c r="CI42" i="10"/>
  <c r="CH42" i="10"/>
  <c r="CG42" i="10"/>
  <c r="CF42" i="10"/>
  <c r="CE42" i="10"/>
  <c r="CD42" i="10"/>
  <c r="CC42" i="10"/>
  <c r="CB42" i="10"/>
  <c r="CA42" i="10"/>
  <c r="BZ42" i="10"/>
  <c r="BY42" i="10"/>
  <c r="BX42" i="10"/>
  <c r="BW42" i="10"/>
  <c r="BV42" i="10"/>
  <c r="BU42" i="10"/>
  <c r="BT42" i="10"/>
  <c r="BS42" i="10"/>
  <c r="BR42" i="10"/>
  <c r="BQ42" i="10"/>
  <c r="BP42" i="10"/>
  <c r="BO42" i="10"/>
  <c r="BN42" i="10"/>
  <c r="BM42" i="10"/>
  <c r="BL42" i="10"/>
  <c r="BK42" i="10"/>
  <c r="BJ42" i="10"/>
  <c r="BI42" i="10"/>
  <c r="BH42" i="10"/>
  <c r="BG42" i="10"/>
  <c r="BF42" i="10"/>
  <c r="BE42" i="10"/>
  <c r="BD42" i="10"/>
  <c r="BC42" i="10"/>
  <c r="BB42" i="10"/>
  <c r="BA42" i="10"/>
  <c r="AZ42" i="10"/>
  <c r="AY42" i="10"/>
  <c r="AX42" i="10"/>
  <c r="AW42" i="10"/>
  <c r="AV42" i="10"/>
  <c r="AU42" i="10"/>
  <c r="AT42" i="10"/>
  <c r="AS42" i="10"/>
  <c r="AS45" i="10" s="1"/>
  <c r="AR42" i="10"/>
  <c r="AQ42" i="10"/>
  <c r="AP42" i="10"/>
  <c r="AO42" i="10"/>
  <c r="AN42" i="10"/>
  <c r="AM42" i="10"/>
  <c r="AL42" i="10"/>
  <c r="AK42" i="10"/>
  <c r="AJ42" i="10"/>
  <c r="AI42" i="10"/>
  <c r="AH42" i="10"/>
  <c r="AG42" i="10"/>
  <c r="AG44" i="10" s="1"/>
  <c r="AF42" i="10"/>
  <c r="AE42" i="10"/>
  <c r="AD42" i="10"/>
  <c r="AC42" i="10"/>
  <c r="AB42" i="10"/>
  <c r="AA42" i="10"/>
  <c r="Z42" i="10"/>
  <c r="Y42" i="10"/>
  <c r="X42" i="10"/>
  <c r="W42" i="10"/>
  <c r="V42" i="10"/>
  <c r="U42" i="10"/>
  <c r="U43" i="10" s="1"/>
  <c r="T42" i="10"/>
  <c r="S42" i="10"/>
  <c r="R42" i="10"/>
  <c r="Q42" i="10"/>
  <c r="P42" i="10"/>
  <c r="O42" i="10"/>
  <c r="N42" i="10"/>
  <c r="M42" i="10"/>
  <c r="L42" i="10"/>
  <c r="K42" i="10"/>
  <c r="J42" i="10"/>
  <c r="DY38" i="10"/>
  <c r="DX38" i="10"/>
  <c r="DW38" i="10"/>
  <c r="DV38" i="10"/>
  <c r="DU38" i="10"/>
  <c r="DT38" i="10"/>
  <c r="DS38" i="10"/>
  <c r="DR38" i="10"/>
  <c r="DQ38" i="10"/>
  <c r="DP38" i="10"/>
  <c r="DO38" i="10"/>
  <c r="DN38" i="10"/>
  <c r="DM38" i="10"/>
  <c r="DL38" i="10"/>
  <c r="DK38" i="10"/>
  <c r="DJ38" i="10"/>
  <c r="DI38" i="10"/>
  <c r="DH38" i="10"/>
  <c r="DG38" i="10"/>
  <c r="DF38" i="10"/>
  <c r="DE38" i="10"/>
  <c r="DD38" i="10"/>
  <c r="DC38" i="10"/>
  <c r="DB38" i="10"/>
  <c r="DA38" i="10"/>
  <c r="CZ38" i="10"/>
  <c r="CY38" i="10"/>
  <c r="CX38" i="10"/>
  <c r="CW38" i="10"/>
  <c r="CV38" i="10"/>
  <c r="CU38" i="10"/>
  <c r="CT38" i="10"/>
  <c r="CS38" i="10"/>
  <c r="CR38" i="10"/>
  <c r="CQ38" i="10"/>
  <c r="CP38" i="10"/>
  <c r="CO38" i="10"/>
  <c r="CN38" i="10"/>
  <c r="CM38" i="10"/>
  <c r="CL38" i="10"/>
  <c r="CK38" i="10"/>
  <c r="CJ38" i="10"/>
  <c r="CI38" i="10"/>
  <c r="CH38" i="10"/>
  <c r="CG38" i="10"/>
  <c r="CF38" i="10"/>
  <c r="CE38" i="10"/>
  <c r="CD38" i="10"/>
  <c r="CC38" i="10"/>
  <c r="CB38" i="10"/>
  <c r="CA38" i="10"/>
  <c r="BZ38" i="10"/>
  <c r="BY38" i="10"/>
  <c r="BX38" i="10"/>
  <c r="BW38" i="10"/>
  <c r="BV38" i="10"/>
  <c r="BU38" i="10"/>
  <c r="BT38" i="10"/>
  <c r="BS38" i="10"/>
  <c r="BR38" i="10"/>
  <c r="BQ38" i="10"/>
  <c r="BP38" i="10"/>
  <c r="BO38" i="10"/>
  <c r="BN38" i="10"/>
  <c r="BM38" i="10"/>
  <c r="BL38" i="10"/>
  <c r="BK38" i="10"/>
  <c r="BJ38" i="10"/>
  <c r="BI38" i="10"/>
  <c r="BH38" i="10"/>
  <c r="BG38" i="10"/>
  <c r="BF38" i="10"/>
  <c r="BE38" i="10"/>
  <c r="BD38" i="10"/>
  <c r="BC38" i="10"/>
  <c r="BB38" i="10"/>
  <c r="BA38" i="10"/>
  <c r="AZ38" i="10"/>
  <c r="AY38" i="10"/>
  <c r="AX38" i="10"/>
  <c r="AW38" i="10"/>
  <c r="AV38" i="10"/>
  <c r="AU38" i="10"/>
  <c r="AT38" i="10"/>
  <c r="AS38" i="10"/>
  <c r="AS41" i="10" s="1"/>
  <c r="AR38" i="10"/>
  <c r="AQ38" i="10"/>
  <c r="AP38" i="10"/>
  <c r="AO38" i="10"/>
  <c r="AN38" i="10"/>
  <c r="AM38" i="10"/>
  <c r="AL38" i="10"/>
  <c r="AK38" i="10"/>
  <c r="AJ38" i="10"/>
  <c r="AI38" i="10"/>
  <c r="AH38" i="10"/>
  <c r="AG38" i="10"/>
  <c r="AG40" i="10" s="1"/>
  <c r="AF38" i="10"/>
  <c r="AE38" i="10"/>
  <c r="AD38" i="10"/>
  <c r="AC38" i="10"/>
  <c r="AB38" i="10"/>
  <c r="AA38" i="10"/>
  <c r="Z38" i="10"/>
  <c r="Y38" i="10"/>
  <c r="X38" i="10"/>
  <c r="W38" i="10"/>
  <c r="V38" i="10"/>
  <c r="U38" i="10"/>
  <c r="U39" i="10" s="1"/>
  <c r="T38" i="10"/>
  <c r="S38" i="10"/>
  <c r="R38" i="10"/>
  <c r="Q38" i="10"/>
  <c r="P38" i="10"/>
  <c r="O38" i="10"/>
  <c r="N38" i="10"/>
  <c r="M38" i="10"/>
  <c r="L38" i="10"/>
  <c r="K38" i="10"/>
  <c r="J38" i="10"/>
  <c r="DY34" i="10"/>
  <c r="DX34" i="10"/>
  <c r="DW34" i="10"/>
  <c r="DV34" i="10"/>
  <c r="DU34" i="10"/>
  <c r="DT34" i="10"/>
  <c r="DS34" i="10"/>
  <c r="DR34" i="10"/>
  <c r="DQ34" i="10"/>
  <c r="DP34" i="10"/>
  <c r="DO34" i="10"/>
  <c r="DN34" i="10"/>
  <c r="DM34" i="10"/>
  <c r="DL34" i="10"/>
  <c r="DK34" i="10"/>
  <c r="DJ34" i="10"/>
  <c r="DI34" i="10"/>
  <c r="DH34" i="10"/>
  <c r="DG34" i="10"/>
  <c r="DF34" i="10"/>
  <c r="DE34" i="10"/>
  <c r="DD34" i="10"/>
  <c r="DC34" i="10"/>
  <c r="DB34" i="10"/>
  <c r="DA34" i="10"/>
  <c r="CZ34" i="10"/>
  <c r="CY34" i="10"/>
  <c r="CX34" i="10"/>
  <c r="CW34" i="10"/>
  <c r="CV34" i="10"/>
  <c r="CU34" i="10"/>
  <c r="CT34" i="10"/>
  <c r="CS34" i="10"/>
  <c r="CR34" i="10"/>
  <c r="CQ34" i="10"/>
  <c r="CP34" i="10"/>
  <c r="CO34" i="10"/>
  <c r="CN34" i="10"/>
  <c r="CM34" i="10"/>
  <c r="CL34" i="10"/>
  <c r="CK34" i="10"/>
  <c r="CJ34" i="10"/>
  <c r="CI34" i="10"/>
  <c r="CH34" i="10"/>
  <c r="CG34" i="10"/>
  <c r="CF34" i="10"/>
  <c r="CE34" i="10"/>
  <c r="CD34" i="10"/>
  <c r="CC34" i="10"/>
  <c r="CB34" i="10"/>
  <c r="CA34" i="10"/>
  <c r="BZ34" i="10"/>
  <c r="BY34" i="10"/>
  <c r="BX34" i="10"/>
  <c r="BW34" i="10"/>
  <c r="BV34" i="10"/>
  <c r="BU34" i="10"/>
  <c r="BT34" i="10"/>
  <c r="BS34" i="10"/>
  <c r="BR34" i="10"/>
  <c r="BQ34" i="10"/>
  <c r="BP34" i="10"/>
  <c r="BO34" i="10"/>
  <c r="BN34" i="10"/>
  <c r="BM34" i="10"/>
  <c r="BL34" i="10"/>
  <c r="BK34" i="10"/>
  <c r="BJ34" i="10"/>
  <c r="BI34" i="10"/>
  <c r="BH34" i="10"/>
  <c r="BG34" i="10"/>
  <c r="BF34" i="10"/>
  <c r="BE34" i="10"/>
  <c r="BD34" i="10"/>
  <c r="BC34" i="10"/>
  <c r="BB34" i="10"/>
  <c r="BA34" i="10"/>
  <c r="AZ34" i="10"/>
  <c r="AY34" i="10"/>
  <c r="AX34" i="10"/>
  <c r="AW34" i="10"/>
  <c r="AV34" i="10"/>
  <c r="AU34" i="10"/>
  <c r="AT34" i="10"/>
  <c r="AS34" i="10"/>
  <c r="AS37" i="10" s="1"/>
  <c r="AR34" i="10"/>
  <c r="AQ34" i="10"/>
  <c r="AP34" i="10"/>
  <c r="AO34" i="10"/>
  <c r="AN34" i="10"/>
  <c r="AM34" i="10"/>
  <c r="AL34" i="10"/>
  <c r="AK34" i="10"/>
  <c r="AJ34" i="10"/>
  <c r="AI34" i="10"/>
  <c r="AH34" i="10"/>
  <c r="AG34" i="10"/>
  <c r="AG36" i="10" s="1"/>
  <c r="AF34" i="10"/>
  <c r="AE34" i="10"/>
  <c r="AD34" i="10"/>
  <c r="AC34" i="10"/>
  <c r="AB34" i="10"/>
  <c r="AA34" i="10"/>
  <c r="Z34" i="10"/>
  <c r="Y34" i="10"/>
  <c r="X34" i="10"/>
  <c r="W34" i="10"/>
  <c r="V34" i="10"/>
  <c r="U34" i="10"/>
  <c r="U35" i="10" s="1"/>
  <c r="T34" i="10"/>
  <c r="S34" i="10"/>
  <c r="R34" i="10"/>
  <c r="Q34" i="10"/>
  <c r="P34" i="10"/>
  <c r="O34" i="10"/>
  <c r="N34" i="10"/>
  <c r="M34" i="10"/>
  <c r="L34" i="10"/>
  <c r="K34" i="10"/>
  <c r="J34" i="10"/>
  <c r="DY30" i="10"/>
  <c r="DX30" i="10"/>
  <c r="DW30" i="10"/>
  <c r="DV30" i="10"/>
  <c r="DU30" i="10"/>
  <c r="DT30" i="10"/>
  <c r="DS30" i="10"/>
  <c r="DR30" i="10"/>
  <c r="DQ30" i="10"/>
  <c r="DP30" i="10"/>
  <c r="DO30" i="10"/>
  <c r="DN30" i="10"/>
  <c r="DM30" i="10"/>
  <c r="DL30" i="10"/>
  <c r="DK30" i="10"/>
  <c r="DJ30" i="10"/>
  <c r="DI30" i="10"/>
  <c r="DH30" i="10"/>
  <c r="DG30" i="10"/>
  <c r="DF30" i="10"/>
  <c r="DE30" i="10"/>
  <c r="DD30" i="10"/>
  <c r="DC30" i="10"/>
  <c r="DB30" i="10"/>
  <c r="DA30" i="10"/>
  <c r="CZ30" i="10"/>
  <c r="CY30" i="10"/>
  <c r="CX30" i="10"/>
  <c r="CW30" i="10"/>
  <c r="CV30" i="10"/>
  <c r="CU30" i="10"/>
  <c r="CT30" i="10"/>
  <c r="CS30" i="10"/>
  <c r="CR30" i="10"/>
  <c r="CQ30" i="10"/>
  <c r="CP30" i="10"/>
  <c r="CO30" i="10"/>
  <c r="CN30" i="10"/>
  <c r="CM30" i="10"/>
  <c r="CL30" i="10"/>
  <c r="CK30" i="10"/>
  <c r="CJ30" i="10"/>
  <c r="CI30" i="10"/>
  <c r="CH30" i="10"/>
  <c r="CG30" i="10"/>
  <c r="CF30" i="10"/>
  <c r="CE30" i="10"/>
  <c r="CD30" i="10"/>
  <c r="CC30" i="10"/>
  <c r="CB30" i="10"/>
  <c r="CA30" i="10"/>
  <c r="BZ30" i="10"/>
  <c r="BY30" i="10"/>
  <c r="BX30" i="10"/>
  <c r="BW30" i="10"/>
  <c r="BV30" i="10"/>
  <c r="BU30" i="10"/>
  <c r="BT30" i="10"/>
  <c r="BS30" i="10"/>
  <c r="BR30" i="10"/>
  <c r="BQ30" i="10"/>
  <c r="BP30" i="10"/>
  <c r="BO30" i="10"/>
  <c r="BN30" i="10"/>
  <c r="BM30" i="10"/>
  <c r="BL30" i="10"/>
  <c r="BK30" i="10"/>
  <c r="BJ30" i="10"/>
  <c r="BI30" i="10"/>
  <c r="BH30" i="10"/>
  <c r="BG30" i="10"/>
  <c r="BF30" i="10"/>
  <c r="BE30" i="10"/>
  <c r="BD30" i="10"/>
  <c r="BC30" i="10"/>
  <c r="BB30" i="10"/>
  <c r="BA30" i="10"/>
  <c r="AZ30" i="10"/>
  <c r="AY30" i="10"/>
  <c r="AX30" i="10"/>
  <c r="AW30" i="10"/>
  <c r="AV30" i="10"/>
  <c r="AU30" i="10"/>
  <c r="AT30" i="10"/>
  <c r="AS30" i="10"/>
  <c r="AR30" i="10"/>
  <c r="AQ30" i="10"/>
  <c r="AP30" i="10"/>
  <c r="AO30"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DY26" i="10"/>
  <c r="DX26" i="10"/>
  <c r="DW26" i="10"/>
  <c r="DV26" i="10"/>
  <c r="DU26" i="10"/>
  <c r="DT26" i="10"/>
  <c r="DS26" i="10"/>
  <c r="DR26" i="10"/>
  <c r="DQ26" i="10"/>
  <c r="DP26" i="10"/>
  <c r="DO26" i="10"/>
  <c r="DN26" i="10"/>
  <c r="DM26" i="10"/>
  <c r="DL26" i="10"/>
  <c r="DK26" i="10"/>
  <c r="DJ26" i="10"/>
  <c r="DI26" i="10"/>
  <c r="DH26" i="10"/>
  <c r="DG26" i="10"/>
  <c r="DF26" i="10"/>
  <c r="DE26" i="10"/>
  <c r="DD26" i="10"/>
  <c r="DC26" i="10"/>
  <c r="DB26" i="10"/>
  <c r="DA26" i="10"/>
  <c r="CZ26" i="10"/>
  <c r="CY26" i="10"/>
  <c r="CX26" i="10"/>
  <c r="CW26" i="10"/>
  <c r="CV26" i="10"/>
  <c r="CU26" i="10"/>
  <c r="CT26" i="10"/>
  <c r="CS26" i="10"/>
  <c r="CR26" i="10"/>
  <c r="CQ26" i="10"/>
  <c r="CP26" i="10"/>
  <c r="CO26" i="10"/>
  <c r="CN26" i="10"/>
  <c r="CM26" i="10"/>
  <c r="CL26" i="10"/>
  <c r="CK26" i="10"/>
  <c r="CJ26" i="10"/>
  <c r="CI26" i="10"/>
  <c r="CH26" i="10"/>
  <c r="CG26" i="10"/>
  <c r="CF26" i="10"/>
  <c r="CE26" i="10"/>
  <c r="CD26" i="10"/>
  <c r="CC26" i="10"/>
  <c r="CB26" i="10"/>
  <c r="CA26" i="10"/>
  <c r="BZ26" i="10"/>
  <c r="BY26" i="10"/>
  <c r="BX26" i="10"/>
  <c r="BW26" i="10"/>
  <c r="BV26" i="10"/>
  <c r="BU26" i="10"/>
  <c r="BT26" i="10"/>
  <c r="BS26" i="10"/>
  <c r="BR26" i="10"/>
  <c r="BQ26" i="10"/>
  <c r="BP26" i="10"/>
  <c r="BO26" i="10"/>
  <c r="BN26" i="10"/>
  <c r="BM26" i="10"/>
  <c r="BL26" i="10"/>
  <c r="BK26" i="10"/>
  <c r="BJ26" i="10"/>
  <c r="BI26" i="10"/>
  <c r="BH26" i="10"/>
  <c r="BG26" i="10"/>
  <c r="BF26" i="10"/>
  <c r="BE26" i="10"/>
  <c r="BD26" i="10"/>
  <c r="BC26" i="10"/>
  <c r="BB26" i="10"/>
  <c r="BA26" i="10"/>
  <c r="AZ26" i="10"/>
  <c r="AY26" i="10"/>
  <c r="AX26" i="10"/>
  <c r="AW26" i="10"/>
  <c r="AV26" i="10"/>
  <c r="AU26" i="10"/>
  <c r="AT26" i="10"/>
  <c r="AS26" i="10"/>
  <c r="AR26" i="10"/>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J26" i="10"/>
  <c r="K26" i="10" s="1"/>
  <c r="L26" i="10" s="1"/>
  <c r="M26" i="10" s="1"/>
  <c r="N26" i="10" s="1"/>
  <c r="O26" i="10" s="1"/>
  <c r="P26" i="10" s="1"/>
  <c r="Q26" i="10" s="1"/>
  <c r="R26" i="10" s="1"/>
  <c r="DY22" i="10"/>
  <c r="DX22" i="10"/>
  <c r="DW22" i="10"/>
  <c r="DV22" i="10"/>
  <c r="DU22" i="10"/>
  <c r="DT22" i="10"/>
  <c r="DS22" i="10"/>
  <c r="DR22" i="10"/>
  <c r="DQ22" i="10"/>
  <c r="DP22" i="10"/>
  <c r="DO22" i="10"/>
  <c r="DN22" i="10"/>
  <c r="DM22" i="10"/>
  <c r="DL22" i="10"/>
  <c r="DK22" i="10"/>
  <c r="DJ22" i="10"/>
  <c r="DI22" i="10"/>
  <c r="DH22" i="10"/>
  <c r="DG22" i="10"/>
  <c r="DF22" i="10"/>
  <c r="DE22" i="10"/>
  <c r="DD22" i="10"/>
  <c r="DC22" i="10"/>
  <c r="DB22" i="10"/>
  <c r="DA22" i="10"/>
  <c r="CZ22" i="10"/>
  <c r="CY22" i="10"/>
  <c r="CX22" i="10"/>
  <c r="CW22" i="10"/>
  <c r="CV22" i="10"/>
  <c r="CU22" i="10"/>
  <c r="CT22" i="10"/>
  <c r="CS22" i="10"/>
  <c r="CR22" i="10"/>
  <c r="CQ22" i="10"/>
  <c r="CP22" i="10"/>
  <c r="CO22" i="10"/>
  <c r="CN22" i="10"/>
  <c r="CM22" i="10"/>
  <c r="CL22" i="10"/>
  <c r="CK22" i="10"/>
  <c r="CJ22" i="10"/>
  <c r="CI22" i="10"/>
  <c r="CH22" i="10"/>
  <c r="CG22" i="10"/>
  <c r="CF22" i="10"/>
  <c r="CE22" i="10"/>
  <c r="CD22" i="10"/>
  <c r="CC22" i="10"/>
  <c r="CB22" i="10"/>
  <c r="CA22" i="10"/>
  <c r="BZ22" i="10"/>
  <c r="BY22" i="10"/>
  <c r="BX22" i="10"/>
  <c r="BW22" i="10"/>
  <c r="BV22" i="10"/>
  <c r="BU22" i="10"/>
  <c r="BT22" i="10"/>
  <c r="BS22" i="10"/>
  <c r="BR22" i="10"/>
  <c r="BQ22" i="10"/>
  <c r="DY17" i="10"/>
  <c r="DX17" i="10"/>
  <c r="DW17" i="10"/>
  <c r="DV17" i="10"/>
  <c r="DU17" i="10"/>
  <c r="DT17" i="10"/>
  <c r="DS17" i="10"/>
  <c r="DR17" i="10"/>
  <c r="DQ17" i="10"/>
  <c r="DP17" i="10"/>
  <c r="DO17" i="10"/>
  <c r="DN17" i="10"/>
  <c r="DM17" i="10"/>
  <c r="DL17" i="10"/>
  <c r="DK17" i="10"/>
  <c r="DJ17" i="10"/>
  <c r="DI17" i="10"/>
  <c r="DH17" i="10"/>
  <c r="DG17" i="10"/>
  <c r="DF17" i="10"/>
  <c r="DE17" i="10"/>
  <c r="DD17" i="10"/>
  <c r="DC17" i="10"/>
  <c r="DB17" i="10"/>
  <c r="DA17" i="10"/>
  <c r="CZ17" i="10"/>
  <c r="CY17" i="10"/>
  <c r="CX17" i="10"/>
  <c r="CW17" i="10"/>
  <c r="CV17" i="10"/>
  <c r="CU17" i="10"/>
  <c r="CT17" i="10"/>
  <c r="CS17" i="10"/>
  <c r="CR17" i="10"/>
  <c r="CQ17" i="10"/>
  <c r="CP17" i="10"/>
  <c r="CO17" i="10"/>
  <c r="CN17" i="10"/>
  <c r="CM17" i="10"/>
  <c r="CL17" i="10"/>
  <c r="CK17" i="10"/>
  <c r="CJ17" i="10"/>
  <c r="CI17" i="10"/>
  <c r="CH17" i="10"/>
  <c r="CG17" i="10"/>
  <c r="CF17" i="10"/>
  <c r="CE17" i="10"/>
  <c r="CD17" i="10"/>
  <c r="CC17" i="10"/>
  <c r="CB17" i="10"/>
  <c r="CA17" i="10"/>
  <c r="BZ17" i="10"/>
  <c r="BY17" i="10"/>
  <c r="BX17" i="10"/>
  <c r="BW17" i="10"/>
  <c r="BV17" i="10"/>
  <c r="BU17" i="10"/>
  <c r="BT17" i="10"/>
  <c r="BS17" i="10"/>
  <c r="BR17" i="10"/>
  <c r="BQ17" i="10"/>
  <c r="BP17" i="10"/>
  <c r="BO17" i="10"/>
  <c r="BN17" i="10"/>
  <c r="BM17" i="10"/>
  <c r="BL17" i="10"/>
  <c r="BK17" i="10"/>
  <c r="BJ17" i="10"/>
  <c r="BI17" i="10"/>
  <c r="BH17" i="10"/>
  <c r="BG17" i="10"/>
  <c r="BF17" i="10"/>
  <c r="BE17" i="10"/>
  <c r="BD17" i="10"/>
  <c r="BC17" i="10"/>
  <c r="BB17" i="10"/>
  <c r="BA17" i="10"/>
  <c r="AZ17" i="10"/>
  <c r="AY17" i="10"/>
  <c r="AX17" i="10"/>
  <c r="AW17" i="10"/>
  <c r="AV17" i="10"/>
  <c r="AU17" i="10"/>
  <c r="AT17" i="10"/>
  <c r="AS17" i="10"/>
  <c r="AR17" i="10"/>
  <c r="AQ17" i="10"/>
  <c r="AP17" i="10"/>
  <c r="AO17" i="10"/>
  <c r="AN17" i="10"/>
  <c r="AM17" i="10"/>
  <c r="AL17" i="10"/>
  <c r="AK17" i="10"/>
  <c r="AJ17" i="10"/>
  <c r="AI17" i="10"/>
  <c r="AH17" i="10"/>
  <c r="AH19" i="10" s="1"/>
  <c r="AG17" i="10"/>
  <c r="AF17" i="10"/>
  <c r="AE17" i="10"/>
  <c r="AD17" i="10"/>
  <c r="AC17" i="10"/>
  <c r="AB17" i="10"/>
  <c r="AA17" i="10"/>
  <c r="Z17" i="10"/>
  <c r="Y17" i="10"/>
  <c r="X17" i="10"/>
  <c r="W17" i="10"/>
  <c r="V17" i="10"/>
  <c r="U17" i="10"/>
  <c r="T17" i="10"/>
  <c r="S17" i="10"/>
  <c r="R17" i="10"/>
  <c r="Q17" i="10"/>
  <c r="P17" i="10"/>
  <c r="O17" i="10"/>
  <c r="N17" i="10"/>
  <c r="M17" i="10"/>
  <c r="L17" i="10"/>
  <c r="K17" i="10"/>
  <c r="J17" i="10"/>
  <c r="DY13" i="10"/>
  <c r="DX13" i="10"/>
  <c r="DW13" i="10"/>
  <c r="DV13" i="10"/>
  <c r="DU13" i="10"/>
  <c r="DT13" i="10"/>
  <c r="DS13" i="10"/>
  <c r="DR13" i="10"/>
  <c r="DQ13" i="10"/>
  <c r="DP13" i="10"/>
  <c r="DO13" i="10"/>
  <c r="DN13" i="10"/>
  <c r="DM13" i="10"/>
  <c r="DL13" i="10"/>
  <c r="DK13" i="10"/>
  <c r="DJ13" i="10"/>
  <c r="DI13" i="10"/>
  <c r="DH13" i="10"/>
  <c r="DG13" i="10"/>
  <c r="DF13" i="10"/>
  <c r="DE13" i="10"/>
  <c r="DD13" i="10"/>
  <c r="DC13" i="10"/>
  <c r="DB13" i="10"/>
  <c r="DA13" i="10"/>
  <c r="CZ13" i="10"/>
  <c r="CY13" i="10"/>
  <c r="CX13" i="10"/>
  <c r="CW13" i="10"/>
  <c r="CV13" i="10"/>
  <c r="CU13" i="10"/>
  <c r="CT13" i="10"/>
  <c r="CS13" i="10"/>
  <c r="CR13" i="10"/>
  <c r="CQ13" i="10"/>
  <c r="CP13" i="10"/>
  <c r="CO13" i="10"/>
  <c r="CN13" i="10"/>
  <c r="CM13" i="10"/>
  <c r="CL13" i="10"/>
  <c r="CK13" i="10"/>
  <c r="CJ13" i="10"/>
  <c r="CI13" i="10"/>
  <c r="CH13" i="10"/>
  <c r="CG13" i="10"/>
  <c r="CF13" i="10"/>
  <c r="CE13" i="10"/>
  <c r="CD13" i="10"/>
  <c r="CC13" i="10"/>
  <c r="CB13" i="10"/>
  <c r="CA13" i="10"/>
  <c r="BZ13" i="10"/>
  <c r="BY13" i="10"/>
  <c r="BX13" i="10"/>
  <c r="BW13" i="10"/>
  <c r="BV13" i="10"/>
  <c r="BU13" i="10"/>
  <c r="BT13" i="10"/>
  <c r="BS13" i="10"/>
  <c r="BR13" i="10"/>
  <c r="BQ13" i="10"/>
  <c r="BP13" i="10"/>
  <c r="BO13" i="10"/>
  <c r="BN13" i="10"/>
  <c r="BM13" i="10"/>
  <c r="BL13" i="10"/>
  <c r="BK13" i="10"/>
  <c r="BJ13" i="10"/>
  <c r="BI13" i="10"/>
  <c r="BH13" i="10"/>
  <c r="BG13" i="10"/>
  <c r="BF13" i="10"/>
  <c r="BE13" i="10"/>
  <c r="BD13" i="10"/>
  <c r="BC13" i="10"/>
  <c r="BB13" i="10"/>
  <c r="BA13" i="10"/>
  <c r="AZ13" i="10"/>
  <c r="AY13" i="10"/>
  <c r="AX13" i="10"/>
  <c r="AW13" i="10"/>
  <c r="AV13" i="10"/>
  <c r="AU13" i="10"/>
  <c r="AT13" i="10"/>
  <c r="AS13" i="10"/>
  <c r="AR13" i="10"/>
  <c r="AQ13" i="10"/>
  <c r="AP13" i="10"/>
  <c r="AO13" i="10"/>
  <c r="AN13" i="10"/>
  <c r="AM13" i="10"/>
  <c r="AL13" i="10"/>
  <c r="AK13" i="10"/>
  <c r="AJ13" i="10"/>
  <c r="AI13"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DY4" i="10"/>
  <c r="DX4" i="10"/>
  <c r="DW4" i="10"/>
  <c r="DV4" i="10"/>
  <c r="DU4" i="10"/>
  <c r="DT4" i="10"/>
  <c r="DS4" i="10"/>
  <c r="DR4" i="10"/>
  <c r="DQ4" i="10"/>
  <c r="DP4" i="10"/>
  <c r="DO4" i="10"/>
  <c r="DN4" i="10"/>
  <c r="DM4" i="10"/>
  <c r="DL4" i="10"/>
  <c r="DK4" i="10"/>
  <c r="DJ4" i="10"/>
  <c r="DI4" i="10"/>
  <c r="DH4" i="10"/>
  <c r="DG4" i="10"/>
  <c r="DF4" i="10"/>
  <c r="DE4" i="10"/>
  <c r="DD4" i="10"/>
  <c r="DC4" i="10"/>
  <c r="DB4" i="10"/>
  <c r="DA4" i="10"/>
  <c r="CZ4" i="10"/>
  <c r="CY4" i="10"/>
  <c r="CX4" i="10"/>
  <c r="CW4" i="10"/>
  <c r="CV4" i="10"/>
  <c r="CU4" i="10"/>
  <c r="CT4" i="10"/>
  <c r="CS4" i="10"/>
  <c r="CR4" i="10"/>
  <c r="CQ4" i="10"/>
  <c r="CP4" i="10"/>
  <c r="CO4" i="10"/>
  <c r="CN4" i="10"/>
  <c r="CM4" i="10"/>
  <c r="CL4" i="10"/>
  <c r="CK4" i="10"/>
  <c r="CJ4" i="10"/>
  <c r="CI4" i="10"/>
  <c r="CH4" i="10"/>
  <c r="CG4" i="10"/>
  <c r="CF4" i="10"/>
  <c r="CE4" i="10"/>
  <c r="CD4" i="10"/>
  <c r="CC4" i="10"/>
  <c r="CB4" i="10"/>
  <c r="CA4" i="10"/>
  <c r="BZ4" i="10"/>
  <c r="BY4" i="10"/>
  <c r="BX4" i="10"/>
  <c r="BW4" i="10"/>
  <c r="BV4" i="10"/>
  <c r="BU4" i="10"/>
  <c r="BT4" i="10"/>
  <c r="BS4" i="10"/>
  <c r="BR4" i="10"/>
  <c r="BQ4" i="10"/>
  <c r="BP4" i="10"/>
  <c r="BO4" i="10"/>
  <c r="BN4" i="10"/>
  <c r="BM4" i="10"/>
  <c r="BL4" i="10"/>
  <c r="BK4" i="10"/>
  <c r="BJ4" i="10"/>
  <c r="BI4" i="10"/>
  <c r="BH4" i="10"/>
  <c r="BG4" i="10"/>
  <c r="BF4" i="10"/>
  <c r="BE4" i="10"/>
  <c r="BD4" i="10"/>
  <c r="BC4" i="10"/>
  <c r="BB4" i="10"/>
  <c r="BA4" i="10"/>
  <c r="AZ4" i="10"/>
  <c r="AY4" i="10"/>
  <c r="AX4" i="10"/>
  <c r="AW4" i="10"/>
  <c r="AV4" i="10"/>
  <c r="AU4" i="10"/>
  <c r="AT4" i="10"/>
  <c r="AS4" i="10"/>
  <c r="AS7" i="10" s="1"/>
  <c r="AR4" i="10"/>
  <c r="AQ4" i="10"/>
  <c r="AP4" i="10"/>
  <c r="AO4" i="10"/>
  <c r="AN4" i="10"/>
  <c r="AM4" i="10"/>
  <c r="AL4" i="10"/>
  <c r="AK4" i="10"/>
  <c r="AJ4" i="10"/>
  <c r="AI4" i="10"/>
  <c r="AH4" i="10"/>
  <c r="AG4" i="10"/>
  <c r="AG6" i="10" s="1"/>
  <c r="AF4" i="10"/>
  <c r="AE4" i="10"/>
  <c r="AD4" i="10"/>
  <c r="AC4" i="10"/>
  <c r="AB4" i="10"/>
  <c r="AA4" i="10"/>
  <c r="Z4" i="10"/>
  <c r="Y4" i="10"/>
  <c r="X4" i="10"/>
  <c r="W4" i="10"/>
  <c r="V4" i="10"/>
  <c r="U4" i="10"/>
  <c r="U5" i="10" s="1"/>
  <c r="T4" i="10"/>
  <c r="T3" i="10" s="1"/>
  <c r="S4" i="10"/>
  <c r="R4" i="10"/>
  <c r="R3" i="10" s="1"/>
  <c r="Q4" i="10"/>
  <c r="Q3" i="10" s="1"/>
  <c r="P4" i="10"/>
  <c r="P3" i="10" s="1"/>
  <c r="O4" i="10"/>
  <c r="N4" i="10"/>
  <c r="M4" i="10"/>
  <c r="L4" i="10"/>
  <c r="K4" i="10"/>
  <c r="J4" i="10"/>
  <c r="K21" i="9"/>
  <c r="L21" i="9"/>
  <c r="M21" i="9"/>
  <c r="N21" i="9"/>
  <c r="O21" i="9"/>
  <c r="O20" i="9" s="1"/>
  <c r="P21" i="9"/>
  <c r="Q21" i="9"/>
  <c r="Q20" i="9" s="1"/>
  <c r="R21" i="9"/>
  <c r="S21" i="9"/>
  <c r="T21" i="9"/>
  <c r="U21" i="9"/>
  <c r="V21" i="9"/>
  <c r="W21" i="9"/>
  <c r="X21" i="9"/>
  <c r="Y21" i="9"/>
  <c r="Z21" i="9"/>
  <c r="AA21" i="9"/>
  <c r="AA20" i="9" s="1"/>
  <c r="AB21" i="9"/>
  <c r="AC21" i="9"/>
  <c r="AD21" i="9"/>
  <c r="AE21" i="9"/>
  <c r="AF21" i="9"/>
  <c r="AG21" i="9"/>
  <c r="AH21" i="9"/>
  <c r="AI21" i="9"/>
  <c r="AJ21" i="9"/>
  <c r="AK21" i="9"/>
  <c r="AL21" i="9"/>
  <c r="AM21" i="9"/>
  <c r="AN21" i="9"/>
  <c r="AO21" i="9"/>
  <c r="AP21" i="9"/>
  <c r="AQ21" i="9"/>
  <c r="AR21" i="9"/>
  <c r="AS21" i="9"/>
  <c r="AT21" i="9"/>
  <c r="AU21" i="9"/>
  <c r="AV21" i="9"/>
  <c r="AW21" i="9"/>
  <c r="AX21" i="9"/>
  <c r="AY21" i="9"/>
  <c r="AY20" i="9" s="1"/>
  <c r="AZ21" i="9"/>
  <c r="BA21" i="9"/>
  <c r="BB21" i="9"/>
  <c r="BC21" i="9"/>
  <c r="BD21" i="9"/>
  <c r="BE21" i="9"/>
  <c r="BF21" i="9"/>
  <c r="BG21" i="9"/>
  <c r="BH21" i="9"/>
  <c r="BI21" i="9"/>
  <c r="BJ21" i="9"/>
  <c r="BK21" i="9"/>
  <c r="BK20" i="9" s="1"/>
  <c r="BL21" i="9"/>
  <c r="BM21" i="9"/>
  <c r="BM20" i="9" s="1"/>
  <c r="BN21" i="9"/>
  <c r="BO21" i="9"/>
  <c r="BP21" i="9"/>
  <c r="BQ21" i="9"/>
  <c r="BR21" i="9"/>
  <c r="BS21" i="9"/>
  <c r="BT21" i="9"/>
  <c r="BU21" i="9"/>
  <c r="BV21" i="9"/>
  <c r="BW21" i="9"/>
  <c r="BW20" i="9" s="1"/>
  <c r="BX21" i="9"/>
  <c r="BY21" i="9"/>
  <c r="BZ21" i="9"/>
  <c r="CA21" i="9"/>
  <c r="CB21" i="9"/>
  <c r="CC21" i="9"/>
  <c r="CD21" i="9"/>
  <c r="CE21" i="9"/>
  <c r="CF21" i="9"/>
  <c r="CG21" i="9"/>
  <c r="CH21" i="9"/>
  <c r="CI21" i="9"/>
  <c r="CI20" i="9" s="1"/>
  <c r="CJ21" i="9"/>
  <c r="CK21" i="9"/>
  <c r="CL21" i="9"/>
  <c r="CM21" i="9"/>
  <c r="CN21" i="9"/>
  <c r="CO21" i="9"/>
  <c r="CP21" i="9"/>
  <c r="CQ21" i="9"/>
  <c r="CR21" i="9"/>
  <c r="CS21" i="9"/>
  <c r="CT21" i="9"/>
  <c r="CU21" i="9"/>
  <c r="CU20" i="9" s="1"/>
  <c r="CV21" i="9"/>
  <c r="CW21" i="9"/>
  <c r="CX21" i="9"/>
  <c r="CY21" i="9"/>
  <c r="CZ21" i="9"/>
  <c r="DA21" i="9"/>
  <c r="DB21" i="9"/>
  <c r="DC21" i="9"/>
  <c r="DD21" i="9"/>
  <c r="DE21" i="9"/>
  <c r="DF21" i="9"/>
  <c r="DG21" i="9"/>
  <c r="DH21" i="9"/>
  <c r="DI21" i="9"/>
  <c r="DI20" i="9" s="1"/>
  <c r="DJ21" i="9"/>
  <c r="DK21" i="9"/>
  <c r="DL21" i="9"/>
  <c r="DM21" i="9"/>
  <c r="DN21" i="9"/>
  <c r="DO21" i="9"/>
  <c r="DP21" i="9"/>
  <c r="DQ21" i="9"/>
  <c r="DR21" i="9"/>
  <c r="DS21" i="9"/>
  <c r="DS20" i="9" s="1"/>
  <c r="DT21" i="9"/>
  <c r="DU21" i="9"/>
  <c r="DV21" i="9"/>
  <c r="DW21" i="9"/>
  <c r="DX21" i="9"/>
  <c r="DY21" i="9"/>
  <c r="J21" i="9"/>
  <c r="J22" i="9"/>
  <c r="K18" i="9"/>
  <c r="L18" i="9"/>
  <c r="M18" i="9"/>
  <c r="N18" i="9"/>
  <c r="O18" i="9"/>
  <c r="P18" i="9"/>
  <c r="Q18" i="9"/>
  <c r="R18" i="9"/>
  <c r="S18" i="9"/>
  <c r="T18" i="9"/>
  <c r="T17" i="9" s="1"/>
  <c r="U18" i="9"/>
  <c r="V18" i="9"/>
  <c r="W18" i="9"/>
  <c r="X18" i="9"/>
  <c r="Y18" i="9"/>
  <c r="Z18" i="9"/>
  <c r="AA18" i="9"/>
  <c r="AB18" i="9"/>
  <c r="AC18" i="9"/>
  <c r="AD18" i="9"/>
  <c r="AE18" i="9"/>
  <c r="AF18" i="9"/>
  <c r="AG18" i="9"/>
  <c r="AH18" i="9"/>
  <c r="AI18" i="9"/>
  <c r="AJ18" i="9"/>
  <c r="AK18" i="9"/>
  <c r="AL18" i="9"/>
  <c r="AM18" i="9"/>
  <c r="AN18" i="9"/>
  <c r="AN17" i="9" s="1"/>
  <c r="AO18" i="9"/>
  <c r="AP18" i="9"/>
  <c r="AQ18" i="9"/>
  <c r="AR18" i="9"/>
  <c r="AS18" i="9"/>
  <c r="AT18" i="9"/>
  <c r="AU18" i="9"/>
  <c r="AV18" i="9"/>
  <c r="AW18" i="9"/>
  <c r="AX18" i="9"/>
  <c r="AY18" i="9"/>
  <c r="AZ18" i="9"/>
  <c r="BA18" i="9"/>
  <c r="BB18" i="9"/>
  <c r="BC18" i="9"/>
  <c r="BD18" i="9"/>
  <c r="BE18" i="9"/>
  <c r="BF18" i="9"/>
  <c r="BG18" i="9"/>
  <c r="BH18" i="9"/>
  <c r="BI18" i="9"/>
  <c r="BJ18" i="9"/>
  <c r="BK18" i="9"/>
  <c r="BL18" i="9"/>
  <c r="BM18" i="9"/>
  <c r="BN18" i="9"/>
  <c r="BO18" i="9"/>
  <c r="BP18" i="9"/>
  <c r="BQ18" i="9"/>
  <c r="BR18" i="9"/>
  <c r="BS18" i="9"/>
  <c r="BT18" i="9"/>
  <c r="BU18" i="9"/>
  <c r="BV18" i="9"/>
  <c r="BW18" i="9"/>
  <c r="BX18" i="9"/>
  <c r="BY18" i="9"/>
  <c r="BZ18" i="9"/>
  <c r="CA18" i="9"/>
  <c r="CB18" i="9"/>
  <c r="CC18" i="9"/>
  <c r="CD18" i="9"/>
  <c r="CE18" i="9"/>
  <c r="CF18" i="9"/>
  <c r="CG18" i="9"/>
  <c r="CH18" i="9"/>
  <c r="CI18" i="9"/>
  <c r="CJ18" i="9"/>
  <c r="CJ17" i="9" s="1"/>
  <c r="CK18" i="9"/>
  <c r="CL18" i="9"/>
  <c r="CM18" i="9"/>
  <c r="CN18" i="9"/>
  <c r="CO18" i="9"/>
  <c r="CP18" i="9"/>
  <c r="CQ18" i="9"/>
  <c r="CR18" i="9"/>
  <c r="CS18" i="9"/>
  <c r="CT18" i="9"/>
  <c r="CU18" i="9"/>
  <c r="CV18" i="9"/>
  <c r="CW18" i="9"/>
  <c r="CX18" i="9"/>
  <c r="CY18" i="9"/>
  <c r="CZ18" i="9"/>
  <c r="DA18" i="9"/>
  <c r="DB18" i="9"/>
  <c r="DC18" i="9"/>
  <c r="DD18" i="9"/>
  <c r="DE18" i="9"/>
  <c r="DF18" i="9"/>
  <c r="DG18" i="9"/>
  <c r="DH18" i="9"/>
  <c r="DI18" i="9"/>
  <c r="DJ18" i="9"/>
  <c r="DK18" i="9"/>
  <c r="DL18" i="9"/>
  <c r="DM18" i="9"/>
  <c r="DN18" i="9"/>
  <c r="DO18" i="9"/>
  <c r="DP18" i="9"/>
  <c r="DQ18" i="9"/>
  <c r="DR18" i="9"/>
  <c r="DS18" i="9"/>
  <c r="DT18" i="9"/>
  <c r="DU18" i="9"/>
  <c r="DV18" i="9"/>
  <c r="DW18" i="9"/>
  <c r="DX18" i="9"/>
  <c r="DY18" i="9"/>
  <c r="K19" i="9"/>
  <c r="L19" i="9"/>
  <c r="M19" i="9"/>
  <c r="N19" i="9"/>
  <c r="O19" i="9"/>
  <c r="P19" i="9"/>
  <c r="Q19" i="9"/>
  <c r="R19" i="9"/>
  <c r="S19" i="9"/>
  <c r="T19" i="9"/>
  <c r="U19" i="9"/>
  <c r="V19" i="9"/>
  <c r="W19" i="9"/>
  <c r="X19" i="9"/>
  <c r="Y19" i="9"/>
  <c r="Z19" i="9"/>
  <c r="AA19" i="9"/>
  <c r="AB19" i="9"/>
  <c r="AC19" i="9"/>
  <c r="AC17" i="9" s="1"/>
  <c r="AD19" i="9"/>
  <c r="AE19" i="9"/>
  <c r="AF19" i="9"/>
  <c r="AG19" i="9"/>
  <c r="AH19" i="9"/>
  <c r="AI19" i="9"/>
  <c r="AJ19" i="9"/>
  <c r="AK19" i="9"/>
  <c r="AL19" i="9"/>
  <c r="AM19" i="9"/>
  <c r="AN19" i="9"/>
  <c r="AO19" i="9"/>
  <c r="AP19" i="9"/>
  <c r="AQ19" i="9"/>
  <c r="AR19" i="9"/>
  <c r="AS19" i="9"/>
  <c r="AT19" i="9"/>
  <c r="AU19" i="9"/>
  <c r="AV19" i="9"/>
  <c r="AW19" i="9"/>
  <c r="AX19" i="9"/>
  <c r="AY19" i="9"/>
  <c r="AZ19" i="9"/>
  <c r="BA19" i="9"/>
  <c r="BB19" i="9"/>
  <c r="BC19" i="9"/>
  <c r="BD19" i="9"/>
  <c r="BE19" i="9"/>
  <c r="BF19" i="9"/>
  <c r="BG19" i="9"/>
  <c r="BH19" i="9"/>
  <c r="BI19" i="9"/>
  <c r="BJ19" i="9"/>
  <c r="BK19" i="9"/>
  <c r="BL19" i="9"/>
  <c r="BM19" i="9"/>
  <c r="BN19" i="9"/>
  <c r="BO19" i="9"/>
  <c r="BP19" i="9"/>
  <c r="BQ19" i="9"/>
  <c r="BR19" i="9"/>
  <c r="BS19" i="9"/>
  <c r="BT19" i="9"/>
  <c r="BU19" i="9"/>
  <c r="BV19" i="9"/>
  <c r="BW19" i="9"/>
  <c r="BX19" i="9"/>
  <c r="BY19" i="9"/>
  <c r="BY17" i="9" s="1"/>
  <c r="BZ19" i="9"/>
  <c r="CA19" i="9"/>
  <c r="CB19" i="9"/>
  <c r="CC19" i="9"/>
  <c r="CD19" i="9"/>
  <c r="CE19" i="9"/>
  <c r="CF19" i="9"/>
  <c r="CG19" i="9"/>
  <c r="CH19" i="9"/>
  <c r="CI19" i="9"/>
  <c r="CJ19" i="9"/>
  <c r="CK19" i="9"/>
  <c r="CL19" i="9"/>
  <c r="CM19" i="9"/>
  <c r="CN19" i="9"/>
  <c r="CO19" i="9"/>
  <c r="CP19" i="9"/>
  <c r="CQ19" i="9"/>
  <c r="CR19" i="9"/>
  <c r="CS19" i="9"/>
  <c r="CT19" i="9"/>
  <c r="CU19" i="9"/>
  <c r="CV19" i="9"/>
  <c r="CW19" i="9"/>
  <c r="CX19" i="9"/>
  <c r="CY19" i="9"/>
  <c r="CZ19" i="9"/>
  <c r="DA19" i="9"/>
  <c r="DB19" i="9"/>
  <c r="DC19" i="9"/>
  <c r="DD19" i="9"/>
  <c r="DE19" i="9"/>
  <c r="DF19" i="9"/>
  <c r="DG19" i="9"/>
  <c r="DH19" i="9"/>
  <c r="DI19" i="9"/>
  <c r="DJ19" i="9"/>
  <c r="DK19" i="9"/>
  <c r="DL19" i="9"/>
  <c r="DM19" i="9"/>
  <c r="DN19" i="9"/>
  <c r="DO19" i="9"/>
  <c r="DP19" i="9"/>
  <c r="DQ19" i="9"/>
  <c r="DR19" i="9"/>
  <c r="DS19" i="9"/>
  <c r="DT19" i="9"/>
  <c r="DU19" i="9"/>
  <c r="DU17" i="9" s="1"/>
  <c r="DV19" i="9"/>
  <c r="DW19" i="9"/>
  <c r="DX19" i="9"/>
  <c r="DY19" i="9"/>
  <c r="J19" i="9"/>
  <c r="J18" i="9"/>
  <c r="K12" i="9"/>
  <c r="L12" i="9"/>
  <c r="M12" i="9"/>
  <c r="N12" i="9"/>
  <c r="O12" i="9"/>
  <c r="P12" i="9"/>
  <c r="Q12" i="9"/>
  <c r="R12" i="9"/>
  <c r="S12" i="9"/>
  <c r="T12" i="9"/>
  <c r="U12" i="9"/>
  <c r="V12" i="9"/>
  <c r="W12" i="9"/>
  <c r="X12" i="9"/>
  <c r="Y12" i="9"/>
  <c r="Z12" i="9"/>
  <c r="AA12" i="9"/>
  <c r="AB12" i="9"/>
  <c r="AC12" i="9"/>
  <c r="AD12" i="9"/>
  <c r="AE12" i="9"/>
  <c r="AF12" i="9"/>
  <c r="AG12" i="9"/>
  <c r="AH12" i="9"/>
  <c r="AI12" i="9"/>
  <c r="AJ12" i="9"/>
  <c r="AK12" i="9"/>
  <c r="AL12" i="9"/>
  <c r="AM12" i="9"/>
  <c r="AN12" i="9"/>
  <c r="AO12" i="9"/>
  <c r="AP12" i="9"/>
  <c r="AQ12" i="9"/>
  <c r="AR12" i="9"/>
  <c r="AS12" i="9"/>
  <c r="AT12" i="9"/>
  <c r="AU12" i="9"/>
  <c r="AV12" i="9"/>
  <c r="AW12" i="9"/>
  <c r="AX12" i="9"/>
  <c r="AY12" i="9"/>
  <c r="AZ12" i="9"/>
  <c r="BA12" i="9"/>
  <c r="BB12" i="9"/>
  <c r="BC12" i="9"/>
  <c r="BD12" i="9"/>
  <c r="BE12" i="9"/>
  <c r="BF12" i="9"/>
  <c r="BG12" i="9"/>
  <c r="BH12" i="9"/>
  <c r="BI12" i="9"/>
  <c r="BJ12" i="9"/>
  <c r="BK12" i="9"/>
  <c r="BL12" i="9"/>
  <c r="BM12" i="9"/>
  <c r="BN12" i="9"/>
  <c r="BO12" i="9"/>
  <c r="BP12" i="9"/>
  <c r="BQ12" i="9"/>
  <c r="BR12" i="9"/>
  <c r="BS12" i="9"/>
  <c r="BT12" i="9"/>
  <c r="BU12" i="9"/>
  <c r="BV12" i="9"/>
  <c r="BW12" i="9"/>
  <c r="BX12" i="9"/>
  <c r="BY12" i="9"/>
  <c r="BZ12" i="9"/>
  <c r="CA12" i="9"/>
  <c r="CB12" i="9"/>
  <c r="CC12" i="9"/>
  <c r="CD12" i="9"/>
  <c r="CE12" i="9"/>
  <c r="CF12" i="9"/>
  <c r="CG12" i="9"/>
  <c r="CH12" i="9"/>
  <c r="CI12" i="9"/>
  <c r="CJ12" i="9"/>
  <c r="CK12" i="9"/>
  <c r="CL12" i="9"/>
  <c r="CM12" i="9"/>
  <c r="CN12" i="9"/>
  <c r="CO12" i="9"/>
  <c r="CP12" i="9"/>
  <c r="CQ12" i="9"/>
  <c r="CR12" i="9"/>
  <c r="CS12" i="9"/>
  <c r="CT12" i="9"/>
  <c r="CU12" i="9"/>
  <c r="CV12" i="9"/>
  <c r="CW12" i="9"/>
  <c r="CX12" i="9"/>
  <c r="CY12" i="9"/>
  <c r="CZ12" i="9"/>
  <c r="DA12" i="9"/>
  <c r="DB12" i="9"/>
  <c r="DC12" i="9"/>
  <c r="DD12" i="9"/>
  <c r="DE12" i="9"/>
  <c r="DF12" i="9"/>
  <c r="DG12" i="9"/>
  <c r="DH12" i="9"/>
  <c r="DI12" i="9"/>
  <c r="DJ12" i="9"/>
  <c r="DK12" i="9"/>
  <c r="DL12" i="9"/>
  <c r="DM12" i="9"/>
  <c r="DN12" i="9"/>
  <c r="DO12" i="9"/>
  <c r="DP12" i="9"/>
  <c r="DQ12" i="9"/>
  <c r="DR12" i="9"/>
  <c r="DS12" i="9"/>
  <c r="DT12" i="9"/>
  <c r="DU12" i="9"/>
  <c r="DV12" i="9"/>
  <c r="DW12" i="9"/>
  <c r="DX12" i="9"/>
  <c r="DY12" i="9"/>
  <c r="K13" i="9"/>
  <c r="L13" i="9"/>
  <c r="M13" i="9"/>
  <c r="N13" i="9"/>
  <c r="O13" i="9"/>
  <c r="P13" i="9"/>
  <c r="Q13" i="9"/>
  <c r="R13" i="9"/>
  <c r="S13" i="9"/>
  <c r="T13" i="9"/>
  <c r="U13" i="9"/>
  <c r="V13" i="9"/>
  <c r="W13" i="9"/>
  <c r="X13" i="9"/>
  <c r="Y13" i="9"/>
  <c r="Z13" i="9"/>
  <c r="AA13" i="9"/>
  <c r="AB13" i="9"/>
  <c r="AC13" i="9"/>
  <c r="AD13" i="9"/>
  <c r="AE13" i="9"/>
  <c r="AF13" i="9"/>
  <c r="AG13" i="9"/>
  <c r="AH13" i="9"/>
  <c r="AI13" i="9"/>
  <c r="AJ13" i="9"/>
  <c r="AK13" i="9"/>
  <c r="AL13" i="9"/>
  <c r="AM13" i="9"/>
  <c r="AN13" i="9"/>
  <c r="AO13" i="9"/>
  <c r="AP13" i="9"/>
  <c r="AQ13" i="9"/>
  <c r="AR13" i="9"/>
  <c r="AS13" i="9"/>
  <c r="AT13" i="9"/>
  <c r="AU13" i="9"/>
  <c r="AV13" i="9"/>
  <c r="AW13" i="9"/>
  <c r="AX13" i="9"/>
  <c r="AY13" i="9"/>
  <c r="AZ13" i="9"/>
  <c r="BA13" i="9"/>
  <c r="BB13" i="9"/>
  <c r="BC13" i="9"/>
  <c r="BD13" i="9"/>
  <c r="BE13" i="9"/>
  <c r="BF13" i="9"/>
  <c r="BG13" i="9"/>
  <c r="BH13" i="9"/>
  <c r="BI13" i="9"/>
  <c r="BJ13" i="9"/>
  <c r="BK13" i="9"/>
  <c r="BL13" i="9"/>
  <c r="BM13" i="9"/>
  <c r="BN13" i="9"/>
  <c r="BO13" i="9"/>
  <c r="BP13" i="9"/>
  <c r="BQ13" i="9"/>
  <c r="BR13" i="9"/>
  <c r="BS13" i="9"/>
  <c r="BT13" i="9"/>
  <c r="BU13" i="9"/>
  <c r="BV13" i="9"/>
  <c r="BW13" i="9"/>
  <c r="BX13" i="9"/>
  <c r="BY13" i="9"/>
  <c r="BZ13" i="9"/>
  <c r="CA13" i="9"/>
  <c r="CB13" i="9"/>
  <c r="CC13" i="9"/>
  <c r="CD13" i="9"/>
  <c r="CE13" i="9"/>
  <c r="CF13" i="9"/>
  <c r="CG13" i="9"/>
  <c r="CH13" i="9"/>
  <c r="CI13" i="9"/>
  <c r="CJ13" i="9"/>
  <c r="CK13" i="9"/>
  <c r="CL13" i="9"/>
  <c r="CM13" i="9"/>
  <c r="CN13" i="9"/>
  <c r="CO13" i="9"/>
  <c r="CP13" i="9"/>
  <c r="CQ13" i="9"/>
  <c r="CR13" i="9"/>
  <c r="CS13" i="9"/>
  <c r="CT13" i="9"/>
  <c r="CU13" i="9"/>
  <c r="CV13" i="9"/>
  <c r="CW13" i="9"/>
  <c r="CX13" i="9"/>
  <c r="CY13" i="9"/>
  <c r="CZ13" i="9"/>
  <c r="DA13" i="9"/>
  <c r="DB13" i="9"/>
  <c r="DC13" i="9"/>
  <c r="DD13" i="9"/>
  <c r="DE13" i="9"/>
  <c r="DF13" i="9"/>
  <c r="DG13" i="9"/>
  <c r="DH13" i="9"/>
  <c r="DI13" i="9"/>
  <c r="DJ13" i="9"/>
  <c r="DK13" i="9"/>
  <c r="DL13" i="9"/>
  <c r="DM13" i="9"/>
  <c r="DN13" i="9"/>
  <c r="DO13" i="9"/>
  <c r="DP13" i="9"/>
  <c r="DQ13" i="9"/>
  <c r="DR13" i="9"/>
  <c r="DS13" i="9"/>
  <c r="DT13" i="9"/>
  <c r="DU13" i="9"/>
  <c r="DV13" i="9"/>
  <c r="DW13" i="9"/>
  <c r="DX13" i="9"/>
  <c r="DY13" i="9"/>
  <c r="J13" i="9"/>
  <c r="J12" i="9"/>
  <c r="K8" i="9"/>
  <c r="L8" i="9"/>
  <c r="M8" i="9"/>
  <c r="N8" i="9"/>
  <c r="O8" i="9"/>
  <c r="P8" i="9"/>
  <c r="P6" i="9" s="1"/>
  <c r="Q8" i="9"/>
  <c r="R8" i="9"/>
  <c r="S8" i="9"/>
  <c r="T8" i="9"/>
  <c r="U8" i="9"/>
  <c r="V8" i="9"/>
  <c r="W8" i="9"/>
  <c r="X8" i="9"/>
  <c r="Y8" i="9"/>
  <c r="Z8" i="9"/>
  <c r="AA8" i="9"/>
  <c r="AB8" i="9"/>
  <c r="AC8" i="9"/>
  <c r="AD8" i="9"/>
  <c r="AE8" i="9"/>
  <c r="AF8" i="9"/>
  <c r="AG8" i="9"/>
  <c r="AH8" i="9"/>
  <c r="AI8" i="9"/>
  <c r="AJ8" i="9"/>
  <c r="AK8" i="9"/>
  <c r="AL8" i="9"/>
  <c r="AM8" i="9"/>
  <c r="AN8" i="9"/>
  <c r="AN6" i="9" s="1"/>
  <c r="AO8" i="9"/>
  <c r="AP8" i="9"/>
  <c r="AQ8" i="9"/>
  <c r="AR8" i="9"/>
  <c r="AS8" i="9"/>
  <c r="AT8" i="9"/>
  <c r="AU8" i="9"/>
  <c r="AV8" i="9"/>
  <c r="AW8" i="9"/>
  <c r="AX8" i="9"/>
  <c r="AY8" i="9"/>
  <c r="AZ8" i="9"/>
  <c r="BA8" i="9"/>
  <c r="BB8" i="9"/>
  <c r="BC8" i="9"/>
  <c r="BD8" i="9"/>
  <c r="BE8" i="9"/>
  <c r="BF8" i="9"/>
  <c r="BG8" i="9"/>
  <c r="BH8" i="9"/>
  <c r="BI8" i="9"/>
  <c r="BJ8" i="9"/>
  <c r="BK8" i="9"/>
  <c r="BL8" i="9"/>
  <c r="BM8" i="9"/>
  <c r="BN8" i="9"/>
  <c r="BO8" i="9"/>
  <c r="BP8" i="9"/>
  <c r="BQ8" i="9"/>
  <c r="BR8" i="9"/>
  <c r="BS8" i="9"/>
  <c r="BT8" i="9"/>
  <c r="BU8" i="9"/>
  <c r="BV8" i="9"/>
  <c r="BW8" i="9"/>
  <c r="BX8" i="9"/>
  <c r="BY8" i="9"/>
  <c r="BZ8" i="9"/>
  <c r="CA8" i="9"/>
  <c r="CB8" i="9"/>
  <c r="CC8" i="9"/>
  <c r="CD8" i="9"/>
  <c r="CE8" i="9"/>
  <c r="CF8" i="9"/>
  <c r="CG8" i="9"/>
  <c r="CH8" i="9"/>
  <c r="CI8" i="9"/>
  <c r="CJ8" i="9"/>
  <c r="CJ6" i="9" s="1"/>
  <c r="CK8" i="9"/>
  <c r="CL8" i="9"/>
  <c r="CM8" i="9"/>
  <c r="CN8" i="9"/>
  <c r="CO8" i="9"/>
  <c r="CP8" i="9"/>
  <c r="CQ8" i="9"/>
  <c r="CR8" i="9"/>
  <c r="CS8" i="9"/>
  <c r="CT8" i="9"/>
  <c r="CU8" i="9"/>
  <c r="CV8" i="9"/>
  <c r="CW8" i="9"/>
  <c r="CX8" i="9"/>
  <c r="CY8" i="9"/>
  <c r="CZ8" i="9"/>
  <c r="DA8" i="9"/>
  <c r="DB8" i="9"/>
  <c r="DC8" i="9"/>
  <c r="DD8" i="9"/>
  <c r="DE8" i="9"/>
  <c r="DF8" i="9"/>
  <c r="DG8" i="9"/>
  <c r="DH8" i="9"/>
  <c r="DH6" i="9" s="1"/>
  <c r="DI8" i="9"/>
  <c r="DJ8" i="9"/>
  <c r="DK8" i="9"/>
  <c r="DL8" i="9"/>
  <c r="DM8" i="9"/>
  <c r="DN8" i="9"/>
  <c r="DO8" i="9"/>
  <c r="DP8" i="9"/>
  <c r="DQ8" i="9"/>
  <c r="DR8" i="9"/>
  <c r="DS8" i="9"/>
  <c r="DT8" i="9"/>
  <c r="DU8" i="9"/>
  <c r="DV8" i="9"/>
  <c r="DW8" i="9"/>
  <c r="DX8" i="9"/>
  <c r="DY8" i="9"/>
  <c r="J8" i="9"/>
  <c r="K5" i="9"/>
  <c r="L5" i="9"/>
  <c r="M5" i="9"/>
  <c r="N5" i="9"/>
  <c r="O5" i="9"/>
  <c r="P5" i="9"/>
  <c r="Q5" i="9"/>
  <c r="R5" i="9"/>
  <c r="S5" i="9"/>
  <c r="T5" i="9"/>
  <c r="U5" i="9"/>
  <c r="V5" i="9"/>
  <c r="W5" i="9"/>
  <c r="X5" i="9"/>
  <c r="Y5" i="9"/>
  <c r="Z5" i="9"/>
  <c r="AA5" i="9"/>
  <c r="AB5" i="9"/>
  <c r="AC5" i="9"/>
  <c r="AD5" i="9"/>
  <c r="AE5" i="9"/>
  <c r="AF5" i="9"/>
  <c r="AG5" i="9"/>
  <c r="AH5" i="9"/>
  <c r="AI5" i="9"/>
  <c r="AJ5" i="9"/>
  <c r="AK5" i="9"/>
  <c r="AL5" i="9"/>
  <c r="AM5" i="9"/>
  <c r="AN5" i="9"/>
  <c r="AO5" i="9"/>
  <c r="AP5" i="9"/>
  <c r="AQ5" i="9"/>
  <c r="AR5" i="9"/>
  <c r="AS5" i="9"/>
  <c r="AT5" i="9"/>
  <c r="AU5" i="9"/>
  <c r="AV5" i="9"/>
  <c r="AW5" i="9"/>
  <c r="AX5" i="9"/>
  <c r="AY5" i="9"/>
  <c r="AZ5" i="9"/>
  <c r="BA5" i="9"/>
  <c r="BB5" i="9"/>
  <c r="BC5" i="9"/>
  <c r="BD5" i="9"/>
  <c r="BE5" i="9"/>
  <c r="BF5" i="9"/>
  <c r="BG5" i="9"/>
  <c r="BH5" i="9"/>
  <c r="BI5" i="9"/>
  <c r="BJ5" i="9"/>
  <c r="BK5" i="9"/>
  <c r="BL5" i="9"/>
  <c r="BM5" i="9"/>
  <c r="BN5" i="9"/>
  <c r="BO5" i="9"/>
  <c r="BP5" i="9"/>
  <c r="BQ5" i="9"/>
  <c r="BR5" i="9"/>
  <c r="BS5" i="9"/>
  <c r="BT5" i="9"/>
  <c r="BU5" i="9"/>
  <c r="BV5" i="9"/>
  <c r="BW5" i="9"/>
  <c r="BX5" i="9"/>
  <c r="BY5" i="9"/>
  <c r="BZ5" i="9"/>
  <c r="CA5" i="9"/>
  <c r="CB5" i="9"/>
  <c r="CC5" i="9"/>
  <c r="CD5" i="9"/>
  <c r="CE5" i="9"/>
  <c r="CF5" i="9"/>
  <c r="CG5" i="9"/>
  <c r="CH5" i="9"/>
  <c r="CI5" i="9"/>
  <c r="CJ5" i="9"/>
  <c r="CK5" i="9"/>
  <c r="CL5" i="9"/>
  <c r="CM5" i="9"/>
  <c r="CN5" i="9"/>
  <c r="CO5" i="9"/>
  <c r="CP5" i="9"/>
  <c r="CQ5" i="9"/>
  <c r="CR5" i="9"/>
  <c r="CS5" i="9"/>
  <c r="CT5" i="9"/>
  <c r="CU5" i="9"/>
  <c r="CV5" i="9"/>
  <c r="CW5" i="9"/>
  <c r="CX5" i="9"/>
  <c r="CY5" i="9"/>
  <c r="CZ5" i="9"/>
  <c r="DA5" i="9"/>
  <c r="DB5" i="9"/>
  <c r="DC5" i="9"/>
  <c r="DD5" i="9"/>
  <c r="DE5" i="9"/>
  <c r="DF5" i="9"/>
  <c r="DG5" i="9"/>
  <c r="DH5" i="9"/>
  <c r="DI5" i="9"/>
  <c r="DJ5" i="9"/>
  <c r="DK5" i="9"/>
  <c r="DL5" i="9"/>
  <c r="DM5" i="9"/>
  <c r="DN5" i="9"/>
  <c r="DO5" i="9"/>
  <c r="DP5" i="9"/>
  <c r="DQ5" i="9"/>
  <c r="DR5" i="9"/>
  <c r="DS5" i="9"/>
  <c r="DT5" i="9"/>
  <c r="DU5" i="9"/>
  <c r="DV5" i="9"/>
  <c r="DW5" i="9"/>
  <c r="DX5" i="9"/>
  <c r="DY5" i="9"/>
  <c r="J5" i="9"/>
  <c r="K4" i="9"/>
  <c r="K3" i="9" s="1"/>
  <c r="L4" i="9"/>
  <c r="L3" i="9" s="1"/>
  <c r="M4" i="9"/>
  <c r="M3" i="9" s="1"/>
  <c r="N4" i="9"/>
  <c r="O4" i="9"/>
  <c r="O3" i="9" s="1"/>
  <c r="P4" i="9"/>
  <c r="P3" i="9" s="1"/>
  <c r="Q4" i="9"/>
  <c r="Q3" i="9" s="1"/>
  <c r="R4" i="9"/>
  <c r="R3" i="9" s="1"/>
  <c r="S4" i="9"/>
  <c r="S3" i="9" s="1"/>
  <c r="T4" i="9"/>
  <c r="T3" i="9" s="1"/>
  <c r="U4" i="9"/>
  <c r="U3" i="9" s="1"/>
  <c r="V4" i="9"/>
  <c r="V3" i="9" s="1"/>
  <c r="W4" i="9"/>
  <c r="X4" i="9"/>
  <c r="X3" i="9" s="1"/>
  <c r="Y4" i="9"/>
  <c r="Z4" i="9"/>
  <c r="Z3" i="9" s="1"/>
  <c r="AA4" i="9"/>
  <c r="AA3" i="9" s="1"/>
  <c r="AB4" i="9"/>
  <c r="AB3" i="9" s="1"/>
  <c r="AC4" i="9"/>
  <c r="AC3" i="9" s="1"/>
  <c r="AD4" i="9"/>
  <c r="AD3" i="9" s="1"/>
  <c r="AE4" i="9"/>
  <c r="AE3" i="9" s="1"/>
  <c r="AF4" i="9"/>
  <c r="AF3" i="9" s="1"/>
  <c r="AG4" i="9"/>
  <c r="AG3" i="9" s="1"/>
  <c r="AH4" i="9"/>
  <c r="AH3" i="9" s="1"/>
  <c r="AI4" i="9"/>
  <c r="AJ4" i="9"/>
  <c r="AK4" i="9"/>
  <c r="AL4" i="9"/>
  <c r="AM4" i="9"/>
  <c r="AM3" i="9" s="1"/>
  <c r="AN4" i="9"/>
  <c r="AN3" i="9" s="1"/>
  <c r="AO4" i="9"/>
  <c r="AO3" i="9" s="1"/>
  <c r="AP4" i="9"/>
  <c r="AP3" i="9" s="1"/>
  <c r="AQ4" i="9"/>
  <c r="AR4" i="9"/>
  <c r="AS4" i="9"/>
  <c r="AS3" i="9" s="1"/>
  <c r="AT4" i="9"/>
  <c r="AT3" i="9" s="1"/>
  <c r="AU4" i="9"/>
  <c r="AU3" i="9" s="1"/>
  <c r="AV4" i="9"/>
  <c r="AV3" i="9" s="1"/>
  <c r="AW4" i="9"/>
  <c r="AW3" i="9" s="1"/>
  <c r="AX4" i="9"/>
  <c r="AX3" i="9" s="1"/>
  <c r="AY4" i="9"/>
  <c r="AY3" i="9" s="1"/>
  <c r="AZ4" i="9"/>
  <c r="AZ3" i="9" s="1"/>
  <c r="BA4" i="9"/>
  <c r="BA3" i="9" s="1"/>
  <c r="BB4" i="9"/>
  <c r="BB3" i="9" s="1"/>
  <c r="BC4" i="9"/>
  <c r="BD4" i="9"/>
  <c r="BE4" i="9"/>
  <c r="BF4" i="9"/>
  <c r="BG4" i="9"/>
  <c r="BG3" i="9" s="1"/>
  <c r="BH4" i="9"/>
  <c r="BH3" i="9" s="1"/>
  <c r="BI4" i="9"/>
  <c r="BI3" i="9" s="1"/>
  <c r="BJ4" i="9"/>
  <c r="BK4" i="9"/>
  <c r="BK3" i="9" s="1"/>
  <c r="BL4" i="9"/>
  <c r="BL3" i="9" s="1"/>
  <c r="BM4" i="9"/>
  <c r="BM3" i="9" s="1"/>
  <c r="BN4" i="9"/>
  <c r="BN3" i="9" s="1"/>
  <c r="BO4" i="9"/>
  <c r="BO3" i="9" s="1"/>
  <c r="BP4" i="9"/>
  <c r="BQ4" i="9"/>
  <c r="BR4" i="9"/>
  <c r="BS4" i="9"/>
  <c r="BS3" i="9" s="1"/>
  <c r="BT4" i="9"/>
  <c r="BT3" i="9" s="1"/>
  <c r="BU4" i="9"/>
  <c r="BU3" i="9" s="1"/>
  <c r="BV4" i="9"/>
  <c r="BV3" i="9" s="1"/>
  <c r="BW4" i="9"/>
  <c r="BW3" i="9" s="1"/>
  <c r="BX4" i="9"/>
  <c r="BX3" i="9" s="1"/>
  <c r="BY4" i="9"/>
  <c r="BY3" i="9" s="1"/>
  <c r="BZ4" i="9"/>
  <c r="BZ3" i="9" s="1"/>
  <c r="CA4" i="9"/>
  <c r="CA3" i="9" s="1"/>
  <c r="CB4" i="9"/>
  <c r="CB3" i="9" s="1"/>
  <c r="CC4" i="9"/>
  <c r="CC3" i="9" s="1"/>
  <c r="CD4" i="9"/>
  <c r="CD3" i="9" s="1"/>
  <c r="CE4" i="9"/>
  <c r="CE3" i="9" s="1"/>
  <c r="CF4" i="9"/>
  <c r="CG4" i="9"/>
  <c r="CH4" i="9"/>
  <c r="CI4" i="9"/>
  <c r="CJ4" i="9"/>
  <c r="CJ3" i="9" s="1"/>
  <c r="CK4" i="9"/>
  <c r="CK3" i="9" s="1"/>
  <c r="CL4" i="9"/>
  <c r="CL3" i="9" s="1"/>
  <c r="CM4" i="9"/>
  <c r="CM3" i="9" s="1"/>
  <c r="CN4" i="9"/>
  <c r="CN3" i="9" s="1"/>
  <c r="CO4" i="9"/>
  <c r="CO3" i="9" s="1"/>
  <c r="CP4" i="9"/>
  <c r="CP3" i="9" s="1"/>
  <c r="CQ4" i="9"/>
  <c r="CQ3" i="9" s="1"/>
  <c r="CR4" i="9"/>
  <c r="CS4" i="9"/>
  <c r="CS3" i="9" s="1"/>
  <c r="CT4" i="9"/>
  <c r="CT3" i="9" s="1"/>
  <c r="CU4" i="9"/>
  <c r="CU3" i="9" s="1"/>
  <c r="CV4" i="9"/>
  <c r="CV3" i="9" s="1"/>
  <c r="CW4" i="9"/>
  <c r="CW3" i="9" s="1"/>
  <c r="CX4" i="9"/>
  <c r="CX3" i="9" s="1"/>
  <c r="CY4" i="9"/>
  <c r="CY3" i="9" s="1"/>
  <c r="CZ4" i="9"/>
  <c r="CZ3" i="9" s="1"/>
  <c r="DA4" i="9"/>
  <c r="DA3" i="9" s="1"/>
  <c r="DB4" i="9"/>
  <c r="DB3" i="9" s="1"/>
  <c r="DC4" i="9"/>
  <c r="DC3" i="9" s="1"/>
  <c r="DD4" i="9"/>
  <c r="DD3" i="9" s="1"/>
  <c r="DE4" i="9"/>
  <c r="DE3" i="9" s="1"/>
  <c r="DF4" i="9"/>
  <c r="DG4" i="9"/>
  <c r="DG3" i="9" s="1"/>
  <c r="DH4" i="9"/>
  <c r="DH3" i="9" s="1"/>
  <c r="DI4" i="9"/>
  <c r="DI3" i="9" s="1"/>
  <c r="DJ4" i="9"/>
  <c r="DJ3" i="9" s="1"/>
  <c r="DK4" i="9"/>
  <c r="DK3" i="9" s="1"/>
  <c r="DL4" i="9"/>
  <c r="DL3" i="9" s="1"/>
  <c r="DM4" i="9"/>
  <c r="DM3" i="9" s="1"/>
  <c r="DN4" i="9"/>
  <c r="DN3" i="9" s="1"/>
  <c r="DO4" i="9"/>
  <c r="DO3" i="9" s="1"/>
  <c r="DP4" i="9"/>
  <c r="DP3" i="9" s="1"/>
  <c r="DQ4" i="9"/>
  <c r="DQ3" i="9" s="1"/>
  <c r="DR4" i="9"/>
  <c r="DR3" i="9" s="1"/>
  <c r="DS4" i="9"/>
  <c r="DT4" i="9"/>
  <c r="DT3" i="9" s="1"/>
  <c r="DU4" i="9"/>
  <c r="DU3" i="9" s="1"/>
  <c r="DV4" i="9"/>
  <c r="DV3" i="9" s="1"/>
  <c r="DW4" i="9"/>
  <c r="DW3" i="9" s="1"/>
  <c r="DX4" i="9"/>
  <c r="DX3" i="9" s="1"/>
  <c r="DY4" i="9"/>
  <c r="J4" i="9"/>
  <c r="J3" i="9" s="1"/>
  <c r="DY33" i="9"/>
  <c r="DX33" i="9"/>
  <c r="DW33" i="9"/>
  <c r="DV33" i="9"/>
  <c r="DU33" i="9"/>
  <c r="DT33" i="9"/>
  <c r="DS33" i="9"/>
  <c r="DR33" i="9"/>
  <c r="DQ33" i="9"/>
  <c r="DP33" i="9"/>
  <c r="DO33" i="9"/>
  <c r="DN33" i="9"/>
  <c r="DM33" i="9"/>
  <c r="DL33" i="9"/>
  <c r="DK33" i="9"/>
  <c r="DJ33" i="9"/>
  <c r="DI33" i="9"/>
  <c r="DH33" i="9"/>
  <c r="DG33" i="9"/>
  <c r="DF33" i="9"/>
  <c r="DE33" i="9"/>
  <c r="DD33" i="9"/>
  <c r="DC33" i="9"/>
  <c r="DB33" i="9"/>
  <c r="DA33" i="9"/>
  <c r="CZ33" i="9"/>
  <c r="CY33" i="9"/>
  <c r="CX33" i="9"/>
  <c r="CW33" i="9"/>
  <c r="CV33" i="9"/>
  <c r="CU33" i="9"/>
  <c r="CT33" i="9"/>
  <c r="CS33" i="9"/>
  <c r="CR33" i="9"/>
  <c r="CQ33" i="9"/>
  <c r="CP33" i="9"/>
  <c r="CO33" i="9"/>
  <c r="CN33" i="9"/>
  <c r="CM33" i="9"/>
  <c r="CL33" i="9"/>
  <c r="CK33" i="9"/>
  <c r="CJ33" i="9"/>
  <c r="CI33" i="9"/>
  <c r="CH33" i="9"/>
  <c r="CG33" i="9"/>
  <c r="CF33" i="9"/>
  <c r="CE33" i="9"/>
  <c r="CD33" i="9"/>
  <c r="CC33" i="9"/>
  <c r="CB33" i="9"/>
  <c r="CA33" i="9"/>
  <c r="BZ33" i="9"/>
  <c r="BY33" i="9"/>
  <c r="BX33" i="9"/>
  <c r="BW33" i="9"/>
  <c r="BV33" i="9"/>
  <c r="BU33" i="9"/>
  <c r="BT33" i="9"/>
  <c r="BS33" i="9"/>
  <c r="BR33" i="9"/>
  <c r="BQ33" i="9"/>
  <c r="BP33" i="9"/>
  <c r="BO33" i="9"/>
  <c r="BN33" i="9"/>
  <c r="BM33" i="9"/>
  <c r="BL33" i="9"/>
  <c r="BK33" i="9"/>
  <c r="BJ33" i="9"/>
  <c r="BI33" i="9"/>
  <c r="BH33" i="9"/>
  <c r="BG33" i="9"/>
  <c r="BF33" i="9"/>
  <c r="BE33" i="9"/>
  <c r="BD33" i="9"/>
  <c r="BC33" i="9"/>
  <c r="BB33" i="9"/>
  <c r="BA33" i="9"/>
  <c r="AZ33" i="9"/>
  <c r="AY33" i="9"/>
  <c r="AX33" i="9"/>
  <c r="AW33" i="9"/>
  <c r="AV33" i="9"/>
  <c r="AU33" i="9"/>
  <c r="AT33" i="9"/>
  <c r="AS33" i="9"/>
  <c r="AR33" i="9"/>
  <c r="AQ33" i="9"/>
  <c r="AP33" i="9"/>
  <c r="AO33" i="9"/>
  <c r="AN33" i="9"/>
  <c r="AM33" i="9"/>
  <c r="AL33" i="9"/>
  <c r="AK33" i="9"/>
  <c r="AJ33" i="9"/>
  <c r="AI33" i="9"/>
  <c r="AH33" i="9"/>
  <c r="AG33" i="9"/>
  <c r="AF33" i="9"/>
  <c r="AE33" i="9"/>
  <c r="AD33" i="9"/>
  <c r="AC33" i="9"/>
  <c r="AB33" i="9"/>
  <c r="AA33" i="9"/>
  <c r="Z33" i="9"/>
  <c r="Y33" i="9"/>
  <c r="X33" i="9"/>
  <c r="W33" i="9"/>
  <c r="V33" i="9"/>
  <c r="U33" i="9"/>
  <c r="T33" i="9"/>
  <c r="S33" i="9"/>
  <c r="R33" i="9"/>
  <c r="Q33" i="9"/>
  <c r="P33" i="9"/>
  <c r="O33" i="9"/>
  <c r="N33" i="9"/>
  <c r="M33" i="9"/>
  <c r="L33" i="9"/>
  <c r="K33" i="9"/>
  <c r="J33" i="9"/>
  <c r="DY32" i="9"/>
  <c r="DX32" i="9"/>
  <c r="DW32" i="9"/>
  <c r="DV32" i="9"/>
  <c r="DU32" i="9"/>
  <c r="DT32" i="9"/>
  <c r="DS32" i="9"/>
  <c r="DR32" i="9"/>
  <c r="DQ32" i="9"/>
  <c r="DP32" i="9"/>
  <c r="DO32" i="9"/>
  <c r="DN32" i="9"/>
  <c r="DM32" i="9"/>
  <c r="DL32" i="9"/>
  <c r="DK32" i="9"/>
  <c r="DJ32" i="9"/>
  <c r="DI32" i="9"/>
  <c r="DH32" i="9"/>
  <c r="DG32" i="9"/>
  <c r="DF32" i="9"/>
  <c r="DE32" i="9"/>
  <c r="DD32" i="9"/>
  <c r="DC32" i="9"/>
  <c r="DB32" i="9"/>
  <c r="DA32" i="9"/>
  <c r="CZ32" i="9"/>
  <c r="CY32" i="9"/>
  <c r="CX32" i="9"/>
  <c r="CW32" i="9"/>
  <c r="CV32" i="9"/>
  <c r="CU32" i="9"/>
  <c r="CT32" i="9"/>
  <c r="CS32" i="9"/>
  <c r="CR32" i="9"/>
  <c r="CQ32" i="9"/>
  <c r="CP32" i="9"/>
  <c r="CO32" i="9"/>
  <c r="CN32" i="9"/>
  <c r="CM32" i="9"/>
  <c r="CL32" i="9"/>
  <c r="CK32" i="9"/>
  <c r="CJ32" i="9"/>
  <c r="CI32" i="9"/>
  <c r="CH32" i="9"/>
  <c r="CG32" i="9"/>
  <c r="CF32" i="9"/>
  <c r="CE32" i="9"/>
  <c r="CD32" i="9"/>
  <c r="CC32" i="9"/>
  <c r="CB32" i="9"/>
  <c r="CA32" i="9"/>
  <c r="BZ32" i="9"/>
  <c r="BY32" i="9"/>
  <c r="BX32" i="9"/>
  <c r="BW32" i="9"/>
  <c r="BV32" i="9"/>
  <c r="BU32" i="9"/>
  <c r="BT32" i="9"/>
  <c r="BS32" i="9"/>
  <c r="BR32" i="9"/>
  <c r="BQ32" i="9"/>
  <c r="BP32" i="9"/>
  <c r="BO32" i="9"/>
  <c r="BN32" i="9"/>
  <c r="BM32" i="9"/>
  <c r="BL32" i="9"/>
  <c r="BK32" i="9"/>
  <c r="BJ32" i="9"/>
  <c r="BI32" i="9"/>
  <c r="BH32" i="9"/>
  <c r="BG32" i="9"/>
  <c r="BF32" i="9"/>
  <c r="BE32" i="9"/>
  <c r="BD32" i="9"/>
  <c r="BC32" i="9"/>
  <c r="BB32" i="9"/>
  <c r="BA32" i="9"/>
  <c r="AZ32" i="9"/>
  <c r="AY32" i="9"/>
  <c r="AX32" i="9"/>
  <c r="AW32" i="9"/>
  <c r="AV32" i="9"/>
  <c r="AU32" i="9"/>
  <c r="AT32" i="9"/>
  <c r="AS32" i="9"/>
  <c r="AR32" i="9"/>
  <c r="AQ32" i="9"/>
  <c r="AP32" i="9"/>
  <c r="AO32" i="9"/>
  <c r="AN32" i="9"/>
  <c r="AM32" i="9"/>
  <c r="AL32" i="9"/>
  <c r="AK32" i="9"/>
  <c r="AJ32" i="9"/>
  <c r="AI32" i="9"/>
  <c r="AH32" i="9"/>
  <c r="AG32" i="9"/>
  <c r="AF32" i="9"/>
  <c r="AE32" i="9"/>
  <c r="AD32" i="9"/>
  <c r="AC32" i="9"/>
  <c r="AB32" i="9"/>
  <c r="AA32" i="9"/>
  <c r="Z32" i="9"/>
  <c r="Y32" i="9"/>
  <c r="X32" i="9"/>
  <c r="W32" i="9"/>
  <c r="V32" i="9"/>
  <c r="U32" i="9"/>
  <c r="T32" i="9"/>
  <c r="S32" i="9"/>
  <c r="R32" i="9"/>
  <c r="Q32" i="9"/>
  <c r="P32" i="9"/>
  <c r="O32" i="9"/>
  <c r="N32" i="9"/>
  <c r="M32" i="9"/>
  <c r="L32" i="9"/>
  <c r="K32" i="9"/>
  <c r="J32" i="9"/>
  <c r="DY31" i="9"/>
  <c r="DX31" i="9"/>
  <c r="DW31" i="9"/>
  <c r="DV31" i="9"/>
  <c r="DU31" i="9"/>
  <c r="DT31" i="9"/>
  <c r="DS31" i="9"/>
  <c r="DR31" i="9"/>
  <c r="DQ31" i="9"/>
  <c r="DP31" i="9"/>
  <c r="DO31" i="9"/>
  <c r="DN31" i="9"/>
  <c r="DM31" i="9"/>
  <c r="DL31" i="9"/>
  <c r="DK31" i="9"/>
  <c r="DJ31" i="9"/>
  <c r="DI31" i="9"/>
  <c r="DH31" i="9"/>
  <c r="DG31" i="9"/>
  <c r="DF31" i="9"/>
  <c r="DE31" i="9"/>
  <c r="DD31" i="9"/>
  <c r="DC31" i="9"/>
  <c r="DB31" i="9"/>
  <c r="DA31" i="9"/>
  <c r="CZ31" i="9"/>
  <c r="CY31" i="9"/>
  <c r="CX31" i="9"/>
  <c r="CW31" i="9"/>
  <c r="CV31" i="9"/>
  <c r="CU31" i="9"/>
  <c r="CT31" i="9"/>
  <c r="CS31" i="9"/>
  <c r="CR31" i="9"/>
  <c r="CQ31" i="9"/>
  <c r="CP31" i="9"/>
  <c r="CO31" i="9"/>
  <c r="CN31" i="9"/>
  <c r="CM31" i="9"/>
  <c r="CL31" i="9"/>
  <c r="CK31" i="9"/>
  <c r="CJ31" i="9"/>
  <c r="CI31" i="9"/>
  <c r="CH31" i="9"/>
  <c r="CG31" i="9"/>
  <c r="CF31" i="9"/>
  <c r="CE31" i="9"/>
  <c r="CD31" i="9"/>
  <c r="CC31" i="9"/>
  <c r="CB31" i="9"/>
  <c r="CA31" i="9"/>
  <c r="BZ31" i="9"/>
  <c r="BY31" i="9"/>
  <c r="BX31" i="9"/>
  <c r="BW31" i="9"/>
  <c r="BV31" i="9"/>
  <c r="BU31" i="9"/>
  <c r="BT31" i="9"/>
  <c r="BS31" i="9"/>
  <c r="BR31" i="9"/>
  <c r="BQ31" i="9"/>
  <c r="BP31" i="9"/>
  <c r="BO31" i="9"/>
  <c r="BN31" i="9"/>
  <c r="BM31" i="9"/>
  <c r="BL31" i="9"/>
  <c r="BK31" i="9"/>
  <c r="BJ31" i="9"/>
  <c r="BI31" i="9"/>
  <c r="BH31" i="9"/>
  <c r="BG31" i="9"/>
  <c r="BF31" i="9"/>
  <c r="BE31" i="9"/>
  <c r="BD31" i="9"/>
  <c r="BC31" i="9"/>
  <c r="BB31" i="9"/>
  <c r="BA31" i="9"/>
  <c r="AZ31" i="9"/>
  <c r="AY31" i="9"/>
  <c r="AX31" i="9"/>
  <c r="AW31" i="9"/>
  <c r="AV31" i="9"/>
  <c r="AU31" i="9"/>
  <c r="AT31" i="9"/>
  <c r="AS31" i="9"/>
  <c r="AR31" i="9"/>
  <c r="AQ31" i="9"/>
  <c r="AP31" i="9"/>
  <c r="AO31" i="9"/>
  <c r="AN31" i="9"/>
  <c r="AM31" i="9"/>
  <c r="AL31" i="9"/>
  <c r="AK31" i="9"/>
  <c r="AJ31" i="9"/>
  <c r="AI31" i="9"/>
  <c r="AH31" i="9"/>
  <c r="AG31" i="9"/>
  <c r="AF31" i="9"/>
  <c r="AE31" i="9"/>
  <c r="AD31" i="9"/>
  <c r="AC31" i="9"/>
  <c r="AB31" i="9"/>
  <c r="AA31" i="9"/>
  <c r="Z31" i="9"/>
  <c r="Y31" i="9"/>
  <c r="X31" i="9"/>
  <c r="W31" i="9"/>
  <c r="V31" i="9"/>
  <c r="U31" i="9"/>
  <c r="T31" i="9"/>
  <c r="S31" i="9"/>
  <c r="R31" i="9"/>
  <c r="Q31" i="9"/>
  <c r="P31" i="9"/>
  <c r="O31" i="9"/>
  <c r="N31" i="9"/>
  <c r="M31" i="9"/>
  <c r="L31" i="9"/>
  <c r="K31" i="9"/>
  <c r="J31" i="9"/>
  <c r="DY30" i="9"/>
  <c r="DX30" i="9"/>
  <c r="DW30" i="9"/>
  <c r="DV30" i="9"/>
  <c r="DU30" i="9"/>
  <c r="DT30" i="9"/>
  <c r="DS30" i="9"/>
  <c r="DR30" i="9"/>
  <c r="DQ30" i="9"/>
  <c r="DP30" i="9"/>
  <c r="DO30" i="9"/>
  <c r="DN30" i="9"/>
  <c r="DM30" i="9"/>
  <c r="DL30" i="9"/>
  <c r="DK30" i="9"/>
  <c r="DJ30" i="9"/>
  <c r="DI30" i="9"/>
  <c r="DH30" i="9"/>
  <c r="DG30" i="9"/>
  <c r="DF30" i="9"/>
  <c r="DE30" i="9"/>
  <c r="DD30" i="9"/>
  <c r="DC30" i="9"/>
  <c r="DB30" i="9"/>
  <c r="DA30" i="9"/>
  <c r="CZ30" i="9"/>
  <c r="CY30" i="9"/>
  <c r="CX30" i="9"/>
  <c r="CW30" i="9"/>
  <c r="CV30" i="9"/>
  <c r="CU30" i="9"/>
  <c r="CT30" i="9"/>
  <c r="CS30" i="9"/>
  <c r="CR30" i="9"/>
  <c r="CQ30" i="9"/>
  <c r="CP30" i="9"/>
  <c r="CO30" i="9"/>
  <c r="CN30" i="9"/>
  <c r="CM30" i="9"/>
  <c r="CL30" i="9"/>
  <c r="CK30" i="9"/>
  <c r="CJ30" i="9"/>
  <c r="CI30" i="9"/>
  <c r="CH30" i="9"/>
  <c r="CG30"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DY29" i="9"/>
  <c r="DX29" i="9"/>
  <c r="DW29" i="9"/>
  <c r="DV29" i="9"/>
  <c r="DU29" i="9"/>
  <c r="DT29" i="9"/>
  <c r="DS29" i="9"/>
  <c r="DR29" i="9"/>
  <c r="DQ29" i="9"/>
  <c r="DP29" i="9"/>
  <c r="DO29" i="9"/>
  <c r="DN29" i="9"/>
  <c r="DM29" i="9"/>
  <c r="DL29" i="9"/>
  <c r="DK29" i="9"/>
  <c r="DJ29" i="9"/>
  <c r="DI29" i="9"/>
  <c r="DH29" i="9"/>
  <c r="DG29" i="9"/>
  <c r="DF29" i="9"/>
  <c r="DE29" i="9"/>
  <c r="DD29" i="9"/>
  <c r="DC29" i="9"/>
  <c r="DB29" i="9"/>
  <c r="DA29" i="9"/>
  <c r="CZ29" i="9"/>
  <c r="CY29" i="9"/>
  <c r="CX29" i="9"/>
  <c r="CW29" i="9"/>
  <c r="CV29" i="9"/>
  <c r="CU29" i="9"/>
  <c r="CT29" i="9"/>
  <c r="CS29" i="9"/>
  <c r="CR29" i="9"/>
  <c r="CQ29" i="9"/>
  <c r="CP29" i="9"/>
  <c r="CO29" i="9"/>
  <c r="CN29" i="9"/>
  <c r="CM29" i="9"/>
  <c r="CL29" i="9"/>
  <c r="CK29" i="9"/>
  <c r="CJ29" i="9"/>
  <c r="CI29" i="9"/>
  <c r="CH29" i="9"/>
  <c r="CG29" i="9"/>
  <c r="CF29" i="9"/>
  <c r="CE29" i="9"/>
  <c r="CD29" i="9"/>
  <c r="CC29" i="9"/>
  <c r="CB29" i="9"/>
  <c r="CA29" i="9"/>
  <c r="BZ29" i="9"/>
  <c r="BY29" i="9"/>
  <c r="BX29" i="9"/>
  <c r="BW29" i="9"/>
  <c r="BV29" i="9"/>
  <c r="BU29" i="9"/>
  <c r="BT29" i="9"/>
  <c r="BS29" i="9"/>
  <c r="BR29" i="9"/>
  <c r="BQ29" i="9"/>
  <c r="BP29" i="9"/>
  <c r="BO29" i="9"/>
  <c r="BN29" i="9"/>
  <c r="BM29" i="9"/>
  <c r="BL29" i="9"/>
  <c r="BK29" i="9"/>
  <c r="BJ29" i="9"/>
  <c r="BI29" i="9"/>
  <c r="BH29" i="9"/>
  <c r="BG29" i="9"/>
  <c r="BF29" i="9"/>
  <c r="BE29" i="9"/>
  <c r="BD29" i="9"/>
  <c r="BC29" i="9"/>
  <c r="BB29" i="9"/>
  <c r="BA29" i="9"/>
  <c r="AZ29" i="9"/>
  <c r="AY29" i="9"/>
  <c r="AX29" i="9"/>
  <c r="AW29" i="9"/>
  <c r="AV29" i="9"/>
  <c r="AU29" i="9"/>
  <c r="AT29" i="9"/>
  <c r="AS29" i="9"/>
  <c r="AR29" i="9"/>
  <c r="AQ29" i="9"/>
  <c r="AP29" i="9"/>
  <c r="AO29" i="9"/>
  <c r="AN29" i="9"/>
  <c r="AM29" i="9"/>
  <c r="AL29" i="9"/>
  <c r="AK29" i="9"/>
  <c r="AJ29" i="9"/>
  <c r="AI29" i="9"/>
  <c r="AH29" i="9"/>
  <c r="AG29" i="9"/>
  <c r="AF29" i="9"/>
  <c r="AE29" i="9"/>
  <c r="AD29" i="9"/>
  <c r="AC29" i="9"/>
  <c r="AB29" i="9"/>
  <c r="AA29" i="9"/>
  <c r="Z29" i="9"/>
  <c r="Y29" i="9"/>
  <c r="X29" i="9"/>
  <c r="W29" i="9"/>
  <c r="V29" i="9"/>
  <c r="U29" i="9"/>
  <c r="T29" i="9"/>
  <c r="S29" i="9"/>
  <c r="R29" i="9"/>
  <c r="Q29" i="9"/>
  <c r="P29" i="9"/>
  <c r="O29" i="9"/>
  <c r="N29" i="9"/>
  <c r="M29" i="9"/>
  <c r="L29" i="9"/>
  <c r="K29" i="9"/>
  <c r="J29" i="9"/>
  <c r="DY28" i="9"/>
  <c r="DX28" i="9"/>
  <c r="DW28" i="9"/>
  <c r="DV28" i="9"/>
  <c r="DU28" i="9"/>
  <c r="DT28" i="9"/>
  <c r="DS28" i="9"/>
  <c r="DR28" i="9"/>
  <c r="DQ28" i="9"/>
  <c r="DP28" i="9"/>
  <c r="DO28" i="9"/>
  <c r="DN28" i="9"/>
  <c r="DM28" i="9"/>
  <c r="DL28" i="9"/>
  <c r="DK28" i="9"/>
  <c r="DJ28" i="9"/>
  <c r="DI28" i="9"/>
  <c r="DH28" i="9"/>
  <c r="DG28" i="9"/>
  <c r="DF28" i="9"/>
  <c r="DE28" i="9"/>
  <c r="DD28" i="9"/>
  <c r="DC28" i="9"/>
  <c r="DB28" i="9"/>
  <c r="DA28" i="9"/>
  <c r="CZ28" i="9"/>
  <c r="CY28" i="9"/>
  <c r="CX28" i="9"/>
  <c r="CW28" i="9"/>
  <c r="CV28" i="9"/>
  <c r="CU28" i="9"/>
  <c r="CT28" i="9"/>
  <c r="CS28" i="9"/>
  <c r="CR28" i="9"/>
  <c r="CQ28" i="9"/>
  <c r="CP28" i="9"/>
  <c r="CO28" i="9"/>
  <c r="CN28" i="9"/>
  <c r="CM28" i="9"/>
  <c r="CL28" i="9"/>
  <c r="CK28" i="9"/>
  <c r="CJ28" i="9"/>
  <c r="CI28" i="9"/>
  <c r="CH28" i="9"/>
  <c r="CG28" i="9"/>
  <c r="CF28" i="9"/>
  <c r="CE28" i="9"/>
  <c r="CD28" i="9"/>
  <c r="CC28" i="9"/>
  <c r="CB28" i="9"/>
  <c r="CA28" i="9"/>
  <c r="BZ28" i="9"/>
  <c r="BY28" i="9"/>
  <c r="BX28" i="9"/>
  <c r="BW28" i="9"/>
  <c r="BV28" i="9"/>
  <c r="BU28" i="9"/>
  <c r="BT28" i="9"/>
  <c r="BS28" i="9"/>
  <c r="BR28" i="9"/>
  <c r="BQ28" i="9"/>
  <c r="BP28" i="9"/>
  <c r="BO28" i="9"/>
  <c r="BN28" i="9"/>
  <c r="BM28" i="9"/>
  <c r="BL28" i="9"/>
  <c r="BK28" i="9"/>
  <c r="BJ28" i="9"/>
  <c r="BI28" i="9"/>
  <c r="BH28" i="9"/>
  <c r="BG28" i="9"/>
  <c r="BF28" i="9"/>
  <c r="BE28" i="9"/>
  <c r="BD28" i="9"/>
  <c r="BC28" i="9"/>
  <c r="BB28" i="9"/>
  <c r="BA28" i="9"/>
  <c r="AZ28" i="9"/>
  <c r="AY28" i="9"/>
  <c r="AX28" i="9"/>
  <c r="AW28" i="9"/>
  <c r="AV28" i="9"/>
  <c r="AU28" i="9"/>
  <c r="AT28" i="9"/>
  <c r="AS28" i="9"/>
  <c r="AR28" i="9"/>
  <c r="AQ28" i="9"/>
  <c r="AP28" i="9"/>
  <c r="AO28" i="9"/>
  <c r="AN28" i="9"/>
  <c r="AM28" i="9"/>
  <c r="AL28" i="9"/>
  <c r="AK28" i="9"/>
  <c r="AJ28" i="9"/>
  <c r="AI28" i="9"/>
  <c r="AH28" i="9"/>
  <c r="AG28" i="9"/>
  <c r="AF28" i="9"/>
  <c r="AE28" i="9"/>
  <c r="AD28" i="9"/>
  <c r="AC28" i="9"/>
  <c r="AB28" i="9"/>
  <c r="AA28" i="9"/>
  <c r="Z28" i="9"/>
  <c r="Y28" i="9"/>
  <c r="X28" i="9"/>
  <c r="W28" i="9"/>
  <c r="V28" i="9"/>
  <c r="U28" i="9"/>
  <c r="T28" i="9"/>
  <c r="S28" i="9"/>
  <c r="R28" i="9"/>
  <c r="Q28" i="9"/>
  <c r="P28" i="9"/>
  <c r="O28" i="9"/>
  <c r="N28" i="9"/>
  <c r="M28" i="9"/>
  <c r="L28" i="9"/>
  <c r="K28" i="9"/>
  <c r="J28" i="9"/>
  <c r="DY27" i="9"/>
  <c r="DX27" i="9"/>
  <c r="DW27" i="9"/>
  <c r="DV27" i="9"/>
  <c r="DU27" i="9"/>
  <c r="DT27" i="9"/>
  <c r="DS27" i="9"/>
  <c r="DS26" i="9" s="1"/>
  <c r="DR27" i="9"/>
  <c r="DR26" i="9" s="1"/>
  <c r="DQ27" i="9"/>
  <c r="DQ26" i="9" s="1"/>
  <c r="DP27" i="9"/>
  <c r="DP26" i="9" s="1"/>
  <c r="DO27" i="9"/>
  <c r="DO26" i="9" s="1"/>
  <c r="DN27" i="9"/>
  <c r="DN26" i="9" s="1"/>
  <c r="DM27" i="9"/>
  <c r="DM26" i="9" s="1"/>
  <c r="DL27" i="9"/>
  <c r="DK27" i="9"/>
  <c r="DJ27" i="9"/>
  <c r="DI27" i="9"/>
  <c r="DI26" i="9" s="1"/>
  <c r="DH27" i="9"/>
  <c r="DG27" i="9"/>
  <c r="DG26" i="9" s="1"/>
  <c r="DF27" i="9"/>
  <c r="DF26" i="9" s="1"/>
  <c r="DE27" i="9"/>
  <c r="DE26" i="9" s="1"/>
  <c r="DD27" i="9"/>
  <c r="DC27" i="9"/>
  <c r="DC26" i="9" s="1"/>
  <c r="DB27" i="9"/>
  <c r="DA27" i="9"/>
  <c r="DA26" i="9" s="1"/>
  <c r="CZ27" i="9"/>
  <c r="CZ26" i="9" s="1"/>
  <c r="CY27" i="9"/>
  <c r="CY26" i="9" s="1"/>
  <c r="CX27" i="9"/>
  <c r="CW27" i="9"/>
  <c r="CV27" i="9"/>
  <c r="CV26" i="9" s="1"/>
  <c r="CU27" i="9"/>
  <c r="CU26" i="9" s="1"/>
  <c r="CT27" i="9"/>
  <c r="CT26" i="9" s="1"/>
  <c r="CS27" i="9"/>
  <c r="CS26" i="9" s="1"/>
  <c r="CR27" i="9"/>
  <c r="CQ27" i="9"/>
  <c r="CQ26" i="9" s="1"/>
  <c r="CP27" i="9"/>
  <c r="CP26" i="9" s="1"/>
  <c r="CO27" i="9"/>
  <c r="CO26" i="9" s="1"/>
  <c r="CN27" i="9"/>
  <c r="CM27" i="9"/>
  <c r="CM26" i="9" s="1"/>
  <c r="CL27" i="9"/>
  <c r="CK27" i="9"/>
  <c r="CK26" i="9" s="1"/>
  <c r="CJ27" i="9"/>
  <c r="CI27" i="9"/>
  <c r="CI26" i="9" s="1"/>
  <c r="CH27" i="9"/>
  <c r="CH26" i="9" s="1"/>
  <c r="CG27" i="9"/>
  <c r="CG26" i="9" s="1"/>
  <c r="CF27" i="9"/>
  <c r="CF26" i="9" s="1"/>
  <c r="CE27" i="9"/>
  <c r="CE26" i="9" s="1"/>
  <c r="CD27" i="9"/>
  <c r="CC27" i="9"/>
  <c r="CC26" i="9" s="1"/>
  <c r="CB27" i="9"/>
  <c r="CB26" i="9" s="1"/>
  <c r="CA27" i="9"/>
  <c r="CA26" i="9" s="1"/>
  <c r="BZ27" i="9"/>
  <c r="BY27" i="9"/>
  <c r="BX27" i="9"/>
  <c r="BW27" i="9"/>
  <c r="BW26" i="9" s="1"/>
  <c r="BV27" i="9"/>
  <c r="BV26" i="9" s="1"/>
  <c r="BU27" i="9"/>
  <c r="BU26" i="9" s="1"/>
  <c r="BT27" i="9"/>
  <c r="BS27" i="9"/>
  <c r="BS26" i="9" s="1"/>
  <c r="BR27" i="9"/>
  <c r="BR26" i="9" s="1"/>
  <c r="BQ27" i="9"/>
  <c r="BQ26" i="9" s="1"/>
  <c r="BP27" i="9"/>
  <c r="BP26" i="9" s="1"/>
  <c r="BO27" i="9"/>
  <c r="BN27" i="9"/>
  <c r="BN26" i="9" s="1"/>
  <c r="BM27" i="9"/>
  <c r="BL27" i="9"/>
  <c r="BK27" i="9"/>
  <c r="BK26" i="9" s="1"/>
  <c r="BJ27" i="9"/>
  <c r="BJ26" i="9" s="1"/>
  <c r="BI27" i="9"/>
  <c r="BI26" i="9" s="1"/>
  <c r="BH27" i="9"/>
  <c r="BG27" i="9"/>
  <c r="BG26" i="9" s="1"/>
  <c r="BF27" i="9"/>
  <c r="BF26" i="9" s="1"/>
  <c r="BE27" i="9"/>
  <c r="BE26" i="9" s="1"/>
  <c r="BD27" i="9"/>
  <c r="BD26" i="9" s="1"/>
  <c r="BC27" i="9"/>
  <c r="BB27" i="9"/>
  <c r="BA27" i="9"/>
  <c r="AZ27" i="9"/>
  <c r="AY27" i="9"/>
  <c r="AY26" i="9" s="1"/>
  <c r="AX27" i="9"/>
  <c r="AX26" i="9" s="1"/>
  <c r="AW27" i="9"/>
  <c r="AW26" i="9" s="1"/>
  <c r="AV27" i="9"/>
  <c r="AU27" i="9"/>
  <c r="AU26" i="9" s="1"/>
  <c r="AT27" i="9"/>
  <c r="AT26" i="9" s="1"/>
  <c r="AS27" i="9"/>
  <c r="AS26" i="9" s="1"/>
  <c r="AR27" i="9"/>
  <c r="AR26" i="9" s="1"/>
  <c r="AQ27" i="9"/>
  <c r="AP27" i="9"/>
  <c r="AO27" i="9"/>
  <c r="AO26" i="9" s="1"/>
  <c r="AN27" i="9"/>
  <c r="AN26" i="9" s="1"/>
  <c r="AM27" i="9"/>
  <c r="AM26" i="9" s="1"/>
  <c r="AL27" i="9"/>
  <c r="AK27" i="9"/>
  <c r="AK26" i="9" s="1"/>
  <c r="AJ27" i="9"/>
  <c r="AJ26" i="9" s="1"/>
  <c r="AI27" i="9"/>
  <c r="AI26" i="9" s="1"/>
  <c r="AH27" i="9"/>
  <c r="AH26" i="9" s="1"/>
  <c r="AG27" i="9"/>
  <c r="AG26" i="9" s="1"/>
  <c r="AF27" i="9"/>
  <c r="AE27" i="9"/>
  <c r="AD27" i="9"/>
  <c r="AC27" i="9"/>
  <c r="AC26" i="9" s="1"/>
  <c r="AB27" i="9"/>
  <c r="AB26" i="9" s="1"/>
  <c r="AA27" i="9"/>
  <c r="AA26" i="9" s="1"/>
  <c r="Z27" i="9"/>
  <c r="Z26" i="9" s="1"/>
  <c r="Y27" i="9"/>
  <c r="Y26" i="9" s="1"/>
  <c r="X27" i="9"/>
  <c r="W27" i="9"/>
  <c r="W26" i="9" s="1"/>
  <c r="V27" i="9"/>
  <c r="V26" i="9" s="1"/>
  <c r="U27" i="9"/>
  <c r="U26" i="9" s="1"/>
  <c r="T27" i="9"/>
  <c r="T26" i="9" s="1"/>
  <c r="S27" i="9"/>
  <c r="S26" i="9" s="1"/>
  <c r="R27" i="9"/>
  <c r="Q27" i="9"/>
  <c r="P27" i="9"/>
  <c r="P26" i="9" s="1"/>
  <c r="O27" i="9"/>
  <c r="O26" i="9" s="1"/>
  <c r="N27" i="9"/>
  <c r="N26" i="9" s="1"/>
  <c r="M27" i="9"/>
  <c r="M26" i="9" s="1"/>
  <c r="L27" i="9"/>
  <c r="L26" i="9" s="1"/>
  <c r="K27" i="9"/>
  <c r="K26" i="9" s="1"/>
  <c r="J27" i="9"/>
  <c r="DY26" i="9"/>
  <c r="CD26" i="9"/>
  <c r="AL26" i="9"/>
  <c r="DY25" i="9"/>
  <c r="DX25" i="9"/>
  <c r="DW25" i="9"/>
  <c r="DV25" i="9"/>
  <c r="DU25" i="9"/>
  <c r="DT25" i="9"/>
  <c r="DS25" i="9"/>
  <c r="DR25" i="9"/>
  <c r="DQ25" i="9"/>
  <c r="DP25" i="9"/>
  <c r="DO25" i="9"/>
  <c r="DN25" i="9"/>
  <c r="DM25" i="9"/>
  <c r="DL25" i="9"/>
  <c r="DK25" i="9"/>
  <c r="DJ25" i="9"/>
  <c r="DI25" i="9"/>
  <c r="DH25" i="9"/>
  <c r="DG25" i="9"/>
  <c r="DF25" i="9"/>
  <c r="DE25" i="9"/>
  <c r="DD25" i="9"/>
  <c r="DC25" i="9"/>
  <c r="DB25" i="9"/>
  <c r="DA25" i="9"/>
  <c r="CZ25" i="9"/>
  <c r="CY25" i="9"/>
  <c r="CX25" i="9"/>
  <c r="CW25" i="9"/>
  <c r="CV25" i="9"/>
  <c r="CU25" i="9"/>
  <c r="CT25" i="9"/>
  <c r="CS25" i="9"/>
  <c r="CR25" i="9"/>
  <c r="CQ25" i="9"/>
  <c r="CP25" i="9"/>
  <c r="CO25" i="9"/>
  <c r="CN25" i="9"/>
  <c r="CM25" i="9"/>
  <c r="CL25" i="9"/>
  <c r="CK25" i="9"/>
  <c r="CJ25" i="9"/>
  <c r="CI25" i="9"/>
  <c r="CH25" i="9"/>
  <c r="CG25" i="9"/>
  <c r="CF25" i="9"/>
  <c r="CE25" i="9"/>
  <c r="CD25" i="9"/>
  <c r="CC25" i="9"/>
  <c r="CB25" i="9"/>
  <c r="CA25" i="9"/>
  <c r="BZ25" i="9"/>
  <c r="BY25" i="9"/>
  <c r="BX25" i="9"/>
  <c r="BW25" i="9"/>
  <c r="BV25" i="9"/>
  <c r="BU25" i="9"/>
  <c r="BT25" i="9"/>
  <c r="BS25" i="9"/>
  <c r="BR25" i="9"/>
  <c r="BQ25" i="9"/>
  <c r="BP25" i="9"/>
  <c r="BO25" i="9"/>
  <c r="BN25" i="9"/>
  <c r="BM25" i="9"/>
  <c r="BL25" i="9"/>
  <c r="BK25" i="9"/>
  <c r="BJ25" i="9"/>
  <c r="BI25" i="9"/>
  <c r="BH25" i="9"/>
  <c r="BG25" i="9"/>
  <c r="BF25" i="9"/>
  <c r="BE25" i="9"/>
  <c r="BD25" i="9"/>
  <c r="BC25" i="9"/>
  <c r="BB25" i="9"/>
  <c r="BA25" i="9"/>
  <c r="AZ25" i="9"/>
  <c r="AY25" i="9"/>
  <c r="AX25" i="9"/>
  <c r="AW25" i="9"/>
  <c r="AV25" i="9"/>
  <c r="AU25" i="9"/>
  <c r="AT25" i="9"/>
  <c r="AS25" i="9"/>
  <c r="AR25" i="9"/>
  <c r="AQ25" i="9"/>
  <c r="AP25" i="9"/>
  <c r="AO25" i="9"/>
  <c r="AN25" i="9"/>
  <c r="AM25" i="9"/>
  <c r="AL25" i="9"/>
  <c r="AK25" i="9"/>
  <c r="AJ25" i="9"/>
  <c r="AI25" i="9"/>
  <c r="AH25" i="9"/>
  <c r="AG25" i="9"/>
  <c r="AF25" i="9"/>
  <c r="AE25" i="9"/>
  <c r="AD25" i="9"/>
  <c r="AC25" i="9"/>
  <c r="AB25" i="9"/>
  <c r="AA25" i="9"/>
  <c r="Z25" i="9"/>
  <c r="Y25" i="9"/>
  <c r="X25" i="9"/>
  <c r="W25" i="9"/>
  <c r="V25" i="9"/>
  <c r="U25" i="9"/>
  <c r="T25" i="9"/>
  <c r="S25" i="9"/>
  <c r="R25" i="9"/>
  <c r="Q25" i="9"/>
  <c r="P25" i="9"/>
  <c r="O25" i="9"/>
  <c r="N25" i="9"/>
  <c r="M25" i="9"/>
  <c r="L25" i="9"/>
  <c r="K25" i="9"/>
  <c r="J25" i="9"/>
  <c r="DY24" i="9"/>
  <c r="DX24" i="9"/>
  <c r="DW24" i="9"/>
  <c r="DV24" i="9"/>
  <c r="DU24" i="9"/>
  <c r="DT24" i="9"/>
  <c r="DS24" i="9"/>
  <c r="DR24" i="9"/>
  <c r="DQ24" i="9"/>
  <c r="DP24" i="9"/>
  <c r="DO24" i="9"/>
  <c r="DN24" i="9"/>
  <c r="DM24" i="9"/>
  <c r="DL24" i="9"/>
  <c r="DK24" i="9"/>
  <c r="DJ24" i="9"/>
  <c r="DI24" i="9"/>
  <c r="DH24" i="9"/>
  <c r="DG24" i="9"/>
  <c r="DF24" i="9"/>
  <c r="DE24" i="9"/>
  <c r="DD24" i="9"/>
  <c r="DC24" i="9"/>
  <c r="DB24" i="9"/>
  <c r="DA24" i="9"/>
  <c r="CZ24" i="9"/>
  <c r="CY24" i="9"/>
  <c r="CX24" i="9"/>
  <c r="CW24" i="9"/>
  <c r="CV24" i="9"/>
  <c r="CU24" i="9"/>
  <c r="CT24" i="9"/>
  <c r="CS24" i="9"/>
  <c r="CR24" i="9"/>
  <c r="CQ24" i="9"/>
  <c r="CP24" i="9"/>
  <c r="CO24" i="9"/>
  <c r="CN24" i="9"/>
  <c r="CM24" i="9"/>
  <c r="CL24" i="9"/>
  <c r="CK24" i="9"/>
  <c r="CJ24" i="9"/>
  <c r="CI24" i="9"/>
  <c r="CH24" i="9"/>
  <c r="CG24" i="9"/>
  <c r="CF24" i="9"/>
  <c r="CE24" i="9"/>
  <c r="CD24" i="9"/>
  <c r="CC24" i="9"/>
  <c r="CB24" i="9"/>
  <c r="CA24" i="9"/>
  <c r="BZ24" i="9"/>
  <c r="BY24" i="9"/>
  <c r="BX24" i="9"/>
  <c r="BW24" i="9"/>
  <c r="BV24" i="9"/>
  <c r="BU24" i="9"/>
  <c r="BT24" i="9"/>
  <c r="BS24" i="9"/>
  <c r="BR24" i="9"/>
  <c r="BQ24" i="9"/>
  <c r="BP24" i="9"/>
  <c r="BO24" i="9"/>
  <c r="BN24" i="9"/>
  <c r="BM24" i="9"/>
  <c r="BL24" i="9"/>
  <c r="BK24" i="9"/>
  <c r="BJ24" i="9"/>
  <c r="BI24" i="9"/>
  <c r="BH24" i="9"/>
  <c r="BG24" i="9"/>
  <c r="BF24" i="9"/>
  <c r="BE24" i="9"/>
  <c r="BD24" i="9"/>
  <c r="BC24" i="9"/>
  <c r="BB24" i="9"/>
  <c r="BA24" i="9"/>
  <c r="AZ24" i="9"/>
  <c r="AY24" i="9"/>
  <c r="AX24" i="9"/>
  <c r="AW24" i="9"/>
  <c r="AV24" i="9"/>
  <c r="AU24" i="9"/>
  <c r="AT24" i="9"/>
  <c r="AS24" i="9"/>
  <c r="AR24" i="9"/>
  <c r="AQ24" i="9"/>
  <c r="AP24" i="9"/>
  <c r="AO24" i="9"/>
  <c r="AN24" i="9"/>
  <c r="AM24" i="9"/>
  <c r="AL24" i="9"/>
  <c r="AK24" i="9"/>
  <c r="AJ24" i="9"/>
  <c r="AI24" i="9"/>
  <c r="AH24" i="9"/>
  <c r="AG24" i="9"/>
  <c r="AF24" i="9"/>
  <c r="AE24" i="9"/>
  <c r="AD24" i="9"/>
  <c r="AC24" i="9"/>
  <c r="AB24" i="9"/>
  <c r="AA24" i="9"/>
  <c r="Z24" i="9"/>
  <c r="Y24" i="9"/>
  <c r="X24" i="9"/>
  <c r="W24" i="9"/>
  <c r="V24" i="9"/>
  <c r="U24" i="9"/>
  <c r="T24" i="9"/>
  <c r="S24" i="9"/>
  <c r="R24" i="9"/>
  <c r="Q24" i="9"/>
  <c r="P24" i="9"/>
  <c r="O24" i="9"/>
  <c r="N24" i="9"/>
  <c r="M24" i="9"/>
  <c r="L24" i="9"/>
  <c r="K24" i="9"/>
  <c r="J24" i="9"/>
  <c r="DY23" i="9"/>
  <c r="DX23" i="9"/>
  <c r="DW23" i="9"/>
  <c r="DV23" i="9"/>
  <c r="DU23" i="9"/>
  <c r="DT23" i="9"/>
  <c r="DS23" i="9"/>
  <c r="DR23" i="9"/>
  <c r="DQ23" i="9"/>
  <c r="DP23" i="9"/>
  <c r="DO23" i="9"/>
  <c r="DN23" i="9"/>
  <c r="DM23" i="9"/>
  <c r="DL23" i="9"/>
  <c r="DK23" i="9"/>
  <c r="DJ23" i="9"/>
  <c r="DI23" i="9"/>
  <c r="DH23" i="9"/>
  <c r="DG23" i="9"/>
  <c r="DF23" i="9"/>
  <c r="DE23" i="9"/>
  <c r="DD23" i="9"/>
  <c r="DC23" i="9"/>
  <c r="DB23" i="9"/>
  <c r="DA23" i="9"/>
  <c r="CZ23" i="9"/>
  <c r="CY23" i="9"/>
  <c r="CX23" i="9"/>
  <c r="CW23" i="9"/>
  <c r="CV23" i="9"/>
  <c r="CU23" i="9"/>
  <c r="CT23" i="9"/>
  <c r="CS23" i="9"/>
  <c r="CR23" i="9"/>
  <c r="CQ23" i="9"/>
  <c r="CP23" i="9"/>
  <c r="CO23" i="9"/>
  <c r="CN23" i="9"/>
  <c r="CM23" i="9"/>
  <c r="CL23" i="9"/>
  <c r="CK23" i="9"/>
  <c r="CJ23" i="9"/>
  <c r="CI23" i="9"/>
  <c r="CH23" i="9"/>
  <c r="CG23" i="9"/>
  <c r="CF23" i="9"/>
  <c r="CE23" i="9"/>
  <c r="CD23" i="9"/>
  <c r="CC23" i="9"/>
  <c r="CB23" i="9"/>
  <c r="CA23" i="9"/>
  <c r="BZ23" i="9"/>
  <c r="BY23" i="9"/>
  <c r="BX23" i="9"/>
  <c r="BW23" i="9"/>
  <c r="BV23" i="9"/>
  <c r="BU23" i="9"/>
  <c r="BT23" i="9"/>
  <c r="BS23" i="9"/>
  <c r="BR23" i="9"/>
  <c r="BQ23" i="9"/>
  <c r="BP23" i="9"/>
  <c r="BO23" i="9"/>
  <c r="BN23" i="9"/>
  <c r="BM23" i="9"/>
  <c r="BL23" i="9"/>
  <c r="BK23" i="9"/>
  <c r="BJ23" i="9"/>
  <c r="BI23" i="9"/>
  <c r="BH23" i="9"/>
  <c r="BG23" i="9"/>
  <c r="BF23" i="9"/>
  <c r="BE23" i="9"/>
  <c r="BD23" i="9"/>
  <c r="BC23" i="9"/>
  <c r="BB23" i="9"/>
  <c r="BA23" i="9"/>
  <c r="AZ23" i="9"/>
  <c r="AY23" i="9"/>
  <c r="AX23" i="9"/>
  <c r="AW23" i="9"/>
  <c r="AV23" i="9"/>
  <c r="AU23" i="9"/>
  <c r="AT23" i="9"/>
  <c r="AS23" i="9"/>
  <c r="AR23" i="9"/>
  <c r="AQ23" i="9"/>
  <c r="AP23" i="9"/>
  <c r="AO23" i="9"/>
  <c r="AN23" i="9"/>
  <c r="AM23" i="9"/>
  <c r="AL23" i="9"/>
  <c r="AK23" i="9"/>
  <c r="AJ23" i="9"/>
  <c r="AI23" i="9"/>
  <c r="AH23" i="9"/>
  <c r="AG23" i="9"/>
  <c r="AF23" i="9"/>
  <c r="AE23" i="9"/>
  <c r="AD23" i="9"/>
  <c r="AC23" i="9"/>
  <c r="AB23" i="9"/>
  <c r="AA23" i="9"/>
  <c r="Z23" i="9"/>
  <c r="Y23" i="9"/>
  <c r="X23" i="9"/>
  <c r="W23" i="9"/>
  <c r="V23" i="9"/>
  <c r="U23" i="9"/>
  <c r="T23" i="9"/>
  <c r="S23" i="9"/>
  <c r="R23" i="9"/>
  <c r="Q23" i="9"/>
  <c r="P23" i="9"/>
  <c r="O23" i="9"/>
  <c r="N23" i="9"/>
  <c r="M23" i="9"/>
  <c r="L23" i="9"/>
  <c r="K23" i="9"/>
  <c r="J23" i="9"/>
  <c r="DY22" i="9"/>
  <c r="DY20" i="9" s="1"/>
  <c r="DX22" i="9"/>
  <c r="DW22" i="9"/>
  <c r="DV22" i="9"/>
  <c r="DU22" i="9"/>
  <c r="DT22" i="9"/>
  <c r="DS22" i="9"/>
  <c r="DR22" i="9"/>
  <c r="DQ22" i="9"/>
  <c r="DP22" i="9"/>
  <c r="DO22" i="9"/>
  <c r="DN22" i="9"/>
  <c r="DM22" i="9"/>
  <c r="DL22" i="9"/>
  <c r="DK22" i="9"/>
  <c r="DJ22" i="9"/>
  <c r="DI22" i="9"/>
  <c r="DH22" i="9"/>
  <c r="DG22" i="9"/>
  <c r="DF22" i="9"/>
  <c r="DE22" i="9"/>
  <c r="DD22" i="9"/>
  <c r="DC22" i="9"/>
  <c r="DB22" i="9"/>
  <c r="DA22" i="9"/>
  <c r="CZ22" i="9"/>
  <c r="CY22" i="9"/>
  <c r="CX22" i="9"/>
  <c r="CW22" i="9"/>
  <c r="CV22" i="9"/>
  <c r="CU22" i="9"/>
  <c r="CT22" i="9"/>
  <c r="CS22" i="9"/>
  <c r="CR22" i="9"/>
  <c r="CQ22" i="9"/>
  <c r="CP22" i="9"/>
  <c r="CO22" i="9"/>
  <c r="CN22" i="9"/>
  <c r="CM22" i="9"/>
  <c r="CL22" i="9"/>
  <c r="CK22" i="9"/>
  <c r="CJ22" i="9"/>
  <c r="CI22" i="9"/>
  <c r="CH22" i="9"/>
  <c r="CG22" i="9"/>
  <c r="CF22" i="9"/>
  <c r="CE22" i="9"/>
  <c r="CD22" i="9"/>
  <c r="CC22" i="9"/>
  <c r="CB22" i="9"/>
  <c r="CA22" i="9"/>
  <c r="BZ22" i="9"/>
  <c r="BY22" i="9"/>
  <c r="BX22" i="9"/>
  <c r="BW22" i="9"/>
  <c r="BV22" i="9"/>
  <c r="BU22" i="9"/>
  <c r="BT22" i="9"/>
  <c r="BS22" i="9"/>
  <c r="BR22" i="9"/>
  <c r="BQ22" i="9"/>
  <c r="BP22" i="9"/>
  <c r="BO22" i="9"/>
  <c r="BN22" i="9"/>
  <c r="BM22" i="9"/>
  <c r="BL22" i="9"/>
  <c r="BK22" i="9"/>
  <c r="BJ22" i="9"/>
  <c r="BI22" i="9"/>
  <c r="BH22" i="9"/>
  <c r="BG22" i="9"/>
  <c r="BF22" i="9"/>
  <c r="BE22" i="9"/>
  <c r="BD22" i="9"/>
  <c r="BC22" i="9"/>
  <c r="BB22" i="9"/>
  <c r="BB20" i="9" s="1"/>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U20" i="9" s="1"/>
  <c r="T22" i="9"/>
  <c r="S22" i="9"/>
  <c r="R22" i="9"/>
  <c r="Q22" i="9"/>
  <c r="P22" i="9"/>
  <c r="O22" i="9"/>
  <c r="N22" i="9"/>
  <c r="M22" i="9"/>
  <c r="L22" i="9"/>
  <c r="K22" i="9"/>
  <c r="K20" i="9" s="1"/>
  <c r="I17" i="9"/>
  <c r="I16" i="9"/>
  <c r="DY15" i="9"/>
  <c r="DX15" i="9"/>
  <c r="DW15" i="9"/>
  <c r="DV15" i="9"/>
  <c r="DU15" i="9"/>
  <c r="DT15" i="9"/>
  <c r="DS15" i="9"/>
  <c r="DR15" i="9"/>
  <c r="DQ15" i="9"/>
  <c r="DP15" i="9"/>
  <c r="DO15" i="9"/>
  <c r="DN15" i="9"/>
  <c r="DM15" i="9"/>
  <c r="DL15" i="9"/>
  <c r="DK15" i="9"/>
  <c r="DJ15" i="9"/>
  <c r="DI15" i="9"/>
  <c r="DH15" i="9"/>
  <c r="DG15" i="9"/>
  <c r="DF15" i="9"/>
  <c r="DE15" i="9"/>
  <c r="DD15" i="9"/>
  <c r="DC15" i="9"/>
  <c r="DB15" i="9"/>
  <c r="DA15" i="9"/>
  <c r="CZ15" i="9"/>
  <c r="CY15" i="9"/>
  <c r="CX15" i="9"/>
  <c r="CW15" i="9"/>
  <c r="CV15" i="9"/>
  <c r="CU15" i="9"/>
  <c r="CT15" i="9"/>
  <c r="CS15" i="9"/>
  <c r="CR15" i="9"/>
  <c r="CQ15" i="9"/>
  <c r="CP15" i="9"/>
  <c r="CO15" i="9"/>
  <c r="CN15" i="9"/>
  <c r="CM15" i="9"/>
  <c r="CL15" i="9"/>
  <c r="CK15" i="9"/>
  <c r="CJ15" i="9"/>
  <c r="CI15" i="9"/>
  <c r="CH15" i="9"/>
  <c r="CG15" i="9"/>
  <c r="CF15" i="9"/>
  <c r="CE15" i="9"/>
  <c r="CD15" i="9"/>
  <c r="CC15" i="9"/>
  <c r="CB15" i="9"/>
  <c r="CA15" i="9"/>
  <c r="BZ15" i="9"/>
  <c r="BY15" i="9"/>
  <c r="BX15" i="9"/>
  <c r="BW15" i="9"/>
  <c r="BV15" i="9"/>
  <c r="BU15" i="9"/>
  <c r="BT15" i="9"/>
  <c r="BS15" i="9"/>
  <c r="BR15" i="9"/>
  <c r="BQ15" i="9"/>
  <c r="BP15" i="9"/>
  <c r="BO15" i="9"/>
  <c r="BN15" i="9"/>
  <c r="BM15" i="9"/>
  <c r="BL15" i="9"/>
  <c r="BK15" i="9"/>
  <c r="BJ15" i="9"/>
  <c r="BI15" i="9"/>
  <c r="BH15" i="9"/>
  <c r="BG15" i="9"/>
  <c r="BF15" i="9"/>
  <c r="BE15" i="9"/>
  <c r="BD15" i="9"/>
  <c r="BC15" i="9"/>
  <c r="BB15" i="9"/>
  <c r="BA15" i="9"/>
  <c r="AZ15" i="9"/>
  <c r="AY15" i="9"/>
  <c r="AX15" i="9"/>
  <c r="AW15" i="9"/>
  <c r="AV15" i="9"/>
  <c r="AU15" i="9"/>
  <c r="AT15" i="9"/>
  <c r="AS15" i="9"/>
  <c r="AR15" i="9"/>
  <c r="AQ15" i="9"/>
  <c r="AP15" i="9"/>
  <c r="AO15" i="9"/>
  <c r="AN15" i="9"/>
  <c r="AM15" i="9"/>
  <c r="AL15" i="9"/>
  <c r="AK15" i="9"/>
  <c r="AJ15" i="9"/>
  <c r="AI15" i="9"/>
  <c r="AH15" i="9"/>
  <c r="AG15" i="9"/>
  <c r="AF15" i="9"/>
  <c r="AE15" i="9"/>
  <c r="AD15" i="9"/>
  <c r="AC15" i="9"/>
  <c r="AB15" i="9"/>
  <c r="AA15" i="9"/>
  <c r="Z15" i="9"/>
  <c r="Y15" i="9"/>
  <c r="X15" i="9"/>
  <c r="W15" i="9"/>
  <c r="V15" i="9"/>
  <c r="U15" i="9"/>
  <c r="T15" i="9"/>
  <c r="S15" i="9"/>
  <c r="R15" i="9"/>
  <c r="Q15" i="9"/>
  <c r="P15" i="9"/>
  <c r="O15" i="9"/>
  <c r="N15" i="9"/>
  <c r="M15" i="9"/>
  <c r="L15" i="9"/>
  <c r="K15" i="9"/>
  <c r="J15" i="9"/>
  <c r="DY14" i="9"/>
  <c r="DX14" i="9"/>
  <c r="DW14" i="9"/>
  <c r="DV14" i="9"/>
  <c r="DU14" i="9"/>
  <c r="DT14" i="9"/>
  <c r="DS14" i="9"/>
  <c r="DR14" i="9"/>
  <c r="DQ14" i="9"/>
  <c r="DP14" i="9"/>
  <c r="DO14" i="9"/>
  <c r="DN14" i="9"/>
  <c r="DM14" i="9"/>
  <c r="DL14" i="9"/>
  <c r="DK14" i="9"/>
  <c r="DJ14" i="9"/>
  <c r="DI14" i="9"/>
  <c r="DH14" i="9"/>
  <c r="DG14" i="9"/>
  <c r="DF14" i="9"/>
  <c r="DE14" i="9"/>
  <c r="DD14" i="9"/>
  <c r="DC14" i="9"/>
  <c r="DB14" i="9"/>
  <c r="DA14" i="9"/>
  <c r="CZ14" i="9"/>
  <c r="CY14" i="9"/>
  <c r="CX14" i="9"/>
  <c r="CW14" i="9"/>
  <c r="CV14" i="9"/>
  <c r="CU14" i="9"/>
  <c r="CT14" i="9"/>
  <c r="CS14" i="9"/>
  <c r="CR14" i="9"/>
  <c r="CQ14" i="9"/>
  <c r="CP14" i="9"/>
  <c r="CO14" i="9"/>
  <c r="CN14" i="9"/>
  <c r="CM14" i="9"/>
  <c r="CL14" i="9"/>
  <c r="CK14" i="9"/>
  <c r="CJ14" i="9"/>
  <c r="CI14" i="9"/>
  <c r="CH14" i="9"/>
  <c r="CG14" i="9"/>
  <c r="CF14" i="9"/>
  <c r="CE14" i="9"/>
  <c r="CD14" i="9"/>
  <c r="CC14" i="9"/>
  <c r="CB14" i="9"/>
  <c r="CA14" i="9"/>
  <c r="BZ14" i="9"/>
  <c r="BY14" i="9"/>
  <c r="BX14" i="9"/>
  <c r="BW14" i="9"/>
  <c r="BV14" i="9"/>
  <c r="BU14" i="9"/>
  <c r="BT14" i="9"/>
  <c r="BS14" i="9"/>
  <c r="BR14" i="9"/>
  <c r="BQ14" i="9"/>
  <c r="BP14" i="9"/>
  <c r="BO14" i="9"/>
  <c r="BN14" i="9"/>
  <c r="BM14" i="9"/>
  <c r="BL14" i="9"/>
  <c r="BK14" i="9"/>
  <c r="BJ14" i="9"/>
  <c r="BI14" i="9"/>
  <c r="BH14" i="9"/>
  <c r="BG14" i="9"/>
  <c r="BF14" i="9"/>
  <c r="BE14" i="9"/>
  <c r="BD14" i="9"/>
  <c r="BC14" i="9"/>
  <c r="BB14" i="9"/>
  <c r="BA14" i="9"/>
  <c r="AZ14" i="9"/>
  <c r="AY14" i="9"/>
  <c r="AX14" i="9"/>
  <c r="AW14" i="9"/>
  <c r="AV14" i="9"/>
  <c r="AU14" i="9"/>
  <c r="AT14" i="9"/>
  <c r="AS14" i="9"/>
  <c r="AR14" i="9"/>
  <c r="AQ14" i="9"/>
  <c r="AP14" i="9"/>
  <c r="AO14"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DY11" i="9"/>
  <c r="DX11" i="9"/>
  <c r="DW11" i="9"/>
  <c r="DV11" i="9"/>
  <c r="DU11" i="9"/>
  <c r="DT11" i="9"/>
  <c r="DS11" i="9"/>
  <c r="DR11" i="9"/>
  <c r="DQ11" i="9"/>
  <c r="DP11" i="9"/>
  <c r="DO11" i="9"/>
  <c r="DN11" i="9"/>
  <c r="DM11" i="9"/>
  <c r="DL11" i="9"/>
  <c r="DK11" i="9"/>
  <c r="DJ11" i="9"/>
  <c r="DI11" i="9"/>
  <c r="DH11" i="9"/>
  <c r="DG11" i="9"/>
  <c r="DF11" i="9"/>
  <c r="DE11" i="9"/>
  <c r="DD11" i="9"/>
  <c r="DC11" i="9"/>
  <c r="DB11" i="9"/>
  <c r="DA11" i="9"/>
  <c r="CZ11" i="9"/>
  <c r="CY11" i="9"/>
  <c r="CX11" i="9"/>
  <c r="CW11" i="9"/>
  <c r="CV11" i="9"/>
  <c r="CU11" i="9"/>
  <c r="CT11" i="9"/>
  <c r="CS11" i="9"/>
  <c r="CR11" i="9"/>
  <c r="CQ11" i="9"/>
  <c r="CP11" i="9"/>
  <c r="CO11" i="9"/>
  <c r="CN11" i="9"/>
  <c r="CM11" i="9"/>
  <c r="CL11" i="9"/>
  <c r="CK11" i="9"/>
  <c r="CJ11" i="9"/>
  <c r="CI11" i="9"/>
  <c r="CH11" i="9"/>
  <c r="CG11" i="9"/>
  <c r="CF11" i="9"/>
  <c r="CE11" i="9"/>
  <c r="CD11" i="9"/>
  <c r="CC11" i="9"/>
  <c r="CB11" i="9"/>
  <c r="CA11" i="9"/>
  <c r="BZ11" i="9"/>
  <c r="BY11" i="9"/>
  <c r="BX11" i="9"/>
  <c r="BW11" i="9"/>
  <c r="BV11" i="9"/>
  <c r="BU11" i="9"/>
  <c r="BT11" i="9"/>
  <c r="BS11" i="9"/>
  <c r="BR11" i="9"/>
  <c r="BQ11" i="9"/>
  <c r="BP11" i="9"/>
  <c r="BO11" i="9"/>
  <c r="BN11" i="9"/>
  <c r="BM11" i="9"/>
  <c r="BL11" i="9"/>
  <c r="BK11" i="9"/>
  <c r="BJ11" i="9"/>
  <c r="BI11" i="9"/>
  <c r="BH11" i="9"/>
  <c r="BG11" i="9"/>
  <c r="BF11" i="9"/>
  <c r="BE11" i="9"/>
  <c r="BD11" i="9"/>
  <c r="BC11" i="9"/>
  <c r="BB11" i="9"/>
  <c r="BA11" i="9"/>
  <c r="AZ11" i="9"/>
  <c r="AY11" i="9"/>
  <c r="AX11" i="9"/>
  <c r="AW11" i="9"/>
  <c r="AV11" i="9"/>
  <c r="AU11" i="9"/>
  <c r="AT11" i="9"/>
  <c r="AS11" i="9"/>
  <c r="AR11" i="9"/>
  <c r="AQ11" i="9"/>
  <c r="AP11" i="9"/>
  <c r="AO11" i="9"/>
  <c r="AN11" i="9"/>
  <c r="AM11" i="9"/>
  <c r="AL11" i="9"/>
  <c r="AK11" i="9"/>
  <c r="AJ11" i="9"/>
  <c r="AI11" i="9"/>
  <c r="AH11" i="9"/>
  <c r="AG11" i="9"/>
  <c r="AF11" i="9"/>
  <c r="AE11" i="9"/>
  <c r="AD11" i="9"/>
  <c r="AC11" i="9"/>
  <c r="AB11" i="9"/>
  <c r="AA11" i="9"/>
  <c r="Z11" i="9"/>
  <c r="Y11" i="9"/>
  <c r="X11" i="9"/>
  <c r="W11" i="9"/>
  <c r="V11" i="9"/>
  <c r="U11" i="9"/>
  <c r="T11" i="9"/>
  <c r="S11" i="9"/>
  <c r="J11" i="9"/>
  <c r="K11" i="9" s="1"/>
  <c r="L11" i="9" s="1"/>
  <c r="M11" i="9" s="1"/>
  <c r="N11" i="9" s="1"/>
  <c r="O11" i="9" s="1"/>
  <c r="P11" i="9" s="1"/>
  <c r="Q11" i="9" s="1"/>
  <c r="R11" i="9" s="1"/>
  <c r="DY10" i="9"/>
  <c r="DX10" i="9"/>
  <c r="DW10" i="9"/>
  <c r="DV10" i="9"/>
  <c r="DU10" i="9"/>
  <c r="DT10" i="9"/>
  <c r="DS10" i="9"/>
  <c r="DR10" i="9"/>
  <c r="DQ10" i="9"/>
  <c r="DP10" i="9"/>
  <c r="DO10" i="9"/>
  <c r="DN10" i="9"/>
  <c r="DM10" i="9"/>
  <c r="DL10" i="9"/>
  <c r="DK10" i="9"/>
  <c r="DJ10" i="9"/>
  <c r="DI10" i="9"/>
  <c r="DH10" i="9"/>
  <c r="DG10" i="9"/>
  <c r="DF10" i="9"/>
  <c r="DE10" i="9"/>
  <c r="DD10" i="9"/>
  <c r="DC10" i="9"/>
  <c r="DB10" i="9"/>
  <c r="DA10" i="9"/>
  <c r="CZ10" i="9"/>
  <c r="CY10" i="9"/>
  <c r="CX10" i="9"/>
  <c r="CW10" i="9"/>
  <c r="CV10" i="9"/>
  <c r="CU10" i="9"/>
  <c r="CT10" i="9"/>
  <c r="CS10" i="9"/>
  <c r="CR10" i="9"/>
  <c r="CQ10" i="9"/>
  <c r="CP10" i="9"/>
  <c r="CO10" i="9"/>
  <c r="CN10" i="9"/>
  <c r="CM10" i="9"/>
  <c r="CL10" i="9"/>
  <c r="CK10" i="9"/>
  <c r="CJ10" i="9"/>
  <c r="CI10" i="9"/>
  <c r="CH10" i="9"/>
  <c r="CG10" i="9"/>
  <c r="CF10" i="9"/>
  <c r="CE10" i="9"/>
  <c r="CD10" i="9"/>
  <c r="CC10" i="9"/>
  <c r="CB10" i="9"/>
  <c r="CA10" i="9"/>
  <c r="BZ10" i="9"/>
  <c r="BY10" i="9"/>
  <c r="BX10" i="9"/>
  <c r="BW10" i="9"/>
  <c r="BV10" i="9"/>
  <c r="BU10" i="9"/>
  <c r="BT10" i="9"/>
  <c r="BS10" i="9"/>
  <c r="BR10" i="9"/>
  <c r="BQ10" i="9"/>
  <c r="J10" i="9"/>
  <c r="K10" i="9" s="1"/>
  <c r="DY7" i="9"/>
  <c r="DX7" i="9"/>
  <c r="DW7" i="9"/>
  <c r="DV7" i="9"/>
  <c r="DV6" i="9" s="1"/>
  <c r="DU7" i="9"/>
  <c r="DT7" i="9"/>
  <c r="DS7" i="9"/>
  <c r="DR7" i="9"/>
  <c r="DQ7" i="9"/>
  <c r="DP7" i="9"/>
  <c r="DO7" i="9"/>
  <c r="DN7" i="9"/>
  <c r="DM7" i="9"/>
  <c r="DL7" i="9"/>
  <c r="DK7" i="9"/>
  <c r="DJ7" i="9"/>
  <c r="DJ6" i="9" s="1"/>
  <c r="DI7" i="9"/>
  <c r="DI6" i="9" s="1"/>
  <c r="DH7" i="9"/>
  <c r="DG7" i="9"/>
  <c r="DF7" i="9"/>
  <c r="DE7" i="9"/>
  <c r="DD7" i="9"/>
  <c r="DC7" i="9"/>
  <c r="DB7" i="9"/>
  <c r="DA7" i="9"/>
  <c r="CZ7" i="9"/>
  <c r="CY7" i="9"/>
  <c r="CX7" i="9"/>
  <c r="CX6" i="9" s="1"/>
  <c r="CW7" i="9"/>
  <c r="CW6" i="9" s="1"/>
  <c r="CV7" i="9"/>
  <c r="CU7" i="9"/>
  <c r="CT7" i="9"/>
  <c r="CS7" i="9"/>
  <c r="CR7" i="9"/>
  <c r="CQ7" i="9"/>
  <c r="CP7" i="9"/>
  <c r="CO7" i="9"/>
  <c r="CN7" i="9"/>
  <c r="CM7" i="9"/>
  <c r="CL7" i="9"/>
  <c r="CL6" i="9" s="1"/>
  <c r="CK7" i="9"/>
  <c r="CK6" i="9" s="1"/>
  <c r="CJ7" i="9"/>
  <c r="CI7" i="9"/>
  <c r="CH7" i="9"/>
  <c r="CG7" i="9"/>
  <c r="CF7" i="9"/>
  <c r="CE7" i="9"/>
  <c r="CD7" i="9"/>
  <c r="CC7" i="9"/>
  <c r="CB7" i="9"/>
  <c r="CA7" i="9"/>
  <c r="BZ7" i="9"/>
  <c r="BZ6" i="9" s="1"/>
  <c r="BY7" i="9"/>
  <c r="BY6" i="9" s="1"/>
  <c r="BX7" i="9"/>
  <c r="BW7" i="9"/>
  <c r="BV7" i="9"/>
  <c r="BU7" i="9"/>
  <c r="BT7" i="9"/>
  <c r="BS7" i="9"/>
  <c r="BR7" i="9"/>
  <c r="BQ7" i="9"/>
  <c r="BP7" i="9"/>
  <c r="BO7" i="9"/>
  <c r="BN7" i="9"/>
  <c r="BN6" i="9" s="1"/>
  <c r="BM7" i="9"/>
  <c r="BL7" i="9"/>
  <c r="BK7" i="9"/>
  <c r="BJ7" i="9"/>
  <c r="BI7" i="9"/>
  <c r="BH7" i="9"/>
  <c r="BG7" i="9"/>
  <c r="BF7" i="9"/>
  <c r="BE7" i="9"/>
  <c r="BD7" i="9"/>
  <c r="BC7" i="9"/>
  <c r="BB7" i="9"/>
  <c r="BB6" i="9" s="1"/>
  <c r="BA7" i="9"/>
  <c r="BA6" i="9" s="1"/>
  <c r="AZ7" i="9"/>
  <c r="AY7" i="9"/>
  <c r="AX7" i="9"/>
  <c r="AW7" i="9"/>
  <c r="AV7" i="9"/>
  <c r="AU7" i="9"/>
  <c r="AT7" i="9"/>
  <c r="AS7" i="9"/>
  <c r="AR7" i="9"/>
  <c r="AQ7" i="9"/>
  <c r="AP7" i="9"/>
  <c r="AP6" i="9" s="1"/>
  <c r="AO7" i="9"/>
  <c r="AN7" i="9"/>
  <c r="AM7" i="9"/>
  <c r="AL7" i="9"/>
  <c r="AK7" i="9"/>
  <c r="AJ7" i="9"/>
  <c r="AI7" i="9"/>
  <c r="AH7" i="9"/>
  <c r="AG7" i="9"/>
  <c r="AF7" i="9"/>
  <c r="AE7" i="9"/>
  <c r="AD7" i="9"/>
  <c r="AD6" i="9" s="1"/>
  <c r="AC7" i="9"/>
  <c r="AC6" i="9" s="1"/>
  <c r="AB7" i="9"/>
  <c r="AA7" i="9"/>
  <c r="Z7" i="9"/>
  <c r="Y7" i="9"/>
  <c r="X7" i="9"/>
  <c r="W7" i="9"/>
  <c r="V7" i="9"/>
  <c r="U7" i="9"/>
  <c r="T7" i="9"/>
  <c r="S7" i="9"/>
  <c r="R7" i="9"/>
  <c r="R6" i="9" s="1"/>
  <c r="Q7" i="9"/>
  <c r="P7" i="9"/>
  <c r="O7" i="9"/>
  <c r="N7" i="9"/>
  <c r="M7" i="9"/>
  <c r="L7" i="9"/>
  <c r="K7" i="9"/>
  <c r="J7" i="9"/>
  <c r="J6" i="9" s="1"/>
  <c r="AI3" i="9"/>
  <c r="C54" i="1"/>
  <c r="C53" i="1"/>
  <c r="C52" i="1"/>
  <c r="C49" i="1"/>
  <c r="C47" i="1"/>
  <c r="AH39" i="10" l="1"/>
  <c r="BD39" i="10"/>
  <c r="BZ39" i="10"/>
  <c r="CV39" i="10"/>
  <c r="DR39" i="10"/>
  <c r="X39" i="10"/>
  <c r="AU39" i="10"/>
  <c r="BR39" i="10"/>
  <c r="CO39" i="10"/>
  <c r="DL39" i="10"/>
  <c r="Y39" i="10"/>
  <c r="AV39" i="10"/>
  <c r="BS39" i="10"/>
  <c r="CP39" i="10"/>
  <c r="DM39" i="10"/>
  <c r="Z39" i="10"/>
  <c r="AW39" i="10"/>
  <c r="BT39" i="10"/>
  <c r="CQ39" i="10"/>
  <c r="DN39" i="10"/>
  <c r="AI39" i="10"/>
  <c r="BI39" i="10"/>
  <c r="CI39" i="10"/>
  <c r="DI39" i="10"/>
  <c r="AJ39" i="10"/>
  <c r="BJ39" i="10"/>
  <c r="CJ39" i="10"/>
  <c r="DJ39" i="10"/>
  <c r="AK39" i="10"/>
  <c r="BK39" i="10"/>
  <c r="CK39" i="10"/>
  <c r="DK39" i="10"/>
  <c r="AL39" i="10"/>
  <c r="BL39" i="10"/>
  <c r="CL39" i="10"/>
  <c r="DO39" i="10"/>
  <c r="AM39" i="10"/>
  <c r="BM39" i="10"/>
  <c r="CM39" i="10"/>
  <c r="DP39" i="10"/>
  <c r="AN39" i="10"/>
  <c r="BN39" i="10"/>
  <c r="CN39" i="10"/>
  <c r="DQ39" i="10"/>
  <c r="AO39" i="10"/>
  <c r="BO39" i="10"/>
  <c r="CR39" i="10"/>
  <c r="DS39" i="10"/>
  <c r="AP39" i="10"/>
  <c r="BP39" i="10"/>
  <c r="CS39" i="10"/>
  <c r="DT39" i="10"/>
  <c r="AQ39" i="10"/>
  <c r="BQ39" i="10"/>
  <c r="CT39" i="10"/>
  <c r="DU39" i="10"/>
  <c r="AX39" i="10"/>
  <c r="CH39" i="10"/>
  <c r="AY39" i="10"/>
  <c r="CU39" i="10"/>
  <c r="AZ39" i="10"/>
  <c r="CW39" i="10"/>
  <c r="BA39" i="10"/>
  <c r="CX39" i="10"/>
  <c r="BB39" i="10"/>
  <c r="CY39" i="10"/>
  <c r="BC39" i="10"/>
  <c r="CZ39" i="10"/>
  <c r="BE39" i="10"/>
  <c r="DA39" i="10"/>
  <c r="BF39" i="10"/>
  <c r="DB39" i="10"/>
  <c r="BG39" i="10"/>
  <c r="DC39" i="10"/>
  <c r="BH39" i="10"/>
  <c r="DD39" i="10"/>
  <c r="BU39" i="10"/>
  <c r="DE39" i="10"/>
  <c r="W39" i="10"/>
  <c r="BV39" i="10"/>
  <c r="DF39" i="10"/>
  <c r="AA39" i="10"/>
  <c r="DG39" i="10"/>
  <c r="BX39" i="10"/>
  <c r="DH39" i="10"/>
  <c r="BY39" i="10"/>
  <c r="AD39" i="10"/>
  <c r="CB39" i="10"/>
  <c r="AF39" i="10"/>
  <c r="CC39" i="10"/>
  <c r="AG39" i="10"/>
  <c r="V39" i="10"/>
  <c r="BW39" i="10"/>
  <c r="AB39" i="10"/>
  <c r="AC39" i="10"/>
  <c r="DV39" i="10"/>
  <c r="CA39" i="10"/>
  <c r="DW39" i="10"/>
  <c r="AE39" i="10"/>
  <c r="DX39" i="10"/>
  <c r="DY39" i="10"/>
  <c r="CD39" i="10"/>
  <c r="AR39" i="10"/>
  <c r="AS39" i="10"/>
  <c r="AT39" i="10"/>
  <c r="CE39" i="10"/>
  <c r="CF39" i="10"/>
  <c r="CG39" i="10"/>
  <c r="BL41" i="10"/>
  <c r="CH41" i="10"/>
  <c r="DD41" i="10"/>
  <c r="AT41" i="10"/>
  <c r="BM41" i="10"/>
  <c r="CJ41" i="10"/>
  <c r="DG41" i="10"/>
  <c r="BK41" i="10"/>
  <c r="CK41" i="10"/>
  <c r="DI41" i="10"/>
  <c r="BN41" i="10"/>
  <c r="CL41" i="10"/>
  <c r="DJ41" i="10"/>
  <c r="BO41" i="10"/>
  <c r="CM41" i="10"/>
  <c r="DK41" i="10"/>
  <c r="AW41" i="10"/>
  <c r="BX41" i="10"/>
  <c r="CY41" i="10"/>
  <c r="AX41" i="10"/>
  <c r="BY41" i="10"/>
  <c r="CZ41" i="10"/>
  <c r="CZ48" i="10" s="1"/>
  <c r="AY41" i="10"/>
  <c r="BZ41" i="10"/>
  <c r="DA41" i="10"/>
  <c r="AZ41" i="10"/>
  <c r="CA41" i="10"/>
  <c r="DB41" i="10"/>
  <c r="BA41" i="10"/>
  <c r="CB41" i="10"/>
  <c r="DC41" i="10"/>
  <c r="BB41" i="10"/>
  <c r="CC41" i="10"/>
  <c r="DE41" i="10"/>
  <c r="BC41" i="10"/>
  <c r="CD41" i="10"/>
  <c r="DF41" i="10"/>
  <c r="BD41" i="10"/>
  <c r="CE41" i="10"/>
  <c r="DH41" i="10"/>
  <c r="DH48" i="10" s="1"/>
  <c r="BE41" i="10"/>
  <c r="CF41" i="10"/>
  <c r="DL41" i="10"/>
  <c r="BQ41" i="10"/>
  <c r="DO41" i="10"/>
  <c r="BR41" i="10"/>
  <c r="DP41" i="10"/>
  <c r="BS41" i="10"/>
  <c r="DQ41" i="10"/>
  <c r="DQ48" i="10" s="1"/>
  <c r="BT41" i="10"/>
  <c r="DR41" i="10"/>
  <c r="DR48" i="10" s="1"/>
  <c r="BU41" i="10"/>
  <c r="DS41" i="10"/>
  <c r="BV41" i="10"/>
  <c r="DT41" i="10"/>
  <c r="BW41" i="10"/>
  <c r="DU41" i="10"/>
  <c r="CG41" i="10"/>
  <c r="DV41" i="10"/>
  <c r="CI41" i="10"/>
  <c r="DW41" i="10"/>
  <c r="CN41" i="10"/>
  <c r="DX41" i="10"/>
  <c r="DX48" i="10" s="1"/>
  <c r="CO41" i="10"/>
  <c r="DY41" i="10"/>
  <c r="CP41" i="10"/>
  <c r="CP48" i="10" s="1"/>
  <c r="CQ41" i="10"/>
  <c r="CR41" i="10"/>
  <c r="AU41" i="10"/>
  <c r="CT41" i="10"/>
  <c r="CU41" i="10"/>
  <c r="CU48" i="10" s="1"/>
  <c r="BG41" i="10"/>
  <c r="BH41" i="10"/>
  <c r="CW41" i="10"/>
  <c r="CS41" i="10"/>
  <c r="CS48" i="10" s="1"/>
  <c r="AV41" i="10"/>
  <c r="BF41" i="10"/>
  <c r="CV41" i="10"/>
  <c r="BI41" i="10"/>
  <c r="BJ41" i="10"/>
  <c r="BP41" i="10"/>
  <c r="CX41" i="10"/>
  <c r="DN41" i="10"/>
  <c r="DM41" i="10"/>
  <c r="DM48" i="10" s="1"/>
  <c r="CG96" i="10"/>
  <c r="CT96" i="10"/>
  <c r="BR96" i="10"/>
  <c r="DQ96" i="10"/>
  <c r="DX96" i="10"/>
  <c r="BB96" i="10"/>
  <c r="DI96" i="10"/>
  <c r="CP96" i="10"/>
  <c r="DO96" i="10"/>
  <c r="CF96" i="10"/>
  <c r="CS96" i="10"/>
  <c r="BL96" i="10"/>
  <c r="BW96" i="10"/>
  <c r="DW96" i="10"/>
  <c r="BA96" i="10"/>
  <c r="DH96" i="10"/>
  <c r="CL96" i="10"/>
  <c r="CE96" i="10"/>
  <c r="BV96" i="10"/>
  <c r="BP96" i="10"/>
  <c r="DV96" i="10"/>
  <c r="DM96" i="10"/>
  <c r="CJ96" i="10"/>
  <c r="CZ96" i="10"/>
  <c r="CQ96" i="10"/>
  <c r="CX96" i="10"/>
  <c r="BK96" i="10"/>
  <c r="BX96" i="10"/>
  <c r="AV96" i="10"/>
  <c r="CR96" i="10"/>
  <c r="DB96" i="10"/>
  <c r="CM96" i="10"/>
  <c r="CN96" i="10"/>
  <c r="BQ96" i="10"/>
  <c r="BJ96" i="10"/>
  <c r="AU96" i="10"/>
  <c r="BM96" i="10"/>
  <c r="BN96" i="10"/>
  <c r="DA96" i="10"/>
  <c r="DN96" i="10"/>
  <c r="BO96" i="10"/>
  <c r="CH96" i="10"/>
  <c r="BI96" i="10"/>
  <c r="AZ96" i="10"/>
  <c r="AT96" i="10"/>
  <c r="CI96" i="10"/>
  <c r="DT96" i="10"/>
  <c r="CK96" i="10"/>
  <c r="CD96" i="10"/>
  <c r="BU96" i="10"/>
  <c r="CB96" i="10"/>
  <c r="DD96" i="10"/>
  <c r="DU96" i="10"/>
  <c r="DR96" i="10"/>
  <c r="CY96" i="10"/>
  <c r="CV96" i="10"/>
  <c r="CC96" i="10"/>
  <c r="BZ96" i="10"/>
  <c r="BG96" i="10"/>
  <c r="BD96" i="10"/>
  <c r="CU96" i="10"/>
  <c r="DE96" i="10"/>
  <c r="BY96" i="10"/>
  <c r="DF96" i="10"/>
  <c r="BC96" i="10"/>
  <c r="DG96" i="10"/>
  <c r="DL96" i="10"/>
  <c r="BT96" i="10"/>
  <c r="DY96" i="10"/>
  <c r="DC96" i="10"/>
  <c r="BH96" i="10"/>
  <c r="DP96" i="10"/>
  <c r="AY96" i="10"/>
  <c r="AX96" i="10"/>
  <c r="DK96" i="10"/>
  <c r="CO96" i="10"/>
  <c r="BS96" i="10"/>
  <c r="AW96" i="10"/>
  <c r="DJ96" i="10"/>
  <c r="DS96" i="10"/>
  <c r="CA96" i="10"/>
  <c r="BE96" i="10"/>
  <c r="BF96" i="10"/>
  <c r="CW96" i="10"/>
  <c r="X77" i="10"/>
  <c r="AT77" i="10"/>
  <c r="BP77" i="10"/>
  <c r="AD77" i="10"/>
  <c r="BA77" i="10"/>
  <c r="BX77" i="10"/>
  <c r="AE77" i="10"/>
  <c r="BB77" i="10"/>
  <c r="BY77" i="10"/>
  <c r="AO77" i="10"/>
  <c r="BN77" i="10"/>
  <c r="W77" i="10"/>
  <c r="AX77" i="10"/>
  <c r="BZ77" i="10"/>
  <c r="Y77" i="10"/>
  <c r="AY77" i="10"/>
  <c r="CA77" i="10"/>
  <c r="Z77" i="10"/>
  <c r="AZ77" i="10"/>
  <c r="CB77" i="10"/>
  <c r="AA77" i="10"/>
  <c r="BC77" i="10"/>
  <c r="AM77" i="10"/>
  <c r="BS77" i="10"/>
  <c r="AN77" i="10"/>
  <c r="BT77" i="10"/>
  <c r="AP77" i="10"/>
  <c r="BU77" i="10"/>
  <c r="AQ77" i="10"/>
  <c r="BV77" i="10"/>
  <c r="AR77" i="10"/>
  <c r="BW77" i="10"/>
  <c r="AS77" i="10"/>
  <c r="AU77" i="10"/>
  <c r="V77" i="10"/>
  <c r="AV77" i="10"/>
  <c r="AW77" i="10"/>
  <c r="BD77" i="10"/>
  <c r="BE77" i="10"/>
  <c r="BF77" i="10"/>
  <c r="BG77" i="10"/>
  <c r="BH77" i="10"/>
  <c r="BI77" i="10"/>
  <c r="BJ77" i="10"/>
  <c r="BK77" i="10"/>
  <c r="BL77" i="10"/>
  <c r="BM77" i="10"/>
  <c r="BO77" i="10"/>
  <c r="BQ77" i="10"/>
  <c r="BR77" i="10"/>
  <c r="AB77" i="10"/>
  <c r="AC77" i="10"/>
  <c r="AF77" i="10"/>
  <c r="AG77" i="10"/>
  <c r="AH77" i="10"/>
  <c r="AI77" i="10"/>
  <c r="AJ77" i="10"/>
  <c r="AK77" i="10"/>
  <c r="AL77" i="10"/>
  <c r="BP88" i="10"/>
  <c r="BW88" i="10"/>
  <c r="CR88" i="10"/>
  <c r="CQ88" i="10"/>
  <c r="BB88" i="10"/>
  <c r="AT88" i="10"/>
  <c r="BL88" i="10"/>
  <c r="BC88" i="10"/>
  <c r="DF88" i="10"/>
  <c r="DE88" i="10"/>
  <c r="DD88" i="10"/>
  <c r="CU88" i="10"/>
  <c r="CT88" i="10"/>
  <c r="CS88" i="10"/>
  <c r="CP88" i="10"/>
  <c r="BV88" i="10"/>
  <c r="CO88" i="10"/>
  <c r="CN88" i="10"/>
  <c r="BU88" i="10"/>
  <c r="BT88" i="10"/>
  <c r="BS88" i="10"/>
  <c r="BR88" i="10"/>
  <c r="BQ88" i="10"/>
  <c r="CX88" i="10"/>
  <c r="DM88" i="10"/>
  <c r="CB88" i="10"/>
  <c r="AX88" i="10"/>
  <c r="DC88" i="10"/>
  <c r="DS88" i="10"/>
  <c r="AY88" i="10"/>
  <c r="CA88" i="10"/>
  <c r="DB88" i="10"/>
  <c r="BE88" i="10"/>
  <c r="DO88" i="10"/>
  <c r="AZ88" i="10"/>
  <c r="BJ88" i="10"/>
  <c r="CL88" i="10"/>
  <c r="DP88" i="10"/>
  <c r="BD88" i="10"/>
  <c r="CE88" i="10"/>
  <c r="DI88" i="10"/>
  <c r="CM88" i="10"/>
  <c r="DY88" i="10"/>
  <c r="BF88" i="10"/>
  <c r="CJ88" i="10"/>
  <c r="CG88" i="10"/>
  <c r="DN88" i="10"/>
  <c r="BK88" i="10"/>
  <c r="CW88" i="10"/>
  <c r="DX88" i="10"/>
  <c r="CK88" i="10"/>
  <c r="CF88" i="10"/>
  <c r="DR88" i="10"/>
  <c r="CV88" i="10"/>
  <c r="DW88" i="10"/>
  <c r="BZ88" i="10"/>
  <c r="DA88" i="10"/>
  <c r="BA88" i="10"/>
  <c r="BY88" i="10"/>
  <c r="AV88" i="10"/>
  <c r="CH88" i="10"/>
  <c r="DL88" i="10"/>
  <c r="AW88" i="10"/>
  <c r="CI88" i="10"/>
  <c r="BM88" i="10"/>
  <c r="BI88" i="10"/>
  <c r="DU88" i="10"/>
  <c r="CY88" i="10"/>
  <c r="BG88" i="10"/>
  <c r="DG88" i="10"/>
  <c r="DV88" i="10"/>
  <c r="BN88" i="10"/>
  <c r="CZ88" i="10"/>
  <c r="DH88" i="10"/>
  <c r="CD88" i="10"/>
  <c r="BO88" i="10"/>
  <c r="BH88" i="10"/>
  <c r="CC88" i="10"/>
  <c r="DT88" i="10"/>
  <c r="DJ88" i="10"/>
  <c r="DK88" i="10"/>
  <c r="AU88" i="10"/>
  <c r="BX88" i="10"/>
  <c r="DQ88" i="10"/>
  <c r="CJ69" i="10"/>
  <c r="AS69" i="10"/>
  <c r="CK69" i="10"/>
  <c r="AR69" i="10"/>
  <c r="CI69" i="10"/>
  <c r="AQ69" i="10"/>
  <c r="CS69" i="10"/>
  <c r="AV69" i="10"/>
  <c r="CU69" i="10"/>
  <c r="AW69" i="10"/>
  <c r="CT69" i="10"/>
  <c r="AU69" i="10"/>
  <c r="CR69" i="10"/>
  <c r="AT69" i="10"/>
  <c r="W69" i="10"/>
  <c r="CQ69" i="10"/>
  <c r="AG69" i="10"/>
  <c r="V69" i="10"/>
  <c r="DJ69" i="10"/>
  <c r="AY69" i="10"/>
  <c r="DI69" i="10"/>
  <c r="AX69" i="10"/>
  <c r="DH69" i="10"/>
  <c r="AF69" i="10"/>
  <c r="DG69" i="10"/>
  <c r="AE69" i="10"/>
  <c r="DF69" i="10"/>
  <c r="AD69" i="10"/>
  <c r="DE69" i="10"/>
  <c r="AC69" i="10"/>
  <c r="CM69" i="10"/>
  <c r="AB69" i="10"/>
  <c r="CL69" i="10"/>
  <c r="AA69" i="10"/>
  <c r="BY69" i="10"/>
  <c r="Z69" i="10"/>
  <c r="BW69" i="10"/>
  <c r="BV69" i="10"/>
  <c r="BU69" i="10"/>
  <c r="BT69" i="10"/>
  <c r="BS69" i="10"/>
  <c r="BR69" i="10"/>
  <c r="BQ69" i="10"/>
  <c r="BP69" i="10"/>
  <c r="BO69" i="10"/>
  <c r="BN69" i="10"/>
  <c r="BM69" i="10"/>
  <c r="BC69" i="10"/>
  <c r="Y69" i="10"/>
  <c r="X69" i="10"/>
  <c r="DQ69" i="10"/>
  <c r="DP69" i="10"/>
  <c r="DO69" i="10"/>
  <c r="DN69" i="10"/>
  <c r="DM69" i="10"/>
  <c r="DL69" i="10"/>
  <c r="DK69" i="10"/>
  <c r="BX69" i="10"/>
  <c r="CG69" i="10"/>
  <c r="AK69" i="10"/>
  <c r="BK69" i="10"/>
  <c r="CX69" i="10"/>
  <c r="DX69" i="10"/>
  <c r="CP69" i="10"/>
  <c r="BF69" i="10"/>
  <c r="CF69" i="10"/>
  <c r="DS69" i="10"/>
  <c r="CW69" i="10"/>
  <c r="DW69" i="10"/>
  <c r="BE69" i="10"/>
  <c r="CE69" i="10"/>
  <c r="BI69" i="10"/>
  <c r="DT69" i="10"/>
  <c r="AO69" i="10"/>
  <c r="BB69" i="10"/>
  <c r="CB69" i="10"/>
  <c r="DB69" i="10"/>
  <c r="AJ69" i="10"/>
  <c r="BJ69" i="10"/>
  <c r="AN69" i="10"/>
  <c r="CA69" i="10"/>
  <c r="DA69" i="10"/>
  <c r="AI69" i="10"/>
  <c r="DR69" i="10"/>
  <c r="DY69" i="10"/>
  <c r="DC69" i="10"/>
  <c r="AM69" i="10"/>
  <c r="DV69" i="10"/>
  <c r="CZ69" i="10"/>
  <c r="CD69" i="10"/>
  <c r="CC69" i="10"/>
  <c r="BG69" i="10"/>
  <c r="CV69" i="10"/>
  <c r="CN69" i="10"/>
  <c r="BZ69" i="10"/>
  <c r="BD69" i="10"/>
  <c r="AH69" i="10"/>
  <c r="AZ69" i="10"/>
  <c r="BA69" i="10"/>
  <c r="CO69" i="10"/>
  <c r="CH69" i="10"/>
  <c r="BL69" i="10"/>
  <c r="AP69" i="10"/>
  <c r="AL69" i="10"/>
  <c r="DD69" i="10"/>
  <c r="BH69" i="10"/>
  <c r="DU69" i="10"/>
  <c r="CY69" i="10"/>
  <c r="BP79" i="10"/>
  <c r="AV79" i="10"/>
  <c r="BS79" i="10"/>
  <c r="AW79" i="10"/>
  <c r="BT79" i="10"/>
  <c r="AY79" i="10"/>
  <c r="BX79" i="10"/>
  <c r="BC79" i="10"/>
  <c r="BD79" i="10"/>
  <c r="AT79" i="10"/>
  <c r="BE79" i="10"/>
  <c r="BF79" i="10"/>
  <c r="BA79" i="10"/>
  <c r="BB79" i="10"/>
  <c r="BG79" i="10"/>
  <c r="BH79" i="10"/>
  <c r="BI79" i="10"/>
  <c r="BJ79" i="10"/>
  <c r="BK79" i="10"/>
  <c r="BL79" i="10"/>
  <c r="BM79" i="10"/>
  <c r="AU79" i="10"/>
  <c r="AX79" i="10"/>
  <c r="AZ79" i="10"/>
  <c r="BN79" i="10"/>
  <c r="BO79" i="10"/>
  <c r="BQ79" i="10"/>
  <c r="BR79" i="10"/>
  <c r="BU79" i="10"/>
  <c r="BV79" i="10"/>
  <c r="BW79" i="10"/>
  <c r="CA79" i="10"/>
  <c r="CB79" i="10"/>
  <c r="BY79" i="10"/>
  <c r="BZ79" i="10"/>
  <c r="AO66" i="10"/>
  <c r="BK66" i="10"/>
  <c r="AR66" i="10"/>
  <c r="BO66" i="10"/>
  <c r="AT66" i="10"/>
  <c r="AH66" i="10"/>
  <c r="AV66" i="10"/>
  <c r="AW66" i="10"/>
  <c r="AX66" i="10"/>
  <c r="AY66" i="10"/>
  <c r="BF66" i="10"/>
  <c r="BG66" i="10"/>
  <c r="BH66" i="10"/>
  <c r="BI66" i="10"/>
  <c r="BJ66" i="10"/>
  <c r="BL66" i="10"/>
  <c r="AI66" i="10"/>
  <c r="BM66" i="10"/>
  <c r="AJ66" i="10"/>
  <c r="BN66" i="10"/>
  <c r="AK66" i="10"/>
  <c r="BP66" i="10"/>
  <c r="AL66" i="10"/>
  <c r="AM66" i="10"/>
  <c r="AN66" i="10"/>
  <c r="AP66" i="10"/>
  <c r="AQ66" i="10"/>
  <c r="AS66" i="10"/>
  <c r="AU66" i="10"/>
  <c r="AZ66" i="10"/>
  <c r="BA66" i="10"/>
  <c r="BB66" i="10"/>
  <c r="BC66" i="10"/>
  <c r="BD66" i="10"/>
  <c r="BE66" i="10"/>
  <c r="DJ90" i="10"/>
  <c r="DD90" i="10"/>
  <c r="CC90" i="10"/>
  <c r="BB90" i="10"/>
  <c r="AA90" i="10"/>
  <c r="DS90" i="10"/>
  <c r="CP90" i="10"/>
  <c r="BI90" i="10"/>
  <c r="AG90" i="10"/>
  <c r="DR90" i="10"/>
  <c r="CO90" i="10"/>
  <c r="BH90" i="10"/>
  <c r="AF90" i="10"/>
  <c r="DN90" i="10"/>
  <c r="CD90" i="10"/>
  <c r="AY90" i="10"/>
  <c r="DV90" i="10"/>
  <c r="CN90" i="10"/>
  <c r="BD90" i="10"/>
  <c r="DU90" i="10"/>
  <c r="CH90" i="10"/>
  <c r="BC90" i="10"/>
  <c r="DT90" i="10"/>
  <c r="CG90" i="10"/>
  <c r="BA90" i="10"/>
  <c r="DQ90" i="10"/>
  <c r="CF90" i="10"/>
  <c r="AZ90" i="10"/>
  <c r="DB90" i="10"/>
  <c r="BS90" i="10"/>
  <c r="AC90" i="10"/>
  <c r="DA90" i="10"/>
  <c r="BR90" i="10"/>
  <c r="AB90" i="10"/>
  <c r="CZ90" i="10"/>
  <c r="BL90" i="10"/>
  <c r="Z90" i="10"/>
  <c r="CY90" i="10"/>
  <c r="BK90" i="10"/>
  <c r="DI90" i="10"/>
  <c r="CX90" i="10"/>
  <c r="BJ90" i="10"/>
  <c r="CW90" i="10"/>
  <c r="BG90" i="10"/>
  <c r="CV90" i="10"/>
  <c r="BF90" i="10"/>
  <c r="CU90" i="10"/>
  <c r="BE90" i="10"/>
  <c r="CT90" i="10"/>
  <c r="AX90" i="10"/>
  <c r="CS90" i="10"/>
  <c r="AW90" i="10"/>
  <c r="DP90" i="10"/>
  <c r="AM90" i="10"/>
  <c r="DO90" i="10"/>
  <c r="AL90" i="10"/>
  <c r="DM90" i="10"/>
  <c r="AK90" i="10"/>
  <c r="DL90" i="10"/>
  <c r="AJ90" i="10"/>
  <c r="DK90" i="10"/>
  <c r="AI90" i="10"/>
  <c r="DC90" i="10"/>
  <c r="AH90" i="10"/>
  <c r="CR90" i="10"/>
  <c r="AE90" i="10"/>
  <c r="V90" i="10"/>
  <c r="CQ90" i="10"/>
  <c r="AD90" i="10"/>
  <c r="CE90" i="10"/>
  <c r="CB90" i="10"/>
  <c r="BZ90" i="10"/>
  <c r="BV90" i="10"/>
  <c r="BU90" i="10"/>
  <c r="BT90" i="10"/>
  <c r="AP90" i="10"/>
  <c r="CA90" i="10"/>
  <c r="BY90" i="10"/>
  <c r="BX90" i="10"/>
  <c r="BW90" i="10"/>
  <c r="AV90" i="10"/>
  <c r="DY90" i="10"/>
  <c r="DX90" i="10"/>
  <c r="DW90" i="10"/>
  <c r="AO90" i="10"/>
  <c r="AN90" i="10"/>
  <c r="AT90" i="10"/>
  <c r="BP90" i="10"/>
  <c r="CL90" i="10"/>
  <c r="CJ90" i="10"/>
  <c r="W90" i="10"/>
  <c r="BQ90" i="10"/>
  <c r="AR90" i="10"/>
  <c r="BN90" i="10"/>
  <c r="DH90" i="10"/>
  <c r="DF90" i="10"/>
  <c r="Y90" i="10"/>
  <c r="AU90" i="10"/>
  <c r="AS90" i="10"/>
  <c r="CM90" i="10"/>
  <c r="X90" i="10"/>
  <c r="AQ90" i="10"/>
  <c r="BM90" i="10"/>
  <c r="CI90" i="10"/>
  <c r="DE90" i="10"/>
  <c r="BO90" i="10"/>
  <c r="CK90" i="10"/>
  <c r="DG90" i="10"/>
  <c r="DY95" i="10"/>
  <c r="DA95" i="10"/>
  <c r="CB95" i="10"/>
  <c r="BD95" i="10"/>
  <c r="DW95" i="10"/>
  <c r="CW95" i="10"/>
  <c r="BW95" i="10"/>
  <c r="AX95" i="10"/>
  <c r="DU95" i="10"/>
  <c r="CV95" i="10"/>
  <c r="BV95" i="10"/>
  <c r="AW95" i="10"/>
  <c r="DP95" i="10"/>
  <c r="CO95" i="10"/>
  <c r="BN95" i="10"/>
  <c r="AM95" i="10"/>
  <c r="DI95" i="10"/>
  <c r="CG95" i="10"/>
  <c r="BB95" i="10"/>
  <c r="DH95" i="10"/>
  <c r="CF95" i="10"/>
  <c r="BA95" i="10"/>
  <c r="DG95" i="10"/>
  <c r="CE95" i="10"/>
  <c r="AZ95" i="10"/>
  <c r="DF95" i="10"/>
  <c r="CC95" i="10"/>
  <c r="AY95" i="10"/>
  <c r="DS95" i="10"/>
  <c r="CK95" i="10"/>
  <c r="AV95" i="10"/>
  <c r="DR95" i="10"/>
  <c r="CJ95" i="10"/>
  <c r="AU95" i="10"/>
  <c r="DO95" i="10"/>
  <c r="CI95" i="10"/>
  <c r="AT95" i="10"/>
  <c r="DN95" i="10"/>
  <c r="CH95" i="10"/>
  <c r="AS95" i="10"/>
  <c r="DM95" i="10"/>
  <c r="CA95" i="10"/>
  <c r="AR95" i="10"/>
  <c r="DL95" i="10"/>
  <c r="BZ95" i="10"/>
  <c r="AQ95" i="10"/>
  <c r="DK95" i="10"/>
  <c r="BX95" i="10"/>
  <c r="AP95" i="10"/>
  <c r="DJ95" i="10"/>
  <c r="BU95" i="10"/>
  <c r="AO95" i="10"/>
  <c r="DE95" i="10"/>
  <c r="BT95" i="10"/>
  <c r="AN95" i="10"/>
  <c r="DD95" i="10"/>
  <c r="BS95" i="10"/>
  <c r="AK95" i="10"/>
  <c r="CY95" i="10"/>
  <c r="AJ95" i="10"/>
  <c r="CX95" i="10"/>
  <c r="AI95" i="10"/>
  <c r="CT95" i="10"/>
  <c r="AH95" i="10"/>
  <c r="CS95" i="10"/>
  <c r="DV95" i="10"/>
  <c r="CR95" i="10"/>
  <c r="CQ95" i="10"/>
  <c r="CP95" i="10"/>
  <c r="CN95" i="10"/>
  <c r="CM95" i="10"/>
  <c r="CL95" i="10"/>
  <c r="BR95" i="10"/>
  <c r="BQ95" i="10"/>
  <c r="BJ95" i="10"/>
  <c r="BI95" i="10"/>
  <c r="DT95" i="10"/>
  <c r="BP95" i="10"/>
  <c r="BO95" i="10"/>
  <c r="BM95" i="10"/>
  <c r="BL95" i="10"/>
  <c r="BK95" i="10"/>
  <c r="DX95" i="10"/>
  <c r="BG95" i="10"/>
  <c r="BE95" i="10"/>
  <c r="DC95" i="10"/>
  <c r="DB95" i="10"/>
  <c r="BF95" i="10"/>
  <c r="BC95" i="10"/>
  <c r="DQ95" i="10"/>
  <c r="BY95" i="10"/>
  <c r="CU95" i="10"/>
  <c r="AL95" i="10"/>
  <c r="BH95" i="10"/>
  <c r="CD95" i="10"/>
  <c r="CZ95" i="10"/>
  <c r="DD100" i="10"/>
  <c r="BN100" i="10"/>
  <c r="BQ100" i="10"/>
  <c r="BP100" i="10"/>
  <c r="BV100" i="10"/>
  <c r="BS100" i="10"/>
  <c r="BR100" i="10"/>
  <c r="BO100" i="10"/>
  <c r="BM100" i="10"/>
  <c r="BU100" i="10"/>
  <c r="BT100" i="10"/>
  <c r="BL100" i="10"/>
  <c r="BC100" i="10"/>
  <c r="BB100" i="10"/>
  <c r="CS100" i="10"/>
  <c r="CR100" i="10"/>
  <c r="CQ100" i="10"/>
  <c r="CP100" i="10"/>
  <c r="CO100" i="10"/>
  <c r="CN100" i="10"/>
  <c r="DH100" i="10"/>
  <c r="DG100" i="10"/>
  <c r="DF100" i="10"/>
  <c r="DE100" i="10"/>
  <c r="CU100" i="10"/>
  <c r="CT100" i="10"/>
  <c r="BK100" i="10"/>
  <c r="CW100" i="10"/>
  <c r="CJ100" i="10"/>
  <c r="BE100" i="10"/>
  <c r="AY100" i="10"/>
  <c r="CF100" i="10"/>
  <c r="CK100" i="10"/>
  <c r="CV100" i="10"/>
  <c r="DO100" i="10"/>
  <c r="BZ100" i="10"/>
  <c r="BD100" i="10"/>
  <c r="CL100" i="10"/>
  <c r="DI100" i="10"/>
  <c r="BA100" i="10"/>
  <c r="CM100" i="10"/>
  <c r="BX100" i="10"/>
  <c r="CD100" i="10"/>
  <c r="DJ100" i="10"/>
  <c r="DX100" i="10"/>
  <c r="CA100" i="10"/>
  <c r="DN100" i="10"/>
  <c r="DB100" i="10"/>
  <c r="DR100" i="10"/>
  <c r="BJ100" i="10"/>
  <c r="DW100" i="10"/>
  <c r="AZ100" i="10"/>
  <c r="DA100" i="10"/>
  <c r="CE100" i="10"/>
  <c r="BW100" i="10"/>
  <c r="DP100" i="10"/>
  <c r="BI100" i="10"/>
  <c r="DV100" i="10"/>
  <c r="AT100" i="10"/>
  <c r="CZ100" i="10"/>
  <c r="DQ100" i="10"/>
  <c r="BH100" i="10"/>
  <c r="AU100" i="10"/>
  <c r="CC100" i="10"/>
  <c r="BG100" i="10"/>
  <c r="DT100" i="10"/>
  <c r="CX100" i="10"/>
  <c r="CB100" i="10"/>
  <c r="BF100" i="10"/>
  <c r="DS100" i="10"/>
  <c r="DK100" i="10"/>
  <c r="AV100" i="10"/>
  <c r="CH100" i="10"/>
  <c r="AX100" i="10"/>
  <c r="DL100" i="10"/>
  <c r="AW100" i="10"/>
  <c r="CI100" i="10"/>
  <c r="DM100" i="10"/>
  <c r="CG100" i="10"/>
  <c r="DU100" i="10"/>
  <c r="CY100" i="10"/>
  <c r="DY100" i="10"/>
  <c r="DC100" i="10"/>
  <c r="BY100" i="10"/>
  <c r="AH44" i="10"/>
  <c r="DD44" i="10"/>
  <c r="CG44" i="10"/>
  <c r="BJ44" i="10"/>
  <c r="AM44" i="10"/>
  <c r="DH44" i="10"/>
  <c r="CJ44" i="10"/>
  <c r="BL44" i="10"/>
  <c r="AN44" i="10"/>
  <c r="DM44" i="10"/>
  <c r="CN44" i="10"/>
  <c r="BO44" i="10"/>
  <c r="AP44" i="10"/>
  <c r="DL44" i="10"/>
  <c r="CM44" i="10"/>
  <c r="BN44" i="10"/>
  <c r="AO44" i="10"/>
  <c r="DK44" i="10"/>
  <c r="CL44" i="10"/>
  <c r="BM44" i="10"/>
  <c r="AL44" i="10"/>
  <c r="DR44" i="10"/>
  <c r="CO44" i="10"/>
  <c r="BH44" i="10"/>
  <c r="DP44" i="10"/>
  <c r="CK44" i="10"/>
  <c r="BG44" i="10"/>
  <c r="DO44" i="10"/>
  <c r="CI44" i="10"/>
  <c r="BF44" i="10"/>
  <c r="DN44" i="10"/>
  <c r="CH44" i="10"/>
  <c r="BE44" i="10"/>
  <c r="DJ44" i="10"/>
  <c r="CF44" i="10"/>
  <c r="CF47" i="10" s="1"/>
  <c r="BD44" i="10"/>
  <c r="DI44" i="10"/>
  <c r="CE44" i="10"/>
  <c r="BB44" i="10"/>
  <c r="DG44" i="10"/>
  <c r="CD44" i="10"/>
  <c r="BA44" i="10"/>
  <c r="DF44" i="10"/>
  <c r="CC44" i="10"/>
  <c r="AZ44" i="10"/>
  <c r="DE44" i="10"/>
  <c r="CB44" i="10"/>
  <c r="AY44" i="10"/>
  <c r="DB44" i="10"/>
  <c r="BP44" i="10"/>
  <c r="DA44" i="10"/>
  <c r="BK44" i="10"/>
  <c r="CZ44" i="10"/>
  <c r="BI44" i="10"/>
  <c r="CY44" i="10"/>
  <c r="AX44" i="10"/>
  <c r="CX44" i="10"/>
  <c r="AW44" i="10"/>
  <c r="CW44" i="10"/>
  <c r="AV44" i="10"/>
  <c r="CV44" i="10"/>
  <c r="AU44" i="10"/>
  <c r="CT44" i="10"/>
  <c r="AT44" i="10"/>
  <c r="CS44" i="10"/>
  <c r="AS44" i="10"/>
  <c r="CR44" i="10"/>
  <c r="AR44" i="10"/>
  <c r="CQ44" i="10"/>
  <c r="AQ44" i="10"/>
  <c r="CP44" i="10"/>
  <c r="AK44" i="10"/>
  <c r="AI44" i="10"/>
  <c r="CA44" i="10"/>
  <c r="DQ44" i="10"/>
  <c r="DY44" i="10"/>
  <c r="DX44" i="10"/>
  <c r="BV44" i="10"/>
  <c r="DV44" i="10"/>
  <c r="DU44" i="10"/>
  <c r="AJ44" i="10"/>
  <c r="BZ44" i="10"/>
  <c r="BX44" i="10"/>
  <c r="BW44" i="10"/>
  <c r="DW44" i="10"/>
  <c r="BU44" i="10"/>
  <c r="BT44" i="10"/>
  <c r="DS44" i="10"/>
  <c r="DC44" i="10"/>
  <c r="BS44" i="10"/>
  <c r="BR44" i="10"/>
  <c r="DT44" i="10"/>
  <c r="BQ44" i="10"/>
  <c r="BC44" i="10"/>
  <c r="BY44" i="10"/>
  <c r="CU44" i="10"/>
  <c r="BD67" i="10"/>
  <c r="BF67" i="10"/>
  <c r="BG67" i="10"/>
  <c r="BE67" i="10"/>
  <c r="BH67" i="10"/>
  <c r="BI67" i="10"/>
  <c r="BJ67" i="10"/>
  <c r="BK67" i="10"/>
  <c r="BN67" i="10"/>
  <c r="BO67" i="10"/>
  <c r="BP67" i="10"/>
  <c r="AT67" i="10"/>
  <c r="BC67" i="10"/>
  <c r="BL67" i="10"/>
  <c r="BM67" i="10"/>
  <c r="AU67" i="10"/>
  <c r="AV67" i="10"/>
  <c r="AW67" i="10"/>
  <c r="AY67" i="10"/>
  <c r="AZ67" i="10"/>
  <c r="AX67" i="10"/>
  <c r="BA67" i="10"/>
  <c r="BB67" i="10"/>
  <c r="DD102" i="10"/>
  <c r="DL102" i="10"/>
  <c r="CD102" i="10"/>
  <c r="AY102" i="10"/>
  <c r="DS102" i="10"/>
  <c r="CO102" i="10"/>
  <c r="BF102" i="10"/>
  <c r="AB102" i="10"/>
  <c r="DR102" i="10"/>
  <c r="CN102" i="10"/>
  <c r="BE102" i="10"/>
  <c r="DI102" i="10"/>
  <c r="CZ102" i="10"/>
  <c r="BT102" i="10"/>
  <c r="AI102" i="10"/>
  <c r="DA102" i="10"/>
  <c r="BS102" i="10"/>
  <c r="AG102" i="10"/>
  <c r="CY102" i="10"/>
  <c r="BR102" i="10"/>
  <c r="AF102" i="10"/>
  <c r="CX102" i="10"/>
  <c r="BL102" i="10"/>
  <c r="AE102" i="10"/>
  <c r="CW102" i="10"/>
  <c r="BK102" i="10"/>
  <c r="AD102" i="10"/>
  <c r="DY102" i="10"/>
  <c r="CG102" i="10"/>
  <c r="AN102" i="10"/>
  <c r="DX102" i="10"/>
  <c r="CF102" i="10"/>
  <c r="AM102" i="10"/>
  <c r="DW102" i="10"/>
  <c r="CE102" i="10"/>
  <c r="AL102" i="10"/>
  <c r="DV102" i="10"/>
  <c r="CA102" i="10"/>
  <c r="AK102" i="10"/>
  <c r="DU102" i="10"/>
  <c r="BZ102" i="10"/>
  <c r="AJ102" i="10"/>
  <c r="DT102" i="10"/>
  <c r="BY102" i="10"/>
  <c r="AH102" i="10"/>
  <c r="DQ102" i="10"/>
  <c r="BX102" i="10"/>
  <c r="AC102" i="10"/>
  <c r="DP102" i="10"/>
  <c r="BW102" i="10"/>
  <c r="DO102" i="10"/>
  <c r="BV102" i="10"/>
  <c r="DN102" i="10"/>
  <c r="BU102" i="10"/>
  <c r="CR102" i="10"/>
  <c r="CQ102" i="10"/>
  <c r="CP102" i="10"/>
  <c r="CH102" i="10"/>
  <c r="BJ102" i="10"/>
  <c r="BI102" i="10"/>
  <c r="BH102" i="10"/>
  <c r="BG102" i="10"/>
  <c r="BD102" i="10"/>
  <c r="BC102" i="10"/>
  <c r="AZ102" i="10"/>
  <c r="AX102" i="10"/>
  <c r="DK102" i="10"/>
  <c r="AO102" i="10"/>
  <c r="DJ102" i="10"/>
  <c r="CU102" i="10"/>
  <c r="AW102" i="10"/>
  <c r="AV102" i="10"/>
  <c r="DM102" i="10"/>
  <c r="AP102" i="10"/>
  <c r="DB102" i="10"/>
  <c r="CV102" i="10"/>
  <c r="CT102" i="10"/>
  <c r="CS102" i="10"/>
  <c r="CJ102" i="10"/>
  <c r="AU102" i="10"/>
  <c r="BA102" i="10"/>
  <c r="AS102" i="10"/>
  <c r="AA102" i="10"/>
  <c r="DG102" i="10"/>
  <c r="DF102" i="10"/>
  <c r="Y102" i="10"/>
  <c r="Z102" i="10"/>
  <c r="W102" i="10"/>
  <c r="BQ102" i="10"/>
  <c r="CM102" i="10"/>
  <c r="CB102" i="10"/>
  <c r="BO102" i="10"/>
  <c r="DC102" i="10"/>
  <c r="AQ102" i="10"/>
  <c r="CK102" i="10"/>
  <c r="BM102" i="10"/>
  <c r="BB102" i="10"/>
  <c r="CI102" i="10"/>
  <c r="X102" i="10"/>
  <c r="AT102" i="10"/>
  <c r="BP102" i="10"/>
  <c r="CL102" i="10"/>
  <c r="CC102" i="10"/>
  <c r="DH102" i="10"/>
  <c r="DE102" i="10"/>
  <c r="V102" i="10"/>
  <c r="AR102" i="10"/>
  <c r="BN102" i="10"/>
  <c r="DV94" i="10"/>
  <c r="DW94" i="10"/>
  <c r="CQ94" i="10"/>
  <c r="BD94" i="10"/>
  <c r="DI94" i="10"/>
  <c r="DP94" i="10"/>
  <c r="CB94" i="10"/>
  <c r="AV94" i="10"/>
  <c r="DO94" i="10"/>
  <c r="CA94" i="10"/>
  <c r="AM94" i="10"/>
  <c r="CU94" i="10"/>
  <c r="BC94" i="10"/>
  <c r="DQ94" i="10"/>
  <c r="BX94" i="10"/>
  <c r="AG94" i="10"/>
  <c r="DN94" i="10"/>
  <c r="BW94" i="10"/>
  <c r="AF94" i="10"/>
  <c r="DM94" i="10"/>
  <c r="BV94" i="10"/>
  <c r="AE94" i="10"/>
  <c r="DL94" i="10"/>
  <c r="BU94" i="10"/>
  <c r="AD94" i="10"/>
  <c r="CY94" i="10"/>
  <c r="BA94" i="10"/>
  <c r="CX94" i="10"/>
  <c r="AZ94" i="10"/>
  <c r="CW94" i="10"/>
  <c r="AY94" i="10"/>
  <c r="CV94" i="10"/>
  <c r="AX94" i="10"/>
  <c r="CT94" i="10"/>
  <c r="AW94" i="10"/>
  <c r="CS94" i="10"/>
  <c r="AL94" i="10"/>
  <c r="CP94" i="10"/>
  <c r="AK94" i="10"/>
  <c r="CO94" i="10"/>
  <c r="AJ94" i="10"/>
  <c r="CN94" i="10"/>
  <c r="AI94" i="10"/>
  <c r="CE94" i="10"/>
  <c r="AH94" i="10"/>
  <c r="BE94" i="10"/>
  <c r="BB94" i="10"/>
  <c r="AC94" i="10"/>
  <c r="AA94" i="10"/>
  <c r="DU94" i="10"/>
  <c r="Z94" i="10"/>
  <c r="DT94" i="10"/>
  <c r="DS94" i="10"/>
  <c r="DR94" i="10"/>
  <c r="DK94" i="10"/>
  <c r="DJ94" i="10"/>
  <c r="DA94" i="10"/>
  <c r="CZ94" i="10"/>
  <c r="BZ94" i="10"/>
  <c r="BY94" i="10"/>
  <c r="BT94" i="10"/>
  <c r="BS94" i="10"/>
  <c r="CD94" i="10"/>
  <c r="CC94" i="10"/>
  <c r="BR94" i="10"/>
  <c r="BI94" i="10"/>
  <c r="BH94" i="10"/>
  <c r="BG94" i="10"/>
  <c r="BK94" i="10"/>
  <c r="AS94" i="10"/>
  <c r="CK94" i="10"/>
  <c r="DY94" i="10"/>
  <c r="AP94" i="10"/>
  <c r="X94" i="10"/>
  <c r="CH94" i="10"/>
  <c r="BP94" i="10"/>
  <c r="DH94" i="10"/>
  <c r="Y94" i="10"/>
  <c r="AU94" i="10"/>
  <c r="BQ94" i="10"/>
  <c r="CG94" i="10"/>
  <c r="BO94" i="10"/>
  <c r="DC94" i="10"/>
  <c r="DG94" i="10"/>
  <c r="BL94" i="10"/>
  <c r="AT94" i="10"/>
  <c r="DD94" i="10"/>
  <c r="CL94" i="10"/>
  <c r="AQ94" i="10"/>
  <c r="CM94" i="10"/>
  <c r="AN94" i="10"/>
  <c r="AB94" i="10"/>
  <c r="BJ94" i="10"/>
  <c r="BF94" i="10"/>
  <c r="CF94" i="10"/>
  <c r="DE94" i="10"/>
  <c r="AR94" i="10"/>
  <c r="CR94" i="10"/>
  <c r="DB94" i="10"/>
  <c r="DX94" i="10"/>
  <c r="AO94" i="10"/>
  <c r="BM94" i="10"/>
  <c r="CI94" i="10"/>
  <c r="V94" i="10"/>
  <c r="BN94" i="10"/>
  <c r="CJ94" i="10"/>
  <c r="DF94" i="10"/>
  <c r="W94" i="10"/>
  <c r="DK86" i="10"/>
  <c r="CG86" i="10"/>
  <c r="CF86" i="10"/>
  <c r="BE86" i="10"/>
  <c r="BC86" i="10"/>
  <c r="AB86" i="10"/>
  <c r="AA86" i="10"/>
  <c r="DN86" i="10"/>
  <c r="DM86" i="10"/>
  <c r="DO86" i="10"/>
  <c r="DY86" i="10"/>
  <c r="DI86" i="10"/>
  <c r="Z86" i="10"/>
  <c r="CE86" i="10"/>
  <c r="CO86" i="10"/>
  <c r="BA86" i="10"/>
  <c r="BB86" i="10"/>
  <c r="BV86" i="10"/>
  <c r="CC86" i="10"/>
  <c r="CX86" i="10"/>
  <c r="DL86" i="10"/>
  <c r="AT86" i="10"/>
  <c r="AP86" i="10"/>
  <c r="BG86" i="10"/>
  <c r="CL86" i="10"/>
  <c r="BK86" i="10"/>
  <c r="CY86" i="10"/>
  <c r="CN86" i="10"/>
  <c r="BN86" i="10"/>
  <c r="DH86" i="10"/>
  <c r="DT86" i="10"/>
  <c r="AJ86" i="10"/>
  <c r="BX86" i="10"/>
  <c r="DF86" i="10"/>
  <c r="CS86" i="10"/>
  <c r="BR86" i="10"/>
  <c r="CT86" i="10"/>
  <c r="BY86" i="10"/>
  <c r="AG86" i="10"/>
  <c r="AO86" i="10"/>
  <c r="BI86" i="10"/>
  <c r="CD86" i="10"/>
  <c r="X86" i="10"/>
  <c r="CP86" i="10"/>
  <c r="DJ86" i="10"/>
  <c r="BJ86" i="10"/>
  <c r="AE86" i="10"/>
  <c r="V86" i="10"/>
  <c r="BP86" i="10"/>
  <c r="DS86" i="10"/>
  <c r="BW86" i="10"/>
  <c r="AR86" i="10"/>
  <c r="AV86" i="10"/>
  <c r="DP86" i="10"/>
  <c r="CJ86" i="10"/>
  <c r="AF86" i="10"/>
  <c r="CZ86" i="10"/>
  <c r="BH86" i="10"/>
  <c r="AW86" i="10"/>
  <c r="DQ86" i="10"/>
  <c r="DA86" i="10"/>
  <c r="DG86" i="10"/>
  <c r="AX86" i="10"/>
  <c r="BZ86" i="10"/>
  <c r="DB86" i="10"/>
  <c r="AY86" i="10"/>
  <c r="Y86" i="10"/>
  <c r="CA86" i="10"/>
  <c r="AU86" i="10"/>
  <c r="BT86" i="10"/>
  <c r="AC86" i="10"/>
  <c r="BM86" i="10"/>
  <c r="CV86" i="10"/>
  <c r="BD86" i="10"/>
  <c r="CI86" i="10"/>
  <c r="DX86" i="10"/>
  <c r="DE86" i="10"/>
  <c r="BO86" i="10"/>
  <c r="DD86" i="10"/>
  <c r="CK86" i="10"/>
  <c r="BQ86" i="10"/>
  <c r="AN86" i="10"/>
  <c r="BU86" i="10"/>
  <c r="CW86" i="10"/>
  <c r="DC86" i="10"/>
  <c r="W86" i="10"/>
  <c r="AZ86" i="10"/>
  <c r="AS86" i="10"/>
  <c r="CB86" i="10"/>
  <c r="DR86" i="10"/>
  <c r="AH86" i="10"/>
  <c r="CM86" i="10"/>
  <c r="CQ86" i="10"/>
  <c r="AI86" i="10"/>
  <c r="AL86" i="10"/>
  <c r="BS86" i="10"/>
  <c r="CU86" i="10"/>
  <c r="AK86" i="10"/>
  <c r="DV86" i="10"/>
  <c r="DW86" i="10"/>
  <c r="AD86" i="10"/>
  <c r="AQ86" i="10"/>
  <c r="BF86" i="10"/>
  <c r="CH86" i="10"/>
  <c r="AM86" i="10"/>
  <c r="CR86" i="10"/>
  <c r="BL86" i="10"/>
  <c r="DU86" i="10"/>
  <c r="DC91" i="10"/>
  <c r="DE91" i="10"/>
  <c r="BV91" i="10"/>
  <c r="AR91" i="10"/>
  <c r="DW91" i="10"/>
  <c r="CM91" i="10"/>
  <c r="BI91" i="10"/>
  <c r="DP91" i="10"/>
  <c r="CL91" i="10"/>
  <c r="BB91" i="10"/>
  <c r="CN91" i="10"/>
  <c r="AZ91" i="10"/>
  <c r="DB91" i="10"/>
  <c r="BO91" i="10"/>
  <c r="DA91" i="10"/>
  <c r="BN91" i="10"/>
  <c r="CT91" i="10"/>
  <c r="BM91" i="10"/>
  <c r="CS91" i="10"/>
  <c r="BL91" i="10"/>
  <c r="DF91" i="10"/>
  <c r="BA91" i="10"/>
  <c r="DD91" i="10"/>
  <c r="AY91" i="10"/>
  <c r="CR91" i="10"/>
  <c r="AX91" i="10"/>
  <c r="CQ91" i="10"/>
  <c r="AW91" i="10"/>
  <c r="CP91" i="10"/>
  <c r="AV91" i="10"/>
  <c r="CO91" i="10"/>
  <c r="AU91" i="10"/>
  <c r="CK91" i="10"/>
  <c r="AT91" i="10"/>
  <c r="CJ91" i="10"/>
  <c r="AQ91" i="10"/>
  <c r="CI91" i="10"/>
  <c r="AP91" i="10"/>
  <c r="CH91" i="10"/>
  <c r="AO91" i="10"/>
  <c r="DJ91" i="10"/>
  <c r="DI91" i="10"/>
  <c r="DH91" i="10"/>
  <c r="DG91" i="10"/>
  <c r="CG91" i="10"/>
  <c r="CF91" i="10"/>
  <c r="CE91" i="10"/>
  <c r="BX91" i="10"/>
  <c r="BW91" i="10"/>
  <c r="BT91" i="10"/>
  <c r="BS91" i="10"/>
  <c r="BR91" i="10"/>
  <c r="BQ91" i="10"/>
  <c r="BK91" i="10"/>
  <c r="DY91" i="10"/>
  <c r="AM91" i="10"/>
  <c r="DV91" i="10"/>
  <c r="DM91" i="10"/>
  <c r="BP91" i="10"/>
  <c r="BJ91" i="10"/>
  <c r="DX91" i="10"/>
  <c r="AN91" i="10"/>
  <c r="DO91" i="10"/>
  <c r="DN91" i="10"/>
  <c r="DL91" i="10"/>
  <c r="DK91" i="10"/>
  <c r="CV91" i="10"/>
  <c r="AI91" i="10"/>
  <c r="DU91" i="10"/>
  <c r="DS91" i="10"/>
  <c r="DR91" i="10"/>
  <c r="AK91" i="10"/>
  <c r="BG91" i="10"/>
  <c r="CC91" i="10"/>
  <c r="BE91" i="10"/>
  <c r="CY91" i="10"/>
  <c r="CA91" i="10"/>
  <c r="CW91" i="10"/>
  <c r="BC91" i="10"/>
  <c r="DT91" i="10"/>
  <c r="AL91" i="10"/>
  <c r="BH91" i="10"/>
  <c r="AS91" i="10"/>
  <c r="CD91" i="10"/>
  <c r="BU91" i="10"/>
  <c r="BY91" i="10"/>
  <c r="CZ91" i="10"/>
  <c r="CB91" i="10"/>
  <c r="CX91" i="10"/>
  <c r="DQ91" i="10"/>
  <c r="CU91" i="10"/>
  <c r="AH91" i="10"/>
  <c r="BD91" i="10"/>
  <c r="BZ91" i="10"/>
  <c r="AJ91" i="10"/>
  <c r="BF91" i="10"/>
  <c r="AE56" i="10"/>
  <c r="Y56" i="10"/>
  <c r="Z56" i="10"/>
  <c r="AA56" i="10"/>
  <c r="W56" i="10"/>
  <c r="X56" i="10"/>
  <c r="AB56" i="10"/>
  <c r="AC56" i="10"/>
  <c r="AD56" i="10"/>
  <c r="AF56" i="10"/>
  <c r="V56" i="10"/>
  <c r="BJ71" i="10"/>
  <c r="BK71" i="10"/>
  <c r="BP71" i="10"/>
  <c r="BO71" i="10"/>
  <c r="DU71" i="10"/>
  <c r="BH71" i="10"/>
  <c r="BG71" i="10"/>
  <c r="AW71" i="10"/>
  <c r="DJ71" i="10"/>
  <c r="DD71" i="10"/>
  <c r="DC71" i="10"/>
  <c r="DB71" i="10"/>
  <c r="DA71" i="10"/>
  <c r="CZ71" i="10"/>
  <c r="CY71" i="10"/>
  <c r="CO71" i="10"/>
  <c r="CN71" i="10"/>
  <c r="CM71" i="10"/>
  <c r="CL71" i="10"/>
  <c r="CK71" i="10"/>
  <c r="CF71" i="10"/>
  <c r="BN71" i="10"/>
  <c r="BM71" i="10"/>
  <c r="BL71" i="10"/>
  <c r="BI71" i="10"/>
  <c r="CD71" i="10"/>
  <c r="CT71" i="10"/>
  <c r="AU71" i="10"/>
  <c r="DI71" i="10"/>
  <c r="BX71" i="10"/>
  <c r="CI71" i="10"/>
  <c r="BB71" i="10"/>
  <c r="DX71" i="10"/>
  <c r="CG71" i="10"/>
  <c r="CS71" i="10"/>
  <c r="DT71" i="10"/>
  <c r="CH71" i="10"/>
  <c r="CX71" i="10"/>
  <c r="AV71" i="10"/>
  <c r="DN71" i="10"/>
  <c r="BF71" i="10"/>
  <c r="CR71" i="10"/>
  <c r="DY71" i="10"/>
  <c r="DS71" i="10"/>
  <c r="CW71" i="10"/>
  <c r="DE71" i="10"/>
  <c r="CA71" i="10"/>
  <c r="DM71" i="10"/>
  <c r="DO71" i="10"/>
  <c r="CE71" i="10"/>
  <c r="DV71" i="10"/>
  <c r="BW71" i="10"/>
  <c r="BA71" i="10"/>
  <c r="CB71" i="10"/>
  <c r="CJ71" i="10"/>
  <c r="BV71" i="10"/>
  <c r="BQ71" i="10"/>
  <c r="AZ71" i="10"/>
  <c r="BE71" i="10"/>
  <c r="DR71" i="10"/>
  <c r="CV71" i="10"/>
  <c r="BZ71" i="10"/>
  <c r="BD71" i="10"/>
  <c r="DQ71" i="10"/>
  <c r="AX71" i="10"/>
  <c r="DK71" i="10"/>
  <c r="AT71" i="10"/>
  <c r="CC71" i="10"/>
  <c r="DH71" i="10"/>
  <c r="DW71" i="10"/>
  <c r="BR71" i="10"/>
  <c r="DF71" i="10"/>
  <c r="BS71" i="10"/>
  <c r="CU71" i="10"/>
  <c r="DG71" i="10"/>
  <c r="BY71" i="10"/>
  <c r="CP71" i="10"/>
  <c r="BT71" i="10"/>
  <c r="BC71" i="10"/>
  <c r="DP71" i="10"/>
  <c r="CQ71" i="10"/>
  <c r="BU71" i="10"/>
  <c r="AY71" i="10"/>
  <c r="DL71" i="10"/>
  <c r="BC40" i="10"/>
  <c r="BY40" i="10"/>
  <c r="CU40" i="10"/>
  <c r="DQ40" i="10"/>
  <c r="AK40" i="10"/>
  <c r="BH40" i="10"/>
  <c r="AN40" i="10"/>
  <c r="BL40" i="10"/>
  <c r="CI40" i="10"/>
  <c r="DF40" i="10"/>
  <c r="AO40" i="10"/>
  <c r="BM40" i="10"/>
  <c r="CJ40" i="10"/>
  <c r="DG40" i="10"/>
  <c r="DG47" i="10" s="1"/>
  <c r="AP40" i="10"/>
  <c r="BN40" i="10"/>
  <c r="CK40" i="10"/>
  <c r="DH40" i="10"/>
  <c r="DH47" i="10" s="1"/>
  <c r="BJ40" i="10"/>
  <c r="CM40" i="10"/>
  <c r="DM40" i="10"/>
  <c r="AI40" i="10"/>
  <c r="BK40" i="10"/>
  <c r="CN40" i="10"/>
  <c r="DN40" i="10"/>
  <c r="AJ40" i="10"/>
  <c r="BO40" i="10"/>
  <c r="CO40" i="10"/>
  <c r="CO47" i="10" s="1"/>
  <c r="DO40" i="10"/>
  <c r="AL40" i="10"/>
  <c r="BP40" i="10"/>
  <c r="CP40" i="10"/>
  <c r="DP40" i="10"/>
  <c r="DP47" i="10" s="1"/>
  <c r="AM40" i="10"/>
  <c r="BQ40" i="10"/>
  <c r="CQ40" i="10"/>
  <c r="DR40" i="10"/>
  <c r="AQ40" i="10"/>
  <c r="BR40" i="10"/>
  <c r="BR47" i="10" s="1"/>
  <c r="CR40" i="10"/>
  <c r="DS40" i="10"/>
  <c r="AR40" i="10"/>
  <c r="BS40" i="10"/>
  <c r="CS40" i="10"/>
  <c r="DT40" i="10"/>
  <c r="AS40" i="10"/>
  <c r="BT40" i="10"/>
  <c r="CT40" i="10"/>
  <c r="DU40" i="10"/>
  <c r="AT40" i="10"/>
  <c r="BU40" i="10"/>
  <c r="CV40" i="10"/>
  <c r="DV40" i="10"/>
  <c r="BG40" i="10"/>
  <c r="DD40" i="10"/>
  <c r="BI40" i="10"/>
  <c r="DE40" i="10"/>
  <c r="BV40" i="10"/>
  <c r="DI40" i="10"/>
  <c r="BW40" i="10"/>
  <c r="DJ40" i="10"/>
  <c r="DJ47" i="10" s="1"/>
  <c r="BX40" i="10"/>
  <c r="DK40" i="10"/>
  <c r="BZ40" i="10"/>
  <c r="DL40" i="10"/>
  <c r="CA40" i="10"/>
  <c r="DW40" i="10"/>
  <c r="DW47" i="10" s="1"/>
  <c r="CB40" i="10"/>
  <c r="DX40" i="10"/>
  <c r="CC40" i="10"/>
  <c r="DY40" i="10"/>
  <c r="CD40" i="10"/>
  <c r="AH40" i="10"/>
  <c r="CE40" i="10"/>
  <c r="CF40" i="10"/>
  <c r="AV40" i="10"/>
  <c r="CG40" i="10"/>
  <c r="CH40" i="10"/>
  <c r="AX40" i="10"/>
  <c r="CL40" i="10"/>
  <c r="CX40" i="10"/>
  <c r="BA40" i="10"/>
  <c r="CZ40" i="10"/>
  <c r="CZ47" i="10" s="1"/>
  <c r="AU40" i="10"/>
  <c r="AW40" i="10"/>
  <c r="AY40" i="10"/>
  <c r="CW40" i="10"/>
  <c r="AZ40" i="10"/>
  <c r="CY40" i="10"/>
  <c r="BB40" i="10"/>
  <c r="BD40" i="10"/>
  <c r="BE40" i="10"/>
  <c r="BF40" i="10"/>
  <c r="DA40" i="10"/>
  <c r="DB40" i="10"/>
  <c r="DC40" i="10"/>
  <c r="DC98" i="10"/>
  <c r="CE98" i="10"/>
  <c r="CD98" i="10"/>
  <c r="CC98" i="10"/>
  <c r="BD98" i="10"/>
  <c r="V98" i="10"/>
  <c r="DK98" i="10"/>
  <c r="DJ98" i="10"/>
  <c r="DD98" i="10"/>
  <c r="BC98" i="10"/>
  <c r="BB98" i="10"/>
  <c r="AC98" i="10"/>
  <c r="AB98" i="10"/>
  <c r="AA98" i="10"/>
  <c r="BG98" i="10"/>
  <c r="DS98" i="10"/>
  <c r="BW98" i="10"/>
  <c r="AT98" i="10"/>
  <c r="BR98" i="10"/>
  <c r="DY98" i="10"/>
  <c r="CL98" i="10"/>
  <c r="CS98" i="10"/>
  <c r="DH98" i="10"/>
  <c r="BH98" i="10"/>
  <c r="DT98" i="10"/>
  <c r="BX98" i="10"/>
  <c r="CJ98" i="10"/>
  <c r="CN98" i="10"/>
  <c r="DO98" i="10"/>
  <c r="BS98" i="10"/>
  <c r="AX98" i="10"/>
  <c r="CT98" i="10"/>
  <c r="BI98" i="10"/>
  <c r="CZ98" i="10"/>
  <c r="BT98" i="10"/>
  <c r="AI98" i="10"/>
  <c r="CU98" i="10"/>
  <c r="W98" i="10"/>
  <c r="CH98" i="10"/>
  <c r="AL98" i="10"/>
  <c r="CX98" i="10"/>
  <c r="BP98" i="10"/>
  <c r="DN98" i="10"/>
  <c r="AR98" i="10"/>
  <c r="AG98" i="10"/>
  <c r="AW98" i="10"/>
  <c r="BN98" i="10"/>
  <c r="AM98" i="10"/>
  <c r="CY98" i="10"/>
  <c r="DF98" i="10"/>
  <c r="AH98" i="10"/>
  <c r="BY98" i="10"/>
  <c r="DU98" i="10"/>
  <c r="CO98" i="10"/>
  <c r="AN98" i="10"/>
  <c r="AY98" i="10"/>
  <c r="Y98" i="10"/>
  <c r="DP98" i="10"/>
  <c r="BZ98" i="10"/>
  <c r="AU98" i="10"/>
  <c r="DA98" i="10"/>
  <c r="BQ98" i="10"/>
  <c r="BJ98" i="10"/>
  <c r="DV98" i="10"/>
  <c r="DI98" i="10"/>
  <c r="AS98" i="10"/>
  <c r="CM98" i="10"/>
  <c r="BL98" i="10"/>
  <c r="CR98" i="10"/>
  <c r="AO98" i="10"/>
  <c r="BU98" i="10"/>
  <c r="BO98" i="10"/>
  <c r="CV98" i="10"/>
  <c r="CK98" i="10"/>
  <c r="DW98" i="10"/>
  <c r="DG98" i="10"/>
  <c r="AD98" i="10"/>
  <c r="AP98" i="10"/>
  <c r="DQ98" i="10"/>
  <c r="AJ98" i="10"/>
  <c r="BK98" i="10"/>
  <c r="AV98" i="10"/>
  <c r="AZ98" i="10"/>
  <c r="CQ98" i="10"/>
  <c r="DR98" i="10"/>
  <c r="AK98" i="10"/>
  <c r="BV98" i="10"/>
  <c r="CW98" i="10"/>
  <c r="DX98" i="10"/>
  <c r="AQ98" i="10"/>
  <c r="CA98" i="10"/>
  <c r="BM98" i="10"/>
  <c r="DB98" i="10"/>
  <c r="CI98" i="10"/>
  <c r="BE98" i="10"/>
  <c r="Z98" i="10"/>
  <c r="DE98" i="10"/>
  <c r="CF98" i="10"/>
  <c r="BA98" i="10"/>
  <c r="X98" i="10"/>
  <c r="AE98" i="10"/>
  <c r="CG98" i="10"/>
  <c r="CP98" i="10"/>
  <c r="CB98" i="10"/>
  <c r="DL98" i="10"/>
  <c r="BF98" i="10"/>
  <c r="DM98" i="10"/>
  <c r="AF98" i="10"/>
  <c r="DD103" i="10"/>
  <c r="BV103" i="10"/>
  <c r="AT103" i="10"/>
  <c r="DN103" i="10"/>
  <c r="CK103" i="10"/>
  <c r="BB103" i="10"/>
  <c r="DM103" i="10"/>
  <c r="CJ103" i="10"/>
  <c r="BA103" i="10"/>
  <c r="DI103" i="10"/>
  <c r="BX103" i="10"/>
  <c r="AR103" i="10"/>
  <c r="DO103" i="10"/>
  <c r="CG103" i="10"/>
  <c r="AU103" i="10"/>
  <c r="DL103" i="10"/>
  <c r="CF103" i="10"/>
  <c r="AS103" i="10"/>
  <c r="DK103" i="10"/>
  <c r="CE103" i="10"/>
  <c r="AQ103" i="10"/>
  <c r="DJ103" i="10"/>
  <c r="BW103" i="10"/>
  <c r="AP103" i="10"/>
  <c r="DY103" i="10"/>
  <c r="BU103" i="10"/>
  <c r="DX103" i="10"/>
  <c r="BT103" i="10"/>
  <c r="DW103" i="10"/>
  <c r="BS103" i="10"/>
  <c r="DP103" i="10"/>
  <c r="BR103" i="10"/>
  <c r="DH103" i="10"/>
  <c r="BQ103" i="10"/>
  <c r="DG103" i="10"/>
  <c r="BP103" i="10"/>
  <c r="DF103" i="10"/>
  <c r="BO103" i="10"/>
  <c r="DE103" i="10"/>
  <c r="BN103" i="10"/>
  <c r="DC103" i="10"/>
  <c r="BM103" i="10"/>
  <c r="DB103" i="10"/>
  <c r="BL103" i="10"/>
  <c r="CI103" i="10"/>
  <c r="CH103" i="10"/>
  <c r="BK103" i="10"/>
  <c r="BJ103" i="10"/>
  <c r="BI103" i="10"/>
  <c r="AZ103" i="10"/>
  <c r="AY103" i="10"/>
  <c r="AX103" i="10"/>
  <c r="AW103" i="10"/>
  <c r="AV103" i="10"/>
  <c r="AO103" i="10"/>
  <c r="AN103" i="10"/>
  <c r="CR103" i="10"/>
  <c r="CQ103" i="10"/>
  <c r="DA103" i="10"/>
  <c r="AM103" i="10"/>
  <c r="CT103" i="10"/>
  <c r="DV103" i="10"/>
  <c r="CS103" i="10"/>
  <c r="CP103" i="10"/>
  <c r="CO103" i="10"/>
  <c r="CN103" i="10"/>
  <c r="CM103" i="10"/>
  <c r="CL103" i="10"/>
  <c r="AK103" i="10"/>
  <c r="CC103" i="10"/>
  <c r="CY103" i="10"/>
  <c r="CA103" i="10"/>
  <c r="BC103" i="10"/>
  <c r="DS103" i="10"/>
  <c r="BH103" i="10"/>
  <c r="BG103" i="10"/>
  <c r="AI103" i="10"/>
  <c r="BE103" i="10"/>
  <c r="DU103" i="10"/>
  <c r="CW103" i="10"/>
  <c r="BY103" i="10"/>
  <c r="CU103" i="10"/>
  <c r="DQ103" i="10"/>
  <c r="AL103" i="10"/>
  <c r="CD103" i="10"/>
  <c r="AJ103" i="10"/>
  <c r="CZ103" i="10"/>
  <c r="DT103" i="10"/>
  <c r="AH103" i="10"/>
  <c r="BF103" i="10"/>
  <c r="BD103" i="10"/>
  <c r="BZ103" i="10"/>
  <c r="CV103" i="10"/>
  <c r="DR103" i="10"/>
  <c r="CB103" i="10"/>
  <c r="CX103" i="10"/>
  <c r="BG37" i="10"/>
  <c r="CC37" i="10"/>
  <c r="BB37" i="10"/>
  <c r="BY37" i="10"/>
  <c r="BY48" i="10" s="1"/>
  <c r="BC37" i="10"/>
  <c r="BZ37" i="10"/>
  <c r="BD37" i="10"/>
  <c r="CA37" i="10"/>
  <c r="BE37" i="10"/>
  <c r="CF37" i="10"/>
  <c r="BF37" i="10"/>
  <c r="CG37" i="10"/>
  <c r="BH37" i="10"/>
  <c r="CH37" i="10"/>
  <c r="CH48" i="10" s="1"/>
  <c r="BI37" i="10"/>
  <c r="CI37" i="10"/>
  <c r="BJ37" i="10"/>
  <c r="CJ37" i="10"/>
  <c r="BK37" i="10"/>
  <c r="CK37" i="10"/>
  <c r="BL37" i="10"/>
  <c r="CL37" i="10"/>
  <c r="BM37" i="10"/>
  <c r="CM37" i="10"/>
  <c r="BN37" i="10"/>
  <c r="CN37" i="10"/>
  <c r="CN48" i="10" s="1"/>
  <c r="AW37" i="10"/>
  <c r="AX37" i="10"/>
  <c r="AY37" i="10"/>
  <c r="AZ37" i="10"/>
  <c r="BA37" i="10"/>
  <c r="BO37" i="10"/>
  <c r="BP37" i="10"/>
  <c r="BQ37" i="10"/>
  <c r="BR37" i="10"/>
  <c r="BS37" i="10"/>
  <c r="BS48" i="10" s="1"/>
  <c r="BT37" i="10"/>
  <c r="BV37" i="10"/>
  <c r="BX37" i="10"/>
  <c r="CB37" i="10"/>
  <c r="CD37" i="10"/>
  <c r="CE37" i="10"/>
  <c r="BU37" i="10"/>
  <c r="BW37" i="10"/>
  <c r="AU37" i="10"/>
  <c r="AV37" i="10"/>
  <c r="AT37" i="10"/>
  <c r="DB82" i="10"/>
  <c r="CS82" i="10"/>
  <c r="BG82" i="10"/>
  <c r="DI82" i="10"/>
  <c r="CT82" i="10"/>
  <c r="BF82" i="10"/>
  <c r="CR82" i="10"/>
  <c r="BE82" i="10"/>
  <c r="CW82" i="10"/>
  <c r="BH82" i="10"/>
  <c r="CU82" i="10"/>
  <c r="BA82" i="10"/>
  <c r="CQ82" i="10"/>
  <c r="AZ82" i="10"/>
  <c r="CP82" i="10"/>
  <c r="AY82" i="10"/>
  <c r="CO82" i="10"/>
  <c r="AN82" i="10"/>
  <c r="DQ82" i="10"/>
  <c r="BL82" i="10"/>
  <c r="DP82" i="10"/>
  <c r="BK82" i="10"/>
  <c r="DO82" i="10"/>
  <c r="BJ82" i="10"/>
  <c r="DN82" i="10"/>
  <c r="BI82" i="10"/>
  <c r="DM82" i="10"/>
  <c r="BC82" i="10"/>
  <c r="DL82" i="10"/>
  <c r="BB82" i="10"/>
  <c r="DJ82" i="10"/>
  <c r="AM82" i="10"/>
  <c r="DD82" i="10"/>
  <c r="AL82" i="10"/>
  <c r="DC82" i="10"/>
  <c r="AK82" i="10"/>
  <c r="DR82" i="10"/>
  <c r="AA82" i="10"/>
  <c r="CV82" i="10"/>
  <c r="Z82" i="10"/>
  <c r="CN82" i="10"/>
  <c r="CH82" i="10"/>
  <c r="CG82" i="10"/>
  <c r="CF82" i="10"/>
  <c r="CD82" i="10"/>
  <c r="CC82" i="10"/>
  <c r="CB82" i="10"/>
  <c r="CA82" i="10"/>
  <c r="BU82" i="10"/>
  <c r="BT82" i="10"/>
  <c r="BS82" i="10"/>
  <c r="BR82" i="10"/>
  <c r="DY82" i="10"/>
  <c r="AH82" i="10"/>
  <c r="DW82" i="10"/>
  <c r="DV82" i="10"/>
  <c r="DU82" i="10"/>
  <c r="AJ82" i="10"/>
  <c r="AI82" i="10"/>
  <c r="DX82" i="10"/>
  <c r="AG82" i="10"/>
  <c r="AF82" i="10"/>
  <c r="AE82" i="10"/>
  <c r="AB82" i="10"/>
  <c r="DT82" i="10"/>
  <c r="DS82" i="10"/>
  <c r="AD82" i="10"/>
  <c r="AQ82" i="10"/>
  <c r="DG82" i="10"/>
  <c r="CI82" i="10"/>
  <c r="DE82" i="10"/>
  <c r="AO82" i="10"/>
  <c r="BD82" i="10"/>
  <c r="X82" i="10"/>
  <c r="AP82" i="10"/>
  <c r="AT82" i="10"/>
  <c r="BW82" i="10"/>
  <c r="BP82" i="10"/>
  <c r="CY82" i="10"/>
  <c r="AR82" i="10"/>
  <c r="DK82" i="10"/>
  <c r="BN82" i="10"/>
  <c r="BM82" i="10"/>
  <c r="AC82" i="10"/>
  <c r="BV82" i="10"/>
  <c r="CE82" i="10"/>
  <c r="CX82" i="10"/>
  <c r="CL82" i="10"/>
  <c r="DH82" i="10"/>
  <c r="AV82" i="10"/>
  <c r="CJ82" i="10"/>
  <c r="V82" i="10"/>
  <c r="DF82" i="10"/>
  <c r="AW82" i="10"/>
  <c r="BY82" i="10"/>
  <c r="DA82" i="10"/>
  <c r="AX82" i="10"/>
  <c r="BZ82" i="10"/>
  <c r="BO82" i="10"/>
  <c r="CK82" i="10"/>
  <c r="BQ82" i="10"/>
  <c r="CM82" i="10"/>
  <c r="Y82" i="10"/>
  <c r="AU82" i="10"/>
  <c r="CZ82" i="10"/>
  <c r="W82" i="10"/>
  <c r="BX82" i="10"/>
  <c r="AS82" i="10"/>
  <c r="DC87" i="10"/>
  <c r="AV87" i="10"/>
  <c r="BW87" i="10"/>
  <c r="BV87" i="10"/>
  <c r="DH87" i="10"/>
  <c r="DG87" i="10"/>
  <c r="DF87" i="10"/>
  <c r="DE87" i="10"/>
  <c r="DD87" i="10"/>
  <c r="CF87" i="10"/>
  <c r="CE87" i="10"/>
  <c r="BX87" i="10"/>
  <c r="AX87" i="10"/>
  <c r="AW87" i="10"/>
  <c r="AU87" i="10"/>
  <c r="AT87" i="10"/>
  <c r="AY87" i="10"/>
  <c r="CN87" i="10"/>
  <c r="AQ87" i="10"/>
  <c r="BD87" i="10"/>
  <c r="CX87" i="10"/>
  <c r="DP87" i="10"/>
  <c r="BS87" i="10"/>
  <c r="BZ87" i="10"/>
  <c r="DI87" i="10"/>
  <c r="BM87" i="10"/>
  <c r="CV87" i="10"/>
  <c r="AZ87" i="10"/>
  <c r="AR87" i="10"/>
  <c r="CH87" i="10"/>
  <c r="DV87" i="10"/>
  <c r="BA87" i="10"/>
  <c r="BN87" i="10"/>
  <c r="AS87" i="10"/>
  <c r="BU87" i="10"/>
  <c r="DK87" i="10"/>
  <c r="DX87" i="10"/>
  <c r="AM87" i="10"/>
  <c r="CC87" i="10"/>
  <c r="CJ87" i="10"/>
  <c r="BO87" i="10"/>
  <c r="BE87" i="10"/>
  <c r="DL87" i="10"/>
  <c r="DU87" i="10"/>
  <c r="CG87" i="10"/>
  <c r="DT87" i="10"/>
  <c r="DA87" i="10"/>
  <c r="CO87" i="10"/>
  <c r="DR87" i="10"/>
  <c r="DW87" i="10"/>
  <c r="BT87" i="10"/>
  <c r="DJ87" i="10"/>
  <c r="DB87" i="10"/>
  <c r="CI87" i="10"/>
  <c r="CP87" i="10"/>
  <c r="AK87" i="10"/>
  <c r="BG87" i="10"/>
  <c r="BB87" i="10"/>
  <c r="AI87" i="10"/>
  <c r="CY87" i="10"/>
  <c r="CQ87" i="10"/>
  <c r="CA87" i="10"/>
  <c r="BI87" i="10"/>
  <c r="DY87" i="10"/>
  <c r="CR87" i="10"/>
  <c r="AO87" i="10"/>
  <c r="AJ87" i="10"/>
  <c r="BQ87" i="10"/>
  <c r="BF87" i="10"/>
  <c r="CS87" i="10"/>
  <c r="CB87" i="10"/>
  <c r="AP87" i="10"/>
  <c r="BR87" i="10"/>
  <c r="DM87" i="10"/>
  <c r="BJ87" i="10"/>
  <c r="CL87" i="10"/>
  <c r="AH87" i="10"/>
  <c r="CW87" i="10"/>
  <c r="DS87" i="10"/>
  <c r="CK87" i="10"/>
  <c r="DN87" i="10"/>
  <c r="BK87" i="10"/>
  <c r="AL87" i="10"/>
  <c r="CM87" i="10"/>
  <c r="BH87" i="10"/>
  <c r="BL87" i="10"/>
  <c r="AN87" i="10"/>
  <c r="BP87" i="10"/>
  <c r="BY87" i="10"/>
  <c r="CU87" i="10"/>
  <c r="DQ87" i="10"/>
  <c r="CD87" i="10"/>
  <c r="CZ87" i="10"/>
  <c r="DO87" i="10"/>
  <c r="CT87" i="10"/>
  <c r="BC87" i="10"/>
  <c r="BO92" i="10"/>
  <c r="BR92" i="10"/>
  <c r="DD92" i="10"/>
  <c r="CU92" i="10"/>
  <c r="BB92" i="10"/>
  <c r="BU92" i="10"/>
  <c r="BT92" i="10"/>
  <c r="BS92" i="10"/>
  <c r="BQ92" i="10"/>
  <c r="CR92" i="10"/>
  <c r="CQ92" i="10"/>
  <c r="CP92" i="10"/>
  <c r="CO92" i="10"/>
  <c r="CN92" i="10"/>
  <c r="BV92" i="10"/>
  <c r="BP92" i="10"/>
  <c r="BN92" i="10"/>
  <c r="BM92" i="10"/>
  <c r="BL92" i="10"/>
  <c r="DH92" i="10"/>
  <c r="DG92" i="10"/>
  <c r="DF92" i="10"/>
  <c r="DE92" i="10"/>
  <c r="CT92" i="10"/>
  <c r="CS92" i="10"/>
  <c r="BC92" i="10"/>
  <c r="BK92" i="10"/>
  <c r="CW92" i="10"/>
  <c r="CJ92" i="10"/>
  <c r="DX92" i="10"/>
  <c r="DB92" i="10"/>
  <c r="BE92" i="10"/>
  <c r="AY92" i="10"/>
  <c r="CK92" i="10"/>
  <c r="CV92" i="10"/>
  <c r="BZ92" i="10"/>
  <c r="DA92" i="10"/>
  <c r="BD92" i="10"/>
  <c r="CL92" i="10"/>
  <c r="DP92" i="10"/>
  <c r="BI92" i="10"/>
  <c r="DI92" i="10"/>
  <c r="BA92" i="10"/>
  <c r="BX92" i="10"/>
  <c r="CD92" i="10"/>
  <c r="DJ92" i="10"/>
  <c r="CA92" i="10"/>
  <c r="DN92" i="10"/>
  <c r="CF92" i="10"/>
  <c r="DR92" i="10"/>
  <c r="BJ92" i="10"/>
  <c r="DO92" i="10"/>
  <c r="DW92" i="10"/>
  <c r="AZ92" i="10"/>
  <c r="CE92" i="10"/>
  <c r="BW92" i="10"/>
  <c r="DV92" i="10"/>
  <c r="AT92" i="10"/>
  <c r="CM92" i="10"/>
  <c r="CZ92" i="10"/>
  <c r="DQ92" i="10"/>
  <c r="BH92" i="10"/>
  <c r="AU92" i="10"/>
  <c r="DL92" i="10"/>
  <c r="AW92" i="10"/>
  <c r="CI92" i="10"/>
  <c r="DM92" i="10"/>
  <c r="AX92" i="10"/>
  <c r="DY92" i="10"/>
  <c r="CX92" i="10"/>
  <c r="CB92" i="10"/>
  <c r="BF92" i="10"/>
  <c r="CH92" i="10"/>
  <c r="DS92" i="10"/>
  <c r="BY92" i="10"/>
  <c r="DK92" i="10"/>
  <c r="AV92" i="10"/>
  <c r="CC92" i="10"/>
  <c r="BG92" i="10"/>
  <c r="DT92" i="10"/>
  <c r="DC92" i="10"/>
  <c r="CG92" i="10"/>
  <c r="DU92" i="10"/>
  <c r="CY92" i="10"/>
  <c r="DB99" i="10"/>
  <c r="BT99" i="10"/>
  <c r="AR99" i="10"/>
  <c r="DD99" i="10"/>
  <c r="BU99" i="10"/>
  <c r="AQ99" i="10"/>
  <c r="DC99" i="10"/>
  <c r="BS99" i="10"/>
  <c r="AP99" i="10"/>
  <c r="DG99" i="10"/>
  <c r="BV99" i="10"/>
  <c r="AN99" i="10"/>
  <c r="CT99" i="10"/>
  <c r="BN99" i="10"/>
  <c r="CS99" i="10"/>
  <c r="BM99" i="10"/>
  <c r="CR99" i="10"/>
  <c r="BL99" i="10"/>
  <c r="CQ99" i="10"/>
  <c r="BK99" i="10"/>
  <c r="CN99" i="10"/>
  <c r="AX99" i="10"/>
  <c r="CM99" i="10"/>
  <c r="AW99" i="10"/>
  <c r="CL99" i="10"/>
  <c r="AV99" i="10"/>
  <c r="CK99" i="10"/>
  <c r="AU99" i="10"/>
  <c r="CJ99" i="10"/>
  <c r="AT99" i="10"/>
  <c r="DY99" i="10"/>
  <c r="CI99" i="10"/>
  <c r="AS99" i="10"/>
  <c r="DX99" i="10"/>
  <c r="CH99" i="10"/>
  <c r="AO99" i="10"/>
  <c r="DW99" i="10"/>
  <c r="CG99" i="10"/>
  <c r="AM99" i="10"/>
  <c r="DP99" i="10"/>
  <c r="CF99" i="10"/>
  <c r="DV99" i="10"/>
  <c r="DO99" i="10"/>
  <c r="CE99" i="10"/>
  <c r="BP99" i="10"/>
  <c r="BO99" i="10"/>
  <c r="BJ99" i="10"/>
  <c r="BI99" i="10"/>
  <c r="BB99" i="10"/>
  <c r="BA99" i="10"/>
  <c r="DN99" i="10"/>
  <c r="AZ99" i="10"/>
  <c r="DM99" i="10"/>
  <c r="AY99" i="10"/>
  <c r="DL99" i="10"/>
  <c r="DK99" i="10"/>
  <c r="DJ99" i="10"/>
  <c r="DI99" i="10"/>
  <c r="DE99" i="10"/>
  <c r="DA99" i="10"/>
  <c r="DH99" i="10"/>
  <c r="DF99" i="10"/>
  <c r="CP99" i="10"/>
  <c r="CO99" i="10"/>
  <c r="BX99" i="10"/>
  <c r="BW99" i="10"/>
  <c r="BR99" i="10"/>
  <c r="BQ99" i="10"/>
  <c r="CV99" i="10"/>
  <c r="AI99" i="10"/>
  <c r="CC99" i="10"/>
  <c r="DU99" i="10"/>
  <c r="DS99" i="10"/>
  <c r="BC99" i="10"/>
  <c r="DR99" i="10"/>
  <c r="AK99" i="10"/>
  <c r="BG99" i="10"/>
  <c r="BE99" i="10"/>
  <c r="CY99" i="10"/>
  <c r="CA99" i="10"/>
  <c r="CW99" i="10"/>
  <c r="BY99" i="10"/>
  <c r="AH99" i="10"/>
  <c r="BD99" i="10"/>
  <c r="BZ99" i="10"/>
  <c r="AJ99" i="10"/>
  <c r="CZ99" i="10"/>
  <c r="CU99" i="10"/>
  <c r="DQ99" i="10"/>
  <c r="BF99" i="10"/>
  <c r="DT99" i="10"/>
  <c r="AL99" i="10"/>
  <c r="BH99" i="10"/>
  <c r="CB99" i="10"/>
  <c r="CX99" i="10"/>
  <c r="CD99" i="10"/>
  <c r="BN104" i="10"/>
  <c r="BR104" i="10"/>
  <c r="CT104" i="10"/>
  <c r="CS104" i="10"/>
  <c r="CQ104" i="10"/>
  <c r="DF104" i="10"/>
  <c r="DE104" i="10"/>
  <c r="DD104" i="10"/>
  <c r="CU104" i="10"/>
  <c r="DG104" i="10"/>
  <c r="CR104" i="10"/>
  <c r="CP104" i="10"/>
  <c r="CO104" i="10"/>
  <c r="CN104" i="10"/>
  <c r="BV104" i="10"/>
  <c r="BU104" i="10"/>
  <c r="BT104" i="10"/>
  <c r="BS104" i="10"/>
  <c r="BQ104" i="10"/>
  <c r="BP104" i="10"/>
  <c r="BO104" i="10"/>
  <c r="BL104" i="10"/>
  <c r="BC104" i="10"/>
  <c r="BB104" i="10"/>
  <c r="DW104" i="10"/>
  <c r="BZ104" i="10"/>
  <c r="AZ104" i="10"/>
  <c r="BD104" i="10"/>
  <c r="CE104" i="10"/>
  <c r="DP104" i="10"/>
  <c r="DI104" i="10"/>
  <c r="DV104" i="10"/>
  <c r="AT104" i="10"/>
  <c r="CM104" i="10"/>
  <c r="BX104" i="10"/>
  <c r="DH104" i="10"/>
  <c r="CD104" i="10"/>
  <c r="DJ104" i="10"/>
  <c r="BY104" i="10"/>
  <c r="AV104" i="10"/>
  <c r="CH104" i="10"/>
  <c r="DA104" i="10"/>
  <c r="CL104" i="10"/>
  <c r="BW104" i="10"/>
  <c r="BI104" i="10"/>
  <c r="BA104" i="10"/>
  <c r="BM104" i="10"/>
  <c r="CZ104" i="10"/>
  <c r="DQ104" i="10"/>
  <c r="BH104" i="10"/>
  <c r="AU104" i="10"/>
  <c r="DU104" i="10"/>
  <c r="CY104" i="10"/>
  <c r="DK104" i="10"/>
  <c r="CC104" i="10"/>
  <c r="BG104" i="10"/>
  <c r="DT104" i="10"/>
  <c r="DL104" i="10"/>
  <c r="CV104" i="10"/>
  <c r="AW104" i="10"/>
  <c r="CI104" i="10"/>
  <c r="DM104" i="10"/>
  <c r="AX104" i="10"/>
  <c r="CJ104" i="10"/>
  <c r="DY104" i="10"/>
  <c r="DN104" i="10"/>
  <c r="DO104" i="10"/>
  <c r="DX104" i="10"/>
  <c r="DB104" i="10"/>
  <c r="CF104" i="10"/>
  <c r="DC104" i="10"/>
  <c r="CG104" i="10"/>
  <c r="BK104" i="10"/>
  <c r="BJ104" i="10"/>
  <c r="CX104" i="10"/>
  <c r="CB104" i="10"/>
  <c r="BF104" i="10"/>
  <c r="DS104" i="10"/>
  <c r="CA104" i="10"/>
  <c r="DR104" i="10"/>
  <c r="CK104" i="10"/>
  <c r="CW104" i="10"/>
  <c r="BE104" i="10"/>
  <c r="AY104" i="10"/>
  <c r="CS83" i="10"/>
  <c r="DV83" i="10"/>
  <c r="BM83" i="10"/>
  <c r="BL83" i="10"/>
  <c r="CT83" i="10"/>
  <c r="CQ83" i="10"/>
  <c r="CP83" i="10"/>
  <c r="BP83" i="10"/>
  <c r="BW83" i="10"/>
  <c r="DN83" i="10"/>
  <c r="DA83" i="10"/>
  <c r="CD83" i="10"/>
  <c r="BA83" i="10"/>
  <c r="AR83" i="10"/>
  <c r="AJ83" i="10"/>
  <c r="CZ83" i="10"/>
  <c r="AT83" i="10"/>
  <c r="CK83" i="10"/>
  <c r="BT83" i="10"/>
  <c r="DO83" i="10"/>
  <c r="DH83" i="10"/>
  <c r="AH83" i="10"/>
  <c r="CX83" i="10"/>
  <c r="CL83" i="10"/>
  <c r="BD83" i="10"/>
  <c r="CE83" i="10"/>
  <c r="BZ83" i="10"/>
  <c r="AM83" i="10"/>
  <c r="CM83" i="10"/>
  <c r="DR83" i="10"/>
  <c r="DJ83" i="10"/>
  <c r="DB83" i="10"/>
  <c r="AW83" i="10"/>
  <c r="AK83" i="10"/>
  <c r="DG83" i="10"/>
  <c r="BF83" i="10"/>
  <c r="BX83" i="10"/>
  <c r="CB83" i="10"/>
  <c r="BB83" i="10"/>
  <c r="AU83" i="10"/>
  <c r="DT83" i="10"/>
  <c r="DP83" i="10"/>
  <c r="DI83" i="10"/>
  <c r="BI83" i="10"/>
  <c r="CV83" i="10"/>
  <c r="AV83" i="10"/>
  <c r="BQ83" i="10"/>
  <c r="CF83" i="10"/>
  <c r="DW83" i="10"/>
  <c r="DC83" i="10"/>
  <c r="BJ83" i="10"/>
  <c r="CN83" i="10"/>
  <c r="AN83" i="10"/>
  <c r="CG83" i="10"/>
  <c r="DX83" i="10"/>
  <c r="DM83" i="10"/>
  <c r="AZ83" i="10"/>
  <c r="AI83" i="10"/>
  <c r="CJ83" i="10"/>
  <c r="BE83" i="10"/>
  <c r="BK83" i="10"/>
  <c r="CA83" i="10"/>
  <c r="CO83" i="10"/>
  <c r="CW83" i="10"/>
  <c r="DY83" i="10"/>
  <c r="DS83" i="10"/>
  <c r="BU83" i="10"/>
  <c r="DE83" i="10"/>
  <c r="AP83" i="10"/>
  <c r="BG83" i="10"/>
  <c r="AX83" i="10"/>
  <c r="CH83" i="10"/>
  <c r="AY83" i="10"/>
  <c r="BV83" i="10"/>
  <c r="CC83" i="10"/>
  <c r="DF83" i="10"/>
  <c r="CY83" i="10"/>
  <c r="AS83" i="10"/>
  <c r="DU83" i="10"/>
  <c r="DK83" i="10"/>
  <c r="DL83" i="10"/>
  <c r="AL83" i="10"/>
  <c r="CI83" i="10"/>
  <c r="BH83" i="10"/>
  <c r="BN83" i="10"/>
  <c r="CR83" i="10"/>
  <c r="AQ83" i="10"/>
  <c r="BY83" i="10"/>
  <c r="BR83" i="10"/>
  <c r="DD83" i="10"/>
  <c r="BO83" i="10"/>
  <c r="BS83" i="10"/>
  <c r="BC83" i="10"/>
  <c r="CU83" i="10"/>
  <c r="DQ83" i="10"/>
  <c r="AO83" i="10"/>
  <c r="CT74" i="10"/>
  <c r="BR74" i="10"/>
  <c r="AP74" i="10"/>
  <c r="DL74" i="10"/>
  <c r="CI74" i="10"/>
  <c r="AZ74" i="10"/>
  <c r="DK74" i="10"/>
  <c r="CH74" i="10"/>
  <c r="AY74" i="10"/>
  <c r="DW74" i="10"/>
  <c r="CL74" i="10"/>
  <c r="BA74" i="10"/>
  <c r="DD74" i="10"/>
  <c r="BQ74" i="10"/>
  <c r="DC74" i="10"/>
  <c r="BP74" i="10"/>
  <c r="DB74" i="10"/>
  <c r="BO74" i="10"/>
  <c r="DA74" i="10"/>
  <c r="BN74" i="10"/>
  <c r="CQ74" i="10"/>
  <c r="AX74" i="10"/>
  <c r="CP74" i="10"/>
  <c r="AW74" i="10"/>
  <c r="CO74" i="10"/>
  <c r="AV74" i="10"/>
  <c r="CN74" i="10"/>
  <c r="AU74" i="10"/>
  <c r="CM74" i="10"/>
  <c r="AT74" i="10"/>
  <c r="CK74" i="10"/>
  <c r="AS74" i="10"/>
  <c r="CJ74" i="10"/>
  <c r="AR74" i="10"/>
  <c r="CG74" i="10"/>
  <c r="AQ74" i="10"/>
  <c r="DY74" i="10"/>
  <c r="CF74" i="10"/>
  <c r="AO74" i="10"/>
  <c r="BU74" i="10"/>
  <c r="BT74" i="10"/>
  <c r="BS74" i="10"/>
  <c r="BM74" i="10"/>
  <c r="BL74" i="10"/>
  <c r="DX74" i="10"/>
  <c r="BK74" i="10"/>
  <c r="DP74" i="10"/>
  <c r="BJ74" i="10"/>
  <c r="DO74" i="10"/>
  <c r="BI74" i="10"/>
  <c r="DN74" i="10"/>
  <c r="BB74" i="10"/>
  <c r="DM74" i="10"/>
  <c r="AN74" i="10"/>
  <c r="DJ74" i="10"/>
  <c r="AM74" i="10"/>
  <c r="DI74" i="10"/>
  <c r="DV74" i="10"/>
  <c r="AH74" i="10"/>
  <c r="DH74" i="10"/>
  <c r="DG74" i="10"/>
  <c r="DF74" i="10"/>
  <c r="DE74" i="10"/>
  <c r="CS74" i="10"/>
  <c r="CR74" i="10"/>
  <c r="CE74" i="10"/>
  <c r="BX74" i="10"/>
  <c r="BW74" i="10"/>
  <c r="BV74" i="10"/>
  <c r="AJ74" i="10"/>
  <c r="CZ74" i="10"/>
  <c r="BF74" i="10"/>
  <c r="CB74" i="10"/>
  <c r="CX74" i="10"/>
  <c r="DT74" i="10"/>
  <c r="BG74" i="10"/>
  <c r="BD74" i="10"/>
  <c r="BZ74" i="10"/>
  <c r="CV74" i="10"/>
  <c r="DR74" i="10"/>
  <c r="AK74" i="10"/>
  <c r="AL74" i="10"/>
  <c r="BC74" i="10"/>
  <c r="BH74" i="10"/>
  <c r="BY74" i="10"/>
  <c r="CD74" i="10"/>
  <c r="CU74" i="10"/>
  <c r="DQ74" i="10"/>
  <c r="CA74" i="10"/>
  <c r="AI74" i="10"/>
  <c r="BE74" i="10"/>
  <c r="CW74" i="10"/>
  <c r="DS74" i="10"/>
  <c r="CC74" i="10"/>
  <c r="DU74" i="10"/>
  <c r="CY74" i="10"/>
  <c r="DF45" i="10"/>
  <c r="BA45" i="10"/>
  <c r="DT45" i="10"/>
  <c r="DL45" i="10"/>
  <c r="CE45" i="10"/>
  <c r="BW45" i="10"/>
  <c r="AY45" i="10"/>
  <c r="DA45" i="10"/>
  <c r="CK45" i="10"/>
  <c r="DW45" i="10"/>
  <c r="CQ45" i="10"/>
  <c r="BC45" i="10"/>
  <c r="CF45" i="10"/>
  <c r="BP45" i="10"/>
  <c r="DB45" i="10"/>
  <c r="CU45" i="10"/>
  <c r="BV45" i="10"/>
  <c r="DQ45" i="10"/>
  <c r="CR45" i="10"/>
  <c r="BD45" i="10"/>
  <c r="DN45" i="10"/>
  <c r="CG45" i="10"/>
  <c r="CM45" i="10"/>
  <c r="DC45" i="10"/>
  <c r="BB45" i="10"/>
  <c r="DR45" i="10"/>
  <c r="AV45" i="10"/>
  <c r="BX45" i="10"/>
  <c r="BO45" i="10"/>
  <c r="CS45" i="10"/>
  <c r="BU45" i="10"/>
  <c r="CT45" i="10"/>
  <c r="DG45" i="10"/>
  <c r="BJ45" i="10"/>
  <c r="AT45" i="10"/>
  <c r="DM45" i="10"/>
  <c r="BY45" i="10"/>
  <c r="AZ45" i="10"/>
  <c r="DH45" i="10"/>
  <c r="DX45" i="10"/>
  <c r="AU45" i="10"/>
  <c r="BK45" i="10"/>
  <c r="BQ45" i="10"/>
  <c r="BZ45" i="10"/>
  <c r="DO45" i="10"/>
  <c r="CV45" i="10"/>
  <c r="DI45" i="10"/>
  <c r="BM45" i="10"/>
  <c r="BS45" i="10"/>
  <c r="BN45" i="10"/>
  <c r="CO45" i="10"/>
  <c r="CH45" i="10"/>
  <c r="DK45" i="10"/>
  <c r="CI45" i="10"/>
  <c r="AX45" i="10"/>
  <c r="CJ45" i="10"/>
  <c r="BT45" i="10"/>
  <c r="DD45" i="10"/>
  <c r="CP45" i="10"/>
  <c r="DP45" i="10"/>
  <c r="BG45" i="10"/>
  <c r="CC45" i="10"/>
  <c r="CZ45" i="10"/>
  <c r="DV45" i="10"/>
  <c r="BI45" i="10"/>
  <c r="CW45" i="10"/>
  <c r="CY45" i="10"/>
  <c r="DY45" i="10"/>
  <c r="DU45" i="10"/>
  <c r="BL45" i="10"/>
  <c r="BH45" i="10"/>
  <c r="DE45" i="10"/>
  <c r="CD45" i="10"/>
  <c r="CL45" i="10"/>
  <c r="BE45" i="10"/>
  <c r="CA45" i="10"/>
  <c r="DS45" i="10"/>
  <c r="CX45" i="10"/>
  <c r="DJ45" i="10"/>
  <c r="BF45" i="10"/>
  <c r="CB45" i="10"/>
  <c r="BR45" i="10"/>
  <c r="CN45" i="10"/>
  <c r="AW45" i="10"/>
  <c r="DA73" i="10"/>
  <c r="DC73" i="10"/>
  <c r="CA73" i="10"/>
  <c r="AX73" i="10"/>
  <c r="DQ73" i="10"/>
  <c r="CN73" i="10"/>
  <c r="BF73" i="10"/>
  <c r="AC73" i="10"/>
  <c r="DP73" i="10"/>
  <c r="CH73" i="10"/>
  <c r="BE73" i="10"/>
  <c r="AB73" i="10"/>
  <c r="DN73" i="10"/>
  <c r="CD73" i="10"/>
  <c r="AW73" i="10"/>
  <c r="DY73" i="10"/>
  <c r="CS73" i="10"/>
  <c r="BH73" i="10"/>
  <c r="Z73" i="10"/>
  <c r="DX73" i="10"/>
  <c r="CR73" i="10"/>
  <c r="BG73" i="10"/>
  <c r="DI73" i="10"/>
  <c r="DW73" i="10"/>
  <c r="CQ73" i="10"/>
  <c r="BD73" i="10"/>
  <c r="DV73" i="10"/>
  <c r="CP73" i="10"/>
  <c r="BC73" i="10"/>
  <c r="DB73" i="10"/>
  <c r="BL73" i="10"/>
  <c r="CZ73" i="10"/>
  <c r="BK73" i="10"/>
  <c r="CY73" i="10"/>
  <c r="BJ73" i="10"/>
  <c r="CX73" i="10"/>
  <c r="BI73" i="10"/>
  <c r="CW73" i="10"/>
  <c r="BB73" i="10"/>
  <c r="CV73" i="10"/>
  <c r="BA73" i="10"/>
  <c r="CU73" i="10"/>
  <c r="AZ73" i="10"/>
  <c r="CT73" i="10"/>
  <c r="AV73" i="10"/>
  <c r="CO73" i="10"/>
  <c r="AP73" i="10"/>
  <c r="CG73" i="10"/>
  <c r="AF73" i="10"/>
  <c r="CF73" i="10"/>
  <c r="AE73" i="10"/>
  <c r="CE73" i="10"/>
  <c r="AD73" i="10"/>
  <c r="CC73" i="10"/>
  <c r="AA73" i="10"/>
  <c r="CB73" i="10"/>
  <c r="BY73" i="10"/>
  <c r="BX73" i="10"/>
  <c r="BW73" i="10"/>
  <c r="BV73" i="10"/>
  <c r="BU73" i="10"/>
  <c r="BT73" i="10"/>
  <c r="DU73" i="10"/>
  <c r="DT73" i="10"/>
  <c r="DS73" i="10"/>
  <c r="AM73" i="10"/>
  <c r="V73" i="10"/>
  <c r="AL73" i="10"/>
  <c r="AK73" i="10"/>
  <c r="DL73" i="10"/>
  <c r="DK73" i="10"/>
  <c r="BS73" i="10"/>
  <c r="BR73" i="10"/>
  <c r="AO73" i="10"/>
  <c r="AN73" i="10"/>
  <c r="DR73" i="10"/>
  <c r="DO73" i="10"/>
  <c r="DM73" i="10"/>
  <c r="AJ73" i="10"/>
  <c r="AI73" i="10"/>
  <c r="DJ73" i="10"/>
  <c r="DD73" i="10"/>
  <c r="AH73" i="10"/>
  <c r="AG73" i="10"/>
  <c r="AQ73" i="10"/>
  <c r="AY73" i="10"/>
  <c r="BZ73" i="10"/>
  <c r="AT73" i="10"/>
  <c r="BP73" i="10"/>
  <c r="AR73" i="10"/>
  <c r="DH73" i="10"/>
  <c r="CJ73" i="10"/>
  <c r="BM73" i="10"/>
  <c r="CI73" i="10"/>
  <c r="DE73" i="10"/>
  <c r="X73" i="10"/>
  <c r="CL73" i="10"/>
  <c r="BN73" i="10"/>
  <c r="DF73" i="10"/>
  <c r="CM73" i="10"/>
  <c r="AU73" i="10"/>
  <c r="BQ73" i="10"/>
  <c r="W73" i="10"/>
  <c r="AS73" i="10"/>
  <c r="BO73" i="10"/>
  <c r="CK73" i="10"/>
  <c r="DG73" i="10"/>
  <c r="Y73" i="10"/>
  <c r="AO78" i="10"/>
  <c r="BK78" i="10"/>
  <c r="AS78" i="10"/>
  <c r="BP78" i="10"/>
  <c r="AT78" i="10"/>
  <c r="BQ78" i="10"/>
  <c r="AZ78" i="10"/>
  <c r="BY78" i="10"/>
  <c r="BF78" i="10"/>
  <c r="BG78" i="10"/>
  <c r="BH78" i="10"/>
  <c r="AI78" i="10"/>
  <c r="BI78" i="10"/>
  <c r="AK78" i="10"/>
  <c r="BR78" i="10"/>
  <c r="AL78" i="10"/>
  <c r="BS78" i="10"/>
  <c r="AM78" i="10"/>
  <c r="BT78" i="10"/>
  <c r="AN78" i="10"/>
  <c r="BU78" i="10"/>
  <c r="AP78" i="10"/>
  <c r="BV78" i="10"/>
  <c r="AQ78" i="10"/>
  <c r="BW78" i="10"/>
  <c r="AR78" i="10"/>
  <c r="BX78" i="10"/>
  <c r="AU78" i="10"/>
  <c r="BZ78" i="10"/>
  <c r="AV78" i="10"/>
  <c r="CA78" i="10"/>
  <c r="BB78" i="10"/>
  <c r="BC78" i="10"/>
  <c r="BD78" i="10"/>
  <c r="BE78" i="10"/>
  <c r="BJ78" i="10"/>
  <c r="BL78" i="10"/>
  <c r="BM78" i="10"/>
  <c r="BN78" i="10"/>
  <c r="BO78" i="10"/>
  <c r="CB78" i="10"/>
  <c r="AH78" i="10"/>
  <c r="AJ78" i="10"/>
  <c r="AW78" i="10"/>
  <c r="AX78" i="10"/>
  <c r="AY78" i="10"/>
  <c r="BA78" i="10"/>
  <c r="BS84" i="10"/>
  <c r="CP84" i="10"/>
  <c r="CS84" i="10"/>
  <c r="CR84" i="10"/>
  <c r="DH84" i="10"/>
  <c r="BY84" i="10"/>
  <c r="BP84" i="10"/>
  <c r="DG84" i="10"/>
  <c r="DF84" i="10"/>
  <c r="DE84" i="10"/>
  <c r="CO84" i="10"/>
  <c r="CN84" i="10"/>
  <c r="BW84" i="10"/>
  <c r="BV84" i="10"/>
  <c r="BU84" i="10"/>
  <c r="BT84" i="10"/>
  <c r="BR84" i="10"/>
  <c r="BQ84" i="10"/>
  <c r="BO84" i="10"/>
  <c r="DD84" i="10"/>
  <c r="CU84" i="10"/>
  <c r="CT84" i="10"/>
  <c r="CQ84" i="10"/>
  <c r="BN84" i="10"/>
  <c r="BM84" i="10"/>
  <c r="BL84" i="10"/>
  <c r="BC84" i="10"/>
  <c r="BB84" i="10"/>
  <c r="DU84" i="10"/>
  <c r="AV84" i="10"/>
  <c r="CY84" i="10"/>
  <c r="CH84" i="10"/>
  <c r="BG84" i="10"/>
  <c r="DT84" i="10"/>
  <c r="DY84" i="10"/>
  <c r="CB84" i="10"/>
  <c r="DC84" i="10"/>
  <c r="CG84" i="10"/>
  <c r="DS84" i="10"/>
  <c r="CW84" i="10"/>
  <c r="CA84" i="10"/>
  <c r="DB84" i="10"/>
  <c r="BE84" i="10"/>
  <c r="DO84" i="10"/>
  <c r="CC84" i="10"/>
  <c r="DL84" i="10"/>
  <c r="AW84" i="10"/>
  <c r="CI84" i="10"/>
  <c r="CX84" i="10"/>
  <c r="DM84" i="10"/>
  <c r="AX84" i="10"/>
  <c r="BF84" i="10"/>
  <c r="CJ84" i="10"/>
  <c r="DN84" i="10"/>
  <c r="BK84" i="10"/>
  <c r="AY84" i="10"/>
  <c r="DX84" i="10"/>
  <c r="CK84" i="10"/>
  <c r="CD84" i="10"/>
  <c r="BH84" i="10"/>
  <c r="DR84" i="10"/>
  <c r="CV84" i="10"/>
  <c r="BZ84" i="10"/>
  <c r="BD84" i="10"/>
  <c r="CE84" i="10"/>
  <c r="BI84" i="10"/>
  <c r="DV84" i="10"/>
  <c r="DJ84" i="10"/>
  <c r="CZ84" i="10"/>
  <c r="DI84" i="10"/>
  <c r="AT84" i="10"/>
  <c r="BX84" i="10"/>
  <c r="AU84" i="10"/>
  <c r="DK84" i="10"/>
  <c r="AZ84" i="10"/>
  <c r="CL84" i="10"/>
  <c r="DP84" i="10"/>
  <c r="BA84" i="10"/>
  <c r="BJ84" i="10"/>
  <c r="DW84" i="10"/>
  <c r="DA84" i="10"/>
  <c r="CM84" i="10"/>
  <c r="DQ84" i="10"/>
  <c r="CF84" i="10"/>
  <c r="AJ65" i="10"/>
  <c r="BF65" i="10"/>
  <c r="AO65" i="10"/>
  <c r="BL65" i="10"/>
  <c r="AS65" i="10"/>
  <c r="X65" i="10"/>
  <c r="AW65" i="10"/>
  <c r="Y65" i="10"/>
  <c r="AX65" i="10"/>
  <c r="Z65" i="10"/>
  <c r="AY65" i="10"/>
  <c r="AA65" i="10"/>
  <c r="AZ65" i="10"/>
  <c r="AM65" i="10"/>
  <c r="AN65" i="10"/>
  <c r="V65" i="10"/>
  <c r="AP65" i="10"/>
  <c r="AQ65" i="10"/>
  <c r="AR65" i="10"/>
  <c r="AT65" i="10"/>
  <c r="AU65" i="10"/>
  <c r="AV65" i="10"/>
  <c r="BA65" i="10"/>
  <c r="AD65" i="10"/>
  <c r="AE65" i="10"/>
  <c r="AF65" i="10"/>
  <c r="AG65" i="10"/>
  <c r="AH65" i="10"/>
  <c r="AI65" i="10"/>
  <c r="AK65" i="10"/>
  <c r="AL65" i="10"/>
  <c r="BB65" i="10"/>
  <c r="BC65" i="10"/>
  <c r="BD65" i="10"/>
  <c r="BE65" i="10"/>
  <c r="BG65" i="10"/>
  <c r="BH65" i="10"/>
  <c r="BI65" i="10"/>
  <c r="BJ65" i="10"/>
  <c r="BN65" i="10"/>
  <c r="W65" i="10"/>
  <c r="BO65" i="10"/>
  <c r="BK65" i="10"/>
  <c r="BM65" i="10"/>
  <c r="AB65" i="10"/>
  <c r="AC65" i="10"/>
  <c r="BP65" i="10"/>
  <c r="DE70" i="10"/>
  <c r="CW70" i="10"/>
  <c r="BR70" i="10"/>
  <c r="DQ70" i="10"/>
  <c r="DH70" i="10"/>
  <c r="BU70" i="10"/>
  <c r="AP70" i="10"/>
  <c r="DG70" i="10"/>
  <c r="BT70" i="10"/>
  <c r="AO70" i="10"/>
  <c r="DT70" i="10"/>
  <c r="CL70" i="10"/>
  <c r="AW70" i="10"/>
  <c r="CP70" i="10"/>
  <c r="AZ70" i="10"/>
  <c r="CO70" i="10"/>
  <c r="AY70" i="10"/>
  <c r="CN70" i="10"/>
  <c r="AX70" i="10"/>
  <c r="CM70" i="10"/>
  <c r="AV70" i="10"/>
  <c r="DO70" i="10"/>
  <c r="BS70" i="10"/>
  <c r="DN70" i="10"/>
  <c r="BQ70" i="10"/>
  <c r="DM70" i="10"/>
  <c r="BP70" i="10"/>
  <c r="DL70" i="10"/>
  <c r="BO70" i="10"/>
  <c r="DK70" i="10"/>
  <c r="BN70" i="10"/>
  <c r="DJ70" i="10"/>
  <c r="BM70" i="10"/>
  <c r="DI70" i="10"/>
  <c r="BL70" i="10"/>
  <c r="DF70" i="10"/>
  <c r="BD70" i="10"/>
  <c r="CX70" i="10"/>
  <c r="BB70" i="10"/>
  <c r="CK70" i="10"/>
  <c r="CJ70" i="10"/>
  <c r="CI70" i="10"/>
  <c r="CA70" i="10"/>
  <c r="BZ70" i="10"/>
  <c r="BX70" i="10"/>
  <c r="BW70" i="10"/>
  <c r="BV70" i="10"/>
  <c r="BA70" i="10"/>
  <c r="AU70" i="10"/>
  <c r="AT70" i="10"/>
  <c r="AS70" i="10"/>
  <c r="AR70" i="10"/>
  <c r="AQ70" i="10"/>
  <c r="DS70" i="10"/>
  <c r="CT70" i="10"/>
  <c r="CS70" i="10"/>
  <c r="DU70" i="10"/>
  <c r="DR70" i="10"/>
  <c r="DP70" i="10"/>
  <c r="CV70" i="10"/>
  <c r="CR70" i="10"/>
  <c r="CQ70" i="10"/>
  <c r="AJ70" i="10"/>
  <c r="AH70" i="10"/>
  <c r="CD70" i="10"/>
  <c r="DX70" i="10"/>
  <c r="DB70" i="10"/>
  <c r="CZ70" i="10"/>
  <c r="BG70" i="10"/>
  <c r="DC70" i="10"/>
  <c r="AN70" i="10"/>
  <c r="AK70" i="10"/>
  <c r="BK70" i="10"/>
  <c r="CE70" i="10"/>
  <c r="CH70" i="10"/>
  <c r="BC70" i="10"/>
  <c r="DY70" i="10"/>
  <c r="BY70" i="10"/>
  <c r="AL70" i="10"/>
  <c r="CB70" i="10"/>
  <c r="DV70" i="10"/>
  <c r="BH70" i="10"/>
  <c r="AI70" i="10"/>
  <c r="BI70" i="10"/>
  <c r="DA70" i="10"/>
  <c r="CU70" i="10"/>
  <c r="CF70" i="10"/>
  <c r="AM70" i="10"/>
  <c r="BJ70" i="10"/>
  <c r="CC70" i="10"/>
  <c r="CG70" i="10"/>
  <c r="DD70" i="10"/>
  <c r="BE70" i="10"/>
  <c r="CY70" i="10"/>
  <c r="BF70" i="10"/>
  <c r="DW70" i="10"/>
  <c r="DG75" i="10"/>
  <c r="BL75" i="10"/>
  <c r="CP75" i="10"/>
  <c r="CO75" i="10"/>
  <c r="DE75" i="10"/>
  <c r="BT75" i="10"/>
  <c r="BS75" i="10"/>
  <c r="BR75" i="10"/>
  <c r="BQ75" i="10"/>
  <c r="BV75" i="10"/>
  <c r="BU75" i="10"/>
  <c r="BP75" i="10"/>
  <c r="BO75" i="10"/>
  <c r="BN75" i="10"/>
  <c r="BM75" i="10"/>
  <c r="BC75" i="10"/>
  <c r="BB75" i="10"/>
  <c r="CT75" i="10"/>
  <c r="CS75" i="10"/>
  <c r="CR75" i="10"/>
  <c r="CQ75" i="10"/>
  <c r="CN75" i="10"/>
  <c r="DH75" i="10"/>
  <c r="DF75" i="10"/>
  <c r="DD75" i="10"/>
  <c r="CU75" i="10"/>
  <c r="CC75" i="10"/>
  <c r="AV75" i="10"/>
  <c r="BG75" i="10"/>
  <c r="CH75" i="10"/>
  <c r="DL75" i="10"/>
  <c r="AW75" i="10"/>
  <c r="CB75" i="10"/>
  <c r="CI75" i="10"/>
  <c r="BF75" i="10"/>
  <c r="CG75" i="10"/>
  <c r="DS75" i="10"/>
  <c r="AX75" i="10"/>
  <c r="CW75" i="10"/>
  <c r="CA75" i="10"/>
  <c r="DN75" i="10"/>
  <c r="DB75" i="10"/>
  <c r="BE75" i="10"/>
  <c r="AY75" i="10"/>
  <c r="CF75" i="10"/>
  <c r="CK75" i="10"/>
  <c r="BJ75" i="10"/>
  <c r="CV75" i="10"/>
  <c r="DO75" i="10"/>
  <c r="DT75" i="10"/>
  <c r="CX75" i="10"/>
  <c r="DY75" i="10"/>
  <c r="DC75" i="10"/>
  <c r="DM75" i="10"/>
  <c r="BK75" i="10"/>
  <c r="CJ75" i="10"/>
  <c r="DX75" i="10"/>
  <c r="DR75" i="10"/>
  <c r="CE75" i="10"/>
  <c r="CM75" i="10"/>
  <c r="BI75" i="10"/>
  <c r="DQ75" i="10"/>
  <c r="DV75" i="10"/>
  <c r="CZ75" i="10"/>
  <c r="CD75" i="10"/>
  <c r="BH75" i="10"/>
  <c r="DJ75" i="10"/>
  <c r="AU75" i="10"/>
  <c r="BY75" i="10"/>
  <c r="BA75" i="10"/>
  <c r="DK75" i="10"/>
  <c r="AZ75" i="10"/>
  <c r="CL75" i="10"/>
  <c r="DP75" i="10"/>
  <c r="DW75" i="10"/>
  <c r="DA75" i="10"/>
  <c r="DU75" i="10"/>
  <c r="CY75" i="10"/>
  <c r="BW75" i="10"/>
  <c r="DI75" i="10"/>
  <c r="AT75" i="10"/>
  <c r="BX75" i="10"/>
  <c r="BZ75" i="10"/>
  <c r="BD75" i="10"/>
  <c r="AI36" i="10"/>
  <c r="BE36" i="10"/>
  <c r="CA36" i="10"/>
  <c r="BG36" i="10"/>
  <c r="BH36" i="10"/>
  <c r="AJ36" i="10"/>
  <c r="BF36" i="10"/>
  <c r="CB36" i="10"/>
  <c r="AK36" i="10"/>
  <c r="CC36" i="10"/>
  <c r="CC47" i="10" s="1"/>
  <c r="AL36" i="10"/>
  <c r="CD36" i="10"/>
  <c r="AM36" i="10"/>
  <c r="CE36" i="10"/>
  <c r="AN36" i="10"/>
  <c r="BN36" i="10"/>
  <c r="BP36" i="10"/>
  <c r="AQ36" i="10"/>
  <c r="AR36" i="10"/>
  <c r="BR36" i="10"/>
  <c r="AS36" i="10"/>
  <c r="BS36" i="10"/>
  <c r="AT36" i="10"/>
  <c r="BT36" i="10"/>
  <c r="AO36" i="10"/>
  <c r="BO36" i="10"/>
  <c r="AH36" i="10"/>
  <c r="AP36" i="10"/>
  <c r="BQ36" i="10"/>
  <c r="AU36" i="10"/>
  <c r="CG36" i="10"/>
  <c r="AV36" i="10"/>
  <c r="CH36" i="10"/>
  <c r="AW36" i="10"/>
  <c r="CI36" i="10"/>
  <c r="AX36" i="10"/>
  <c r="CJ36" i="10"/>
  <c r="CJ47" i="10" s="1"/>
  <c r="AY36" i="10"/>
  <c r="CK36" i="10"/>
  <c r="AZ36" i="10"/>
  <c r="CL36" i="10"/>
  <c r="CL47" i="10" s="1"/>
  <c r="BA36" i="10"/>
  <c r="CM36" i="10"/>
  <c r="BB36" i="10"/>
  <c r="CN36" i="10"/>
  <c r="BC36" i="10"/>
  <c r="BD36" i="10"/>
  <c r="BI36" i="10"/>
  <c r="BJ36" i="10"/>
  <c r="BK36" i="10"/>
  <c r="BL36" i="10"/>
  <c r="BM36" i="10"/>
  <c r="BU36" i="10"/>
  <c r="BV36" i="10"/>
  <c r="BW36" i="10"/>
  <c r="BX36" i="10"/>
  <c r="BY36" i="10"/>
  <c r="BZ36" i="10"/>
  <c r="CF36" i="10"/>
  <c r="AQ6" i="10"/>
  <c r="BN6" i="10"/>
  <c r="AR6" i="10"/>
  <c r="BO6" i="10"/>
  <c r="AS6" i="10"/>
  <c r="BP6" i="10"/>
  <c r="AU6" i="10"/>
  <c r="BQ6" i="10"/>
  <c r="BD6" i="10"/>
  <c r="BG6" i="10"/>
  <c r="BH6" i="10"/>
  <c r="BI6" i="10"/>
  <c r="BE6" i="10"/>
  <c r="BF6" i="10"/>
  <c r="AT6" i="10"/>
  <c r="BC6" i="10"/>
  <c r="BJ6" i="10"/>
  <c r="BK6" i="10"/>
  <c r="BL6" i="10"/>
  <c r="BM6" i="10"/>
  <c r="AH6" i="10"/>
  <c r="AI6" i="10"/>
  <c r="AL6" i="10"/>
  <c r="AM6" i="10"/>
  <c r="AN6" i="10"/>
  <c r="AO6" i="10"/>
  <c r="AP6" i="10"/>
  <c r="AV6" i="10"/>
  <c r="AW6" i="10"/>
  <c r="AX6" i="10"/>
  <c r="AY6" i="10"/>
  <c r="AZ6" i="10"/>
  <c r="BA6" i="10"/>
  <c r="BB6" i="10"/>
  <c r="AJ6" i="10"/>
  <c r="AK6" i="10"/>
  <c r="BF7" i="10"/>
  <c r="BG7" i="10"/>
  <c r="BH7" i="10"/>
  <c r="BI7" i="10"/>
  <c r="BN7" i="10"/>
  <c r="BQ7" i="10"/>
  <c r="AT7" i="10"/>
  <c r="BO7" i="10"/>
  <c r="BP7" i="10"/>
  <c r="BC7" i="10"/>
  <c r="BM7" i="10"/>
  <c r="BD7" i="10"/>
  <c r="BE7" i="10"/>
  <c r="BJ7" i="10"/>
  <c r="BK7" i="10"/>
  <c r="BL7" i="10"/>
  <c r="AU7" i="10"/>
  <c r="AV7" i="10"/>
  <c r="AW7" i="10"/>
  <c r="AX7" i="10"/>
  <c r="AY7" i="10"/>
  <c r="AZ7" i="10"/>
  <c r="BA7" i="10"/>
  <c r="BB7" i="10"/>
  <c r="AC35" i="10"/>
  <c r="AY35" i="10"/>
  <c r="BU35" i="10"/>
  <c r="V35" i="10"/>
  <c r="AD35" i="10"/>
  <c r="AZ35" i="10"/>
  <c r="BV35" i="10"/>
  <c r="AE35" i="10"/>
  <c r="BA35" i="10"/>
  <c r="BW35" i="10"/>
  <c r="AF35" i="10"/>
  <c r="BB35" i="10"/>
  <c r="BX35" i="10"/>
  <c r="AG35" i="10"/>
  <c r="BC35" i="10"/>
  <c r="BY35" i="10"/>
  <c r="AV35" i="10"/>
  <c r="CB35" i="10"/>
  <c r="X35" i="10"/>
  <c r="BD35" i="10"/>
  <c r="CE35" i="10"/>
  <c r="Y35" i="10"/>
  <c r="BE35" i="10"/>
  <c r="CF35" i="10"/>
  <c r="Z35" i="10"/>
  <c r="BF35" i="10"/>
  <c r="CG35" i="10"/>
  <c r="AA35" i="10"/>
  <c r="BG35" i="10"/>
  <c r="CH35" i="10"/>
  <c r="AW35" i="10"/>
  <c r="CC35" i="10"/>
  <c r="AX35" i="10"/>
  <c r="CD35" i="10"/>
  <c r="AT35" i="10"/>
  <c r="CN35" i="10"/>
  <c r="AU35" i="10"/>
  <c r="BH35" i="10"/>
  <c r="W35" i="10"/>
  <c r="BI35" i="10"/>
  <c r="BJ35" i="10"/>
  <c r="BK35" i="10"/>
  <c r="BL35" i="10"/>
  <c r="BM35" i="10"/>
  <c r="BN35" i="10"/>
  <c r="AO35" i="10"/>
  <c r="AP35" i="10"/>
  <c r="BO35" i="10"/>
  <c r="BP35" i="10"/>
  <c r="BR35" i="10"/>
  <c r="CA35" i="10"/>
  <c r="CJ35" i="10"/>
  <c r="CL35" i="10"/>
  <c r="AM35" i="10"/>
  <c r="AQ35" i="10"/>
  <c r="AR35" i="10"/>
  <c r="AS35" i="10"/>
  <c r="BQ35" i="10"/>
  <c r="BS35" i="10"/>
  <c r="BT35" i="10"/>
  <c r="BZ35" i="10"/>
  <c r="CI35" i="10"/>
  <c r="AB35" i="10"/>
  <c r="AH35" i="10"/>
  <c r="CK35" i="10"/>
  <c r="AI35" i="10"/>
  <c r="AJ35" i="10"/>
  <c r="CM35" i="10"/>
  <c r="AK35" i="10"/>
  <c r="AL35" i="10"/>
  <c r="AN35" i="10"/>
  <c r="AN5" i="10"/>
  <c r="BJ5" i="10"/>
  <c r="AO5" i="10"/>
  <c r="BK5" i="10"/>
  <c r="AP5" i="10"/>
  <c r="BL5" i="10"/>
  <c r="AQ5" i="10"/>
  <c r="BM5" i="10"/>
  <c r="AH5" i="10"/>
  <c r="BH5" i="10"/>
  <c r="AK5" i="10"/>
  <c r="BO5" i="10"/>
  <c r="AL5" i="10"/>
  <c r="BP5" i="10"/>
  <c r="AM5" i="10"/>
  <c r="BQ5" i="10"/>
  <c r="AI5" i="10"/>
  <c r="BI5" i="10"/>
  <c r="AJ5" i="10"/>
  <c r="BN5" i="10"/>
  <c r="AW5" i="10"/>
  <c r="AX5" i="10"/>
  <c r="AY5" i="10"/>
  <c r="AZ5" i="10"/>
  <c r="BA5" i="10"/>
  <c r="BB5" i="10"/>
  <c r="W5" i="10"/>
  <c r="BC5" i="10"/>
  <c r="X5" i="10"/>
  <c r="BD5" i="10"/>
  <c r="AS5" i="10"/>
  <c r="AT5" i="10"/>
  <c r="AU5" i="10"/>
  <c r="AV5" i="10"/>
  <c r="BE5" i="10"/>
  <c r="BF5" i="10"/>
  <c r="BG5" i="10"/>
  <c r="V5" i="10"/>
  <c r="Y5" i="10"/>
  <c r="Z5" i="10"/>
  <c r="AA5" i="10"/>
  <c r="AB5" i="10"/>
  <c r="AB3" i="10" s="1"/>
  <c r="AC5" i="10"/>
  <c r="AD5" i="10"/>
  <c r="AE5" i="10"/>
  <c r="AF5" i="10"/>
  <c r="AG5" i="10"/>
  <c r="AR5" i="10"/>
  <c r="DS12" i="10"/>
  <c r="T12" i="10"/>
  <c r="AP12" i="10"/>
  <c r="BL12" i="10"/>
  <c r="CH12" i="10"/>
  <c r="DD12" i="10"/>
  <c r="Z50" i="10"/>
  <c r="AV50" i="10"/>
  <c r="BR50" i="10"/>
  <c r="CN50" i="10"/>
  <c r="U12" i="10"/>
  <c r="AQ12" i="10"/>
  <c r="BM12" i="10"/>
  <c r="CI12" i="10"/>
  <c r="DE12" i="10"/>
  <c r="AA50" i="10"/>
  <c r="AW50" i="10"/>
  <c r="CO50" i="10"/>
  <c r="DK50" i="10"/>
  <c r="V12" i="10"/>
  <c r="AR12" i="10"/>
  <c r="BN12" i="10"/>
  <c r="CJ12" i="10"/>
  <c r="DF12" i="10"/>
  <c r="AB50" i="10"/>
  <c r="AX50" i="10"/>
  <c r="BT50" i="10"/>
  <c r="CP50" i="10"/>
  <c r="DL50" i="10"/>
  <c r="DX50" i="10"/>
  <c r="W12" i="10"/>
  <c r="AS12" i="10"/>
  <c r="BO12" i="10"/>
  <c r="CK12" i="10"/>
  <c r="DG12" i="10"/>
  <c r="AC50" i="10"/>
  <c r="AY50" i="10"/>
  <c r="BU50" i="10"/>
  <c r="CQ50" i="10"/>
  <c r="DM50" i="10"/>
  <c r="X12" i="10"/>
  <c r="AT12" i="10"/>
  <c r="BP12" i="10"/>
  <c r="DH12" i="10"/>
  <c r="AD50" i="10"/>
  <c r="AZ50" i="10"/>
  <c r="BV50" i="10"/>
  <c r="CR50" i="10"/>
  <c r="DN50" i="10"/>
  <c r="J59" i="10"/>
  <c r="Y12" i="10"/>
  <c r="AU12" i="10"/>
  <c r="BQ12" i="10"/>
  <c r="CM12" i="10"/>
  <c r="DI12" i="10"/>
  <c r="Z12" i="10"/>
  <c r="AV12" i="10"/>
  <c r="AO50" i="10"/>
  <c r="CG50" i="10"/>
  <c r="DY50" i="10"/>
  <c r="T50" i="10"/>
  <c r="AP50" i="10"/>
  <c r="BL50" i="10"/>
  <c r="CH50" i="10"/>
  <c r="DD50" i="10"/>
  <c r="O12" i="10"/>
  <c r="AK12" i="10"/>
  <c r="BG12" i="10"/>
  <c r="CY12" i="10"/>
  <c r="DU12" i="10"/>
  <c r="U50" i="10"/>
  <c r="AQ50" i="10"/>
  <c r="BM50" i="10"/>
  <c r="DE50" i="10"/>
  <c r="P12" i="10"/>
  <c r="BH12" i="10"/>
  <c r="CD12" i="10"/>
  <c r="V50" i="10"/>
  <c r="AR50" i="10"/>
  <c r="BN50" i="10"/>
  <c r="CJ50" i="10"/>
  <c r="DF50" i="10"/>
  <c r="BK50" i="10"/>
  <c r="DC50" i="10"/>
  <c r="AM12" i="10"/>
  <c r="BI12" i="10"/>
  <c r="CE12" i="10"/>
  <c r="DA12" i="10"/>
  <c r="DW12" i="10"/>
  <c r="W50" i="10"/>
  <c r="AS50" i="10"/>
  <c r="CK50" i="10"/>
  <c r="DG50" i="10"/>
  <c r="N3" i="10"/>
  <c r="R12" i="10"/>
  <c r="AN12" i="10"/>
  <c r="BJ12" i="10"/>
  <c r="CF12" i="10"/>
  <c r="DB12" i="10"/>
  <c r="DX12" i="10"/>
  <c r="X50" i="10"/>
  <c r="AT50" i="10"/>
  <c r="BP50" i="10"/>
  <c r="CL50" i="10"/>
  <c r="DH50" i="10"/>
  <c r="S12" i="10"/>
  <c r="AO12" i="10"/>
  <c r="BK12" i="10"/>
  <c r="CG12" i="10"/>
  <c r="DY12" i="10"/>
  <c r="Y50" i="10"/>
  <c r="AU50" i="10"/>
  <c r="BQ50" i="10"/>
  <c r="CM50" i="10"/>
  <c r="BS12" i="10"/>
  <c r="DK12" i="10"/>
  <c r="BA50" i="10"/>
  <c r="CS50" i="10"/>
  <c r="AB12" i="10"/>
  <c r="AF50" i="10"/>
  <c r="CT50" i="10"/>
  <c r="L59" i="10"/>
  <c r="AY12" i="10"/>
  <c r="AG50" i="10"/>
  <c r="CU50" i="10"/>
  <c r="M59" i="10"/>
  <c r="AD12" i="10"/>
  <c r="BV12" i="10"/>
  <c r="DN12" i="10"/>
  <c r="AE12" i="10"/>
  <c r="BA12" i="10"/>
  <c r="CS12" i="10"/>
  <c r="BE50" i="10"/>
  <c r="J3" i="10"/>
  <c r="K12" i="10"/>
  <c r="AG12" i="10"/>
  <c r="BY12" i="10"/>
  <c r="CU12" i="10"/>
  <c r="DQ12" i="10"/>
  <c r="O50" i="10"/>
  <c r="AK50" i="10"/>
  <c r="BG50" i="10"/>
  <c r="CC50" i="10"/>
  <c r="CY50" i="10"/>
  <c r="DU50" i="10"/>
  <c r="Q59" i="10"/>
  <c r="AA12" i="10"/>
  <c r="CO12" i="10"/>
  <c r="BW50" i="10"/>
  <c r="K59" i="10"/>
  <c r="CP12" i="10"/>
  <c r="J50" i="10"/>
  <c r="BB50" i="10"/>
  <c r="DP50" i="10"/>
  <c r="AC12" i="10"/>
  <c r="BU12" i="10"/>
  <c r="K50" i="10"/>
  <c r="DQ50" i="10"/>
  <c r="K21" i="10"/>
  <c r="K3" i="10"/>
  <c r="L12" i="10"/>
  <c r="AH12" i="10"/>
  <c r="CV12" i="10"/>
  <c r="DR12" i="10"/>
  <c r="P50" i="10"/>
  <c r="AL50" i="10"/>
  <c r="BH50" i="10"/>
  <c r="CD50" i="10"/>
  <c r="CZ50" i="10"/>
  <c r="R59" i="10"/>
  <c r="L3" i="10"/>
  <c r="M12" i="10"/>
  <c r="AI12" i="10"/>
  <c r="BE12" i="10"/>
  <c r="CA12" i="10"/>
  <c r="CW12" i="10"/>
  <c r="Q50" i="10"/>
  <c r="AM50" i="10"/>
  <c r="BI50" i="10"/>
  <c r="CE50" i="10"/>
  <c r="DA50" i="10"/>
  <c r="DW50" i="10"/>
  <c r="S59" i="10"/>
  <c r="M3" i="10"/>
  <c r="AJ12" i="10"/>
  <c r="DT12" i="10"/>
  <c r="R50" i="10"/>
  <c r="AN50" i="10"/>
  <c r="BJ50" i="10"/>
  <c r="CF50" i="10"/>
  <c r="DB50" i="10"/>
  <c r="T59" i="10"/>
  <c r="J80" i="10"/>
  <c r="K80" i="10"/>
  <c r="T80" i="10"/>
  <c r="AW12" i="10"/>
  <c r="DL12" i="10"/>
  <c r="BX50" i="10"/>
  <c r="DM12" i="10"/>
  <c r="BY50" i="10"/>
  <c r="AZ12" i="10"/>
  <c r="CR12" i="10"/>
  <c r="AH50" i="10"/>
  <c r="BD50" i="10"/>
  <c r="BZ50" i="10"/>
  <c r="CV50" i="10"/>
  <c r="DR50" i="10"/>
  <c r="N59" i="10"/>
  <c r="BW12" i="10"/>
  <c r="DO12" i="10"/>
  <c r="M50" i="10"/>
  <c r="AI50" i="10"/>
  <c r="CA50" i="10"/>
  <c r="CW50" i="10"/>
  <c r="DS50" i="10"/>
  <c r="O59" i="10"/>
  <c r="J12" i="10"/>
  <c r="AF12" i="10"/>
  <c r="BB12" i="10"/>
  <c r="BX12" i="10"/>
  <c r="CT12" i="10"/>
  <c r="DP12" i="10"/>
  <c r="N50" i="10"/>
  <c r="AJ50" i="10"/>
  <c r="BF50" i="10"/>
  <c r="CB50" i="10"/>
  <c r="DT50" i="10"/>
  <c r="P59" i="10"/>
  <c r="BS3" i="10"/>
  <c r="CE3" i="10"/>
  <c r="CQ3" i="10"/>
  <c r="DJ3" i="10"/>
  <c r="CS3" i="10"/>
  <c r="DE3" i="10"/>
  <c r="DQ3" i="10"/>
  <c r="CC3" i="10"/>
  <c r="CO3" i="10"/>
  <c r="DA3" i="10"/>
  <c r="DM3" i="10"/>
  <c r="DY3" i="10"/>
  <c r="BR3" i="10"/>
  <c r="CD3" i="10"/>
  <c r="CP3" i="10"/>
  <c r="DB3" i="10"/>
  <c r="DN3" i="10"/>
  <c r="CA3" i="10"/>
  <c r="CM3" i="10"/>
  <c r="CY3" i="10"/>
  <c r="DK3" i="10"/>
  <c r="BX3" i="10"/>
  <c r="CJ3" i="10"/>
  <c r="CV3" i="10"/>
  <c r="DH3" i="10"/>
  <c r="DT3" i="10"/>
  <c r="CB3" i="10"/>
  <c r="CN3" i="10"/>
  <c r="CZ3" i="10"/>
  <c r="DL3" i="10"/>
  <c r="DX3" i="10"/>
  <c r="BV3" i="10"/>
  <c r="CH3" i="10"/>
  <c r="DF3" i="10"/>
  <c r="DR3" i="10"/>
  <c r="BW3" i="10"/>
  <c r="CI3" i="10"/>
  <c r="CU3" i="10"/>
  <c r="BY3" i="10"/>
  <c r="CK3" i="10"/>
  <c r="CW3" i="10"/>
  <c r="DU3" i="10"/>
  <c r="U3" i="10"/>
  <c r="BS50" i="10"/>
  <c r="DG3" i="10"/>
  <c r="DS3" i="10"/>
  <c r="BT12" i="10"/>
  <c r="CT3" i="10"/>
  <c r="CB12" i="10"/>
  <c r="U80" i="10"/>
  <c r="BU3" i="10"/>
  <c r="AE50" i="10"/>
  <c r="BC50" i="10"/>
  <c r="BO50" i="10"/>
  <c r="S50" i="10"/>
  <c r="CC12" i="10"/>
  <c r="N12" i="10"/>
  <c r="AL12" i="10"/>
  <c r="AX12" i="10"/>
  <c r="BT3" i="10"/>
  <c r="CF3" i="10"/>
  <c r="CR3" i="10"/>
  <c r="DD3" i="10"/>
  <c r="DP3" i="10"/>
  <c r="DV12" i="10"/>
  <c r="P80" i="10"/>
  <c r="BZ12" i="10"/>
  <c r="CL12" i="10"/>
  <c r="CX12" i="10"/>
  <c r="DJ12" i="10"/>
  <c r="L50" i="10"/>
  <c r="CQ12" i="10"/>
  <c r="DC3" i="10"/>
  <c r="DO3" i="10"/>
  <c r="BC12" i="10"/>
  <c r="CG3" i="10"/>
  <c r="BD12" i="10"/>
  <c r="M80" i="10"/>
  <c r="S80" i="10"/>
  <c r="BF12" i="10"/>
  <c r="BR12" i="10"/>
  <c r="DO50" i="10"/>
  <c r="DW3" i="10"/>
  <c r="R80" i="10"/>
  <c r="DI50" i="10"/>
  <c r="Q12" i="10"/>
  <c r="DV50" i="10"/>
  <c r="DI3" i="10"/>
  <c r="DJ50" i="10"/>
  <c r="CX50" i="10"/>
  <c r="CZ12" i="10"/>
  <c r="Q80" i="10"/>
  <c r="BU21" i="10"/>
  <c r="CG21" i="10"/>
  <c r="CS21" i="10"/>
  <c r="DE21" i="10"/>
  <c r="DQ21" i="10"/>
  <c r="O3" i="10"/>
  <c r="CH21" i="10"/>
  <c r="CI21" i="10"/>
  <c r="CX3" i="10"/>
  <c r="DV3" i="10"/>
  <c r="CO21" i="10"/>
  <c r="DA21" i="10"/>
  <c r="DM21" i="10"/>
  <c r="DY21" i="10"/>
  <c r="CJ21" i="10"/>
  <c r="DH21" i="10"/>
  <c r="BY21" i="10"/>
  <c r="CK21" i="10"/>
  <c r="CW21" i="10"/>
  <c r="DI21" i="10"/>
  <c r="DU21" i="10"/>
  <c r="BZ3" i="10"/>
  <c r="CL3" i="10"/>
  <c r="N80" i="10"/>
  <c r="DC12" i="10"/>
  <c r="CA21" i="10"/>
  <c r="CM21" i="10"/>
  <c r="CY21" i="10"/>
  <c r="DK21" i="10"/>
  <c r="DW21" i="10"/>
  <c r="BZ21" i="10"/>
  <c r="DV21" i="10"/>
  <c r="CX21" i="10"/>
  <c r="O80" i="10"/>
  <c r="CB21" i="10"/>
  <c r="CZ21" i="10"/>
  <c r="DL21" i="10"/>
  <c r="DX21" i="10"/>
  <c r="BV21" i="10"/>
  <c r="BW21" i="10"/>
  <c r="CU21" i="10"/>
  <c r="DG21" i="10"/>
  <c r="DS21" i="10"/>
  <c r="CL21" i="10"/>
  <c r="DJ21" i="10"/>
  <c r="CI50" i="10"/>
  <c r="BX21" i="10"/>
  <c r="CV21" i="10"/>
  <c r="DT21" i="10"/>
  <c r="BS21" i="10"/>
  <c r="CE21" i="10"/>
  <c r="CT21" i="10"/>
  <c r="BR21" i="10"/>
  <c r="DN21" i="10"/>
  <c r="CQ21" i="10"/>
  <c r="DC21" i="10"/>
  <c r="DO21" i="10"/>
  <c r="DF21" i="10"/>
  <c r="CD21" i="10"/>
  <c r="DB21" i="10"/>
  <c r="BT21" i="10"/>
  <c r="CF21" i="10"/>
  <c r="CR21" i="10"/>
  <c r="DD21" i="10"/>
  <c r="DP21" i="10"/>
  <c r="DR21" i="10"/>
  <c r="CP21" i="10"/>
  <c r="CN12" i="10"/>
  <c r="S3" i="10"/>
  <c r="CC21" i="10"/>
  <c r="L80" i="10"/>
  <c r="DP17" i="9"/>
  <c r="DD17" i="9"/>
  <c r="CR17" i="9"/>
  <c r="CF17" i="9"/>
  <c r="BT17" i="9"/>
  <c r="BH17" i="9"/>
  <c r="AV17" i="9"/>
  <c r="AJ17" i="9"/>
  <c r="X17" i="9"/>
  <c r="L17" i="9"/>
  <c r="Q26" i="9"/>
  <c r="DO17" i="9"/>
  <c r="DC17" i="9"/>
  <c r="CQ17" i="9"/>
  <c r="CE17" i="9"/>
  <c r="BS17" i="9"/>
  <c r="BG17" i="9"/>
  <c r="AU17" i="9"/>
  <c r="AI17" i="9"/>
  <c r="W17" i="9"/>
  <c r="DW17" i="9"/>
  <c r="DK17" i="9"/>
  <c r="CY17" i="9"/>
  <c r="CM17" i="9"/>
  <c r="CA17" i="9"/>
  <c r="BO17" i="9"/>
  <c r="BC17" i="9"/>
  <c r="AQ17" i="9"/>
  <c r="AE17" i="9"/>
  <c r="BX26" i="9"/>
  <c r="BC20" i="9"/>
  <c r="K17" i="9"/>
  <c r="CG3" i="9"/>
  <c r="AJ3" i="9"/>
  <c r="J26" i="9"/>
  <c r="DS3" i="9"/>
  <c r="CI3" i="9"/>
  <c r="DL26" i="9"/>
  <c r="CR3" i="9"/>
  <c r="CF3" i="9"/>
  <c r="R26" i="9"/>
  <c r="AD26" i="9"/>
  <c r="AP26" i="9"/>
  <c r="BB26" i="9"/>
  <c r="BZ26" i="9"/>
  <c r="CL26" i="9"/>
  <c r="CX26" i="9"/>
  <c r="DJ26" i="9"/>
  <c r="DV26" i="9"/>
  <c r="DB26" i="9"/>
  <c r="BA26" i="9"/>
  <c r="DU26" i="9"/>
  <c r="CJ26" i="9"/>
  <c r="BY26" i="9"/>
  <c r="BH26" i="9"/>
  <c r="BT26" i="9"/>
  <c r="CR26" i="9"/>
  <c r="AK3" i="9"/>
  <c r="BP20" i="9"/>
  <c r="W3" i="9"/>
  <c r="W6" i="9"/>
  <c r="AU6" i="9"/>
  <c r="BS6" i="9"/>
  <c r="DC6" i="9"/>
  <c r="K6" i="9"/>
  <c r="CQ6" i="9"/>
  <c r="DK26" i="9"/>
  <c r="DW26" i="9"/>
  <c r="BT9" i="9"/>
  <c r="DP9" i="9"/>
  <c r="S17" i="9"/>
  <c r="AI6" i="9"/>
  <c r="BG6" i="9"/>
  <c r="CE6" i="9"/>
  <c r="DO6" i="9"/>
  <c r="X26" i="9"/>
  <c r="N6" i="9"/>
  <c r="AE26" i="9"/>
  <c r="AQ26" i="9"/>
  <c r="BO26" i="9"/>
  <c r="AZ26" i="9"/>
  <c r="CN26" i="9"/>
  <c r="DX26" i="9"/>
  <c r="O6" i="9"/>
  <c r="AZ20" i="9"/>
  <c r="X20" i="9"/>
  <c r="BT20" i="9"/>
  <c r="CF20" i="9"/>
  <c r="CF34" i="9" s="1"/>
  <c r="CR20" i="9"/>
  <c r="DP20" i="9"/>
  <c r="DP34" i="9" s="1"/>
  <c r="CW26" i="9"/>
  <c r="BW6" i="9"/>
  <c r="DH20" i="9"/>
  <c r="AJ6" i="9"/>
  <c r="AV6" i="9"/>
  <c r="CR6" i="9"/>
  <c r="BC26" i="9"/>
  <c r="CN9" i="9"/>
  <c r="AK20" i="9"/>
  <c r="CG20" i="9"/>
  <c r="Y3" i="9"/>
  <c r="CG6" i="9"/>
  <c r="M6" i="9"/>
  <c r="DD26" i="9"/>
  <c r="DL17" i="9"/>
  <c r="BP17" i="9"/>
  <c r="BM26" i="9"/>
  <c r="DQ6" i="9"/>
  <c r="CS6" i="9"/>
  <c r="BU6" i="9"/>
  <c r="BI6" i="9"/>
  <c r="Y6" i="9"/>
  <c r="AW6" i="9"/>
  <c r="DG9" i="9"/>
  <c r="DE6" i="9"/>
  <c r="AK6" i="9"/>
  <c r="BS9" i="9"/>
  <c r="P17" i="9"/>
  <c r="O17" i="9"/>
  <c r="O34" i="9" s="1"/>
  <c r="AM20" i="9"/>
  <c r="DH17" i="9"/>
  <c r="AM17" i="9"/>
  <c r="DG20" i="9"/>
  <c r="BJ20" i="9"/>
  <c r="AX20" i="9"/>
  <c r="Z20" i="9"/>
  <c r="L6" i="9"/>
  <c r="CU9" i="9"/>
  <c r="J17" i="9"/>
  <c r="BQ20" i="9"/>
  <c r="CN17" i="9"/>
  <c r="AR17" i="9"/>
  <c r="DL20" i="9"/>
  <c r="AB6" i="9"/>
  <c r="AZ6" i="9"/>
  <c r="BL6" i="9"/>
  <c r="BX6" i="9"/>
  <c r="CV6" i="9"/>
  <c r="DT6" i="9"/>
  <c r="DV17" i="9"/>
  <c r="CX17" i="9"/>
  <c r="BZ17" i="9"/>
  <c r="BB17" i="9"/>
  <c r="AD17" i="9"/>
  <c r="CY20" i="9"/>
  <c r="BL17" i="9"/>
  <c r="AA17" i="9"/>
  <c r="AA34" i="9" s="1"/>
  <c r="X6" i="9"/>
  <c r="BH6" i="9"/>
  <c r="CF6" i="9"/>
  <c r="DD6" i="9"/>
  <c r="DP6" i="9"/>
  <c r="DF9" i="9"/>
  <c r="BX9" i="9"/>
  <c r="CJ9" i="9"/>
  <c r="CJ16" i="9" s="1"/>
  <c r="DH9" i="9"/>
  <c r="DH16" i="9" s="1"/>
  <c r="DT9" i="9"/>
  <c r="CE9" i="9"/>
  <c r="CQ9" i="9"/>
  <c r="DC9" i="9"/>
  <c r="DC16" i="9" s="1"/>
  <c r="DO9" i="9"/>
  <c r="W20" i="9"/>
  <c r="W34" i="9" s="1"/>
  <c r="AI20" i="9"/>
  <c r="AI34" i="9" s="1"/>
  <c r="AU20" i="9"/>
  <c r="BG20" i="9"/>
  <c r="BS20" i="9"/>
  <c r="CE20" i="9"/>
  <c r="CQ20" i="9"/>
  <c r="DC20" i="9"/>
  <c r="DC34" i="9" s="1"/>
  <c r="DO20" i="9"/>
  <c r="DO34" i="9" s="1"/>
  <c r="DI17" i="9"/>
  <c r="DI34" i="9" s="1"/>
  <c r="CW17" i="9"/>
  <c r="CK17" i="9"/>
  <c r="BM17" i="9"/>
  <c r="BA17" i="9"/>
  <c r="AO17" i="9"/>
  <c r="Q17" i="9"/>
  <c r="DV20" i="9"/>
  <c r="DJ20" i="9"/>
  <c r="CX20" i="9"/>
  <c r="CL20" i="9"/>
  <c r="BZ20" i="9"/>
  <c r="BN20" i="9"/>
  <c r="AP20" i="9"/>
  <c r="AD20" i="9"/>
  <c r="R20" i="9"/>
  <c r="DQ20" i="9"/>
  <c r="BU20" i="9"/>
  <c r="Y20" i="9"/>
  <c r="M20" i="9"/>
  <c r="BT6" i="9"/>
  <c r="BT16" i="9" s="1"/>
  <c r="CT9" i="9"/>
  <c r="AF26" i="9"/>
  <c r="BV9" i="9"/>
  <c r="AJ20" i="9"/>
  <c r="AJ34" i="9" s="1"/>
  <c r="Z6" i="9"/>
  <c r="AL6" i="9"/>
  <c r="AX6" i="9"/>
  <c r="BJ6" i="9"/>
  <c r="BV6" i="9"/>
  <c r="CH6" i="9"/>
  <c r="CT6" i="9"/>
  <c r="DF6" i="9"/>
  <c r="DR6" i="9"/>
  <c r="BW9" i="9"/>
  <c r="P20" i="9"/>
  <c r="AB20" i="9"/>
  <c r="AN20" i="9"/>
  <c r="AN34" i="9" s="1"/>
  <c r="BL20" i="9"/>
  <c r="BX20" i="9"/>
  <c r="CV20" i="9"/>
  <c r="DR20" i="9"/>
  <c r="DF20" i="9"/>
  <c r="CT20" i="9"/>
  <c r="CH20" i="9"/>
  <c r="BV20" i="9"/>
  <c r="AL20" i="9"/>
  <c r="N20" i="9"/>
  <c r="BU9" i="9"/>
  <c r="BU16" i="9" s="1"/>
  <c r="CG9" i="9"/>
  <c r="CS9" i="9"/>
  <c r="DE9" i="9"/>
  <c r="DQ9" i="9"/>
  <c r="AA6" i="9"/>
  <c r="AM6" i="9"/>
  <c r="AY6" i="9"/>
  <c r="DY6" i="9"/>
  <c r="DM6" i="9"/>
  <c r="DA6" i="9"/>
  <c r="CO6" i="9"/>
  <c r="CC6" i="9"/>
  <c r="BQ6" i="9"/>
  <c r="BE6" i="9"/>
  <c r="AS6" i="9"/>
  <c r="AG6" i="9"/>
  <c r="U6" i="9"/>
  <c r="DY9" i="9"/>
  <c r="DM9" i="9"/>
  <c r="DA9" i="9"/>
  <c r="CO9" i="9"/>
  <c r="CC9" i="9"/>
  <c r="BQ9" i="9"/>
  <c r="DY17" i="9"/>
  <c r="DY34" i="9" s="1"/>
  <c r="DM17" i="9"/>
  <c r="DA17" i="9"/>
  <c r="CO17" i="9"/>
  <c r="CC17" i="9"/>
  <c r="BQ17" i="9"/>
  <c r="BE17" i="9"/>
  <c r="AS17" i="9"/>
  <c r="AG17" i="9"/>
  <c r="U17" i="9"/>
  <c r="U34" i="9" s="1"/>
  <c r="DN20" i="9"/>
  <c r="DB20" i="9"/>
  <c r="CP20" i="9"/>
  <c r="CD20" i="9"/>
  <c r="BR20" i="9"/>
  <c r="BF20" i="9"/>
  <c r="AT20" i="9"/>
  <c r="AH20" i="9"/>
  <c r="V20" i="9"/>
  <c r="DS17" i="9"/>
  <c r="DS34" i="9" s="1"/>
  <c r="DG17" i="9"/>
  <c r="CU17" i="9"/>
  <c r="CU34" i="9" s="1"/>
  <c r="CI17" i="9"/>
  <c r="CI34" i="9" s="1"/>
  <c r="BW17" i="9"/>
  <c r="BW34" i="9" s="1"/>
  <c r="BK17" i="9"/>
  <c r="BK34" i="9" s="1"/>
  <c r="AY17" i="9"/>
  <c r="AY34" i="9" s="1"/>
  <c r="BK6" i="9"/>
  <c r="CI6" i="9"/>
  <c r="CU6" i="9"/>
  <c r="DG6" i="9"/>
  <c r="DS6" i="9"/>
  <c r="CF9" i="9"/>
  <c r="CR9" i="9"/>
  <c r="DD9" i="9"/>
  <c r="DX6" i="9"/>
  <c r="DL6" i="9"/>
  <c r="CZ6" i="9"/>
  <c r="CN6" i="9"/>
  <c r="CB6" i="9"/>
  <c r="BP6" i="9"/>
  <c r="BD6" i="9"/>
  <c r="AR6" i="9"/>
  <c r="AF6" i="9"/>
  <c r="T6" i="9"/>
  <c r="DX17" i="9"/>
  <c r="CZ17" i="9"/>
  <c r="CB17" i="9"/>
  <c r="BD17" i="9"/>
  <c r="AF17" i="9"/>
  <c r="DX9" i="9"/>
  <c r="DU6" i="9"/>
  <c r="BM6" i="9"/>
  <c r="AO6" i="9"/>
  <c r="Q6" i="9"/>
  <c r="DJ17" i="9"/>
  <c r="CL17" i="9"/>
  <c r="BN17" i="9"/>
  <c r="AP17" i="9"/>
  <c r="R17" i="9"/>
  <c r="DT17" i="9"/>
  <c r="CV17" i="9"/>
  <c r="BX17" i="9"/>
  <c r="AZ17" i="9"/>
  <c r="AB17" i="9"/>
  <c r="BY20" i="9"/>
  <c r="AC20" i="9"/>
  <c r="AC34" i="9" s="1"/>
  <c r="CN21" i="10"/>
  <c r="J21" i="10"/>
  <c r="I112" i="10"/>
  <c r="AV26" i="9"/>
  <c r="DL9" i="9"/>
  <c r="CZ9" i="9"/>
  <c r="CB9" i="9"/>
  <c r="DM20" i="9"/>
  <c r="DA20" i="9"/>
  <c r="CO20" i="9"/>
  <c r="CC20" i="9"/>
  <c r="BE20" i="9"/>
  <c r="AS20" i="9"/>
  <c r="AG20" i="9"/>
  <c r="DW6" i="9"/>
  <c r="DK6" i="9"/>
  <c r="CY6" i="9"/>
  <c r="CM6" i="9"/>
  <c r="CA6" i="9"/>
  <c r="BO6" i="9"/>
  <c r="BC6" i="9"/>
  <c r="AQ6" i="9"/>
  <c r="AE6" i="9"/>
  <c r="S6" i="9"/>
  <c r="DX20" i="9"/>
  <c r="CZ20" i="9"/>
  <c r="CN20" i="9"/>
  <c r="CB20" i="9"/>
  <c r="BD20" i="9"/>
  <c r="AR20" i="9"/>
  <c r="AF20" i="9"/>
  <c r="T20" i="9"/>
  <c r="T34" i="9" s="1"/>
  <c r="DW20" i="9"/>
  <c r="DK20" i="9"/>
  <c r="CM20" i="9"/>
  <c r="CA20" i="9"/>
  <c r="CA34" i="9" s="1"/>
  <c r="BO20" i="9"/>
  <c r="AQ20" i="9"/>
  <c r="AE20" i="9"/>
  <c r="S20" i="9"/>
  <c r="DH26" i="9"/>
  <c r="BL26" i="9"/>
  <c r="DT26" i="9"/>
  <c r="CV9" i="9"/>
  <c r="DU20" i="9"/>
  <c r="CW20" i="9"/>
  <c r="CK20" i="9"/>
  <c r="BA20" i="9"/>
  <c r="AO20" i="9"/>
  <c r="DS9" i="9"/>
  <c r="CI9" i="9"/>
  <c r="DT20" i="9"/>
  <c r="CJ20" i="9"/>
  <c r="CJ34" i="9" s="1"/>
  <c r="DF3" i="9"/>
  <c r="CH3" i="9"/>
  <c r="BJ3" i="9"/>
  <c r="AL3" i="9"/>
  <c r="N3" i="9"/>
  <c r="DR9" i="9"/>
  <c r="CH9" i="9"/>
  <c r="DR17" i="9"/>
  <c r="DF17" i="9"/>
  <c r="CT17" i="9"/>
  <c r="CH17" i="9"/>
  <c r="BV17" i="9"/>
  <c r="BJ17" i="9"/>
  <c r="AX17" i="9"/>
  <c r="AL17" i="9"/>
  <c r="Z17" i="9"/>
  <c r="N17" i="9"/>
  <c r="DQ17" i="9"/>
  <c r="DE17" i="9"/>
  <c r="CS17" i="9"/>
  <c r="CG17" i="9"/>
  <c r="BU17" i="9"/>
  <c r="BI17" i="9"/>
  <c r="AW17" i="9"/>
  <c r="AK17" i="9"/>
  <c r="Y17" i="9"/>
  <c r="M17" i="9"/>
  <c r="DE20" i="9"/>
  <c r="CS20" i="9"/>
  <c r="BI20" i="9"/>
  <c r="AW20" i="9"/>
  <c r="DD20" i="9"/>
  <c r="BH20" i="9"/>
  <c r="AV20" i="9"/>
  <c r="L20" i="9"/>
  <c r="L34" i="9" s="1"/>
  <c r="DN6" i="9"/>
  <c r="DB6" i="9"/>
  <c r="CP6" i="9"/>
  <c r="CD6" i="9"/>
  <c r="BR6" i="9"/>
  <c r="BF6" i="9"/>
  <c r="AT6" i="9"/>
  <c r="AH6" i="9"/>
  <c r="V6" i="9"/>
  <c r="DN9" i="9"/>
  <c r="DB9" i="9"/>
  <c r="CP9" i="9"/>
  <c r="CD9" i="9"/>
  <c r="BR9" i="9"/>
  <c r="DN17" i="9"/>
  <c r="DB17" i="9"/>
  <c r="CP17" i="9"/>
  <c r="CD17" i="9"/>
  <c r="BR17" i="9"/>
  <c r="BF17" i="9"/>
  <c r="AT17" i="9"/>
  <c r="AH17" i="9"/>
  <c r="V17" i="9"/>
  <c r="K34" i="9"/>
  <c r="J20" i="9"/>
  <c r="CA9" i="9"/>
  <c r="CM9" i="9"/>
  <c r="CY9" i="9"/>
  <c r="DK9" i="9"/>
  <c r="DW9" i="9"/>
  <c r="BR3" i="9"/>
  <c r="DY3" i="9"/>
  <c r="AQ3" i="9"/>
  <c r="BP3" i="9"/>
  <c r="BD3" i="9"/>
  <c r="BC3" i="9"/>
  <c r="BF3" i="9"/>
  <c r="BQ3" i="9"/>
  <c r="BE3" i="9"/>
  <c r="AR3" i="9"/>
  <c r="BZ9" i="9"/>
  <c r="BZ16" i="9" s="1"/>
  <c r="CL9" i="9"/>
  <c r="CL16" i="9" s="1"/>
  <c r="CX9" i="9"/>
  <c r="CX16" i="9" s="1"/>
  <c r="DJ9" i="9"/>
  <c r="DJ16" i="9" s="1"/>
  <c r="DV9" i="9"/>
  <c r="DV16" i="9" s="1"/>
  <c r="BY9" i="9"/>
  <c r="BY16" i="9" s="1"/>
  <c r="CK9" i="9"/>
  <c r="CK16" i="9" s="1"/>
  <c r="CW9" i="9"/>
  <c r="CW16" i="9" s="1"/>
  <c r="DI9" i="9"/>
  <c r="DI16" i="9" s="1"/>
  <c r="DU9" i="9"/>
  <c r="L10" i="9"/>
  <c r="K9" i="9"/>
  <c r="J9" i="9"/>
  <c r="J16" i="9" s="1"/>
  <c r="I34" i="9"/>
  <c r="I35" i="9" s="1"/>
  <c r="CH47" i="10" l="1"/>
  <c r="DA47" i="10"/>
  <c r="DC48" i="10"/>
  <c r="BV47" i="10"/>
  <c r="BR48" i="10"/>
  <c r="DY47" i="10"/>
  <c r="DU47" i="10"/>
  <c r="CW48" i="10"/>
  <c r="BU47" i="10"/>
  <c r="CG47" i="10"/>
  <c r="CG48" i="10"/>
  <c r="CT47" i="10"/>
  <c r="DQ47" i="10"/>
  <c r="DS47" i="10"/>
  <c r="DR47" i="10"/>
  <c r="CB47" i="10"/>
  <c r="DX47" i="10"/>
  <c r="DN47" i="10"/>
  <c r="CU47" i="10"/>
  <c r="DB48" i="10"/>
  <c r="DI47" i="10"/>
  <c r="DV47" i="10"/>
  <c r="CY47" i="10"/>
  <c r="DP48" i="10"/>
  <c r="DD48" i="10"/>
  <c r="CW47" i="10"/>
  <c r="DL47" i="10"/>
  <c r="DM47" i="10"/>
  <c r="CR48" i="10"/>
  <c r="CX47" i="10"/>
  <c r="CP47" i="10"/>
  <c r="DO47" i="10"/>
  <c r="BW47" i="10"/>
  <c r="CN47" i="10"/>
  <c r="CA47" i="10"/>
  <c r="AC80" i="10"/>
  <c r="BZ47" i="10"/>
  <c r="CM47" i="10"/>
  <c r="DO48" i="10"/>
  <c r="BS47" i="10"/>
  <c r="CK47" i="10"/>
  <c r="DD47" i="10"/>
  <c r="DF47" i="10"/>
  <c r="BT47" i="10"/>
  <c r="DK47" i="10"/>
  <c r="CS47" i="10"/>
  <c r="CR47" i="10"/>
  <c r="DE47" i="10"/>
  <c r="BY47" i="10"/>
  <c r="CI47" i="10"/>
  <c r="BV48" i="10"/>
  <c r="CI48" i="10"/>
  <c r="DC47" i="10"/>
  <c r="CE47" i="10"/>
  <c r="CV47" i="10"/>
  <c r="DT47" i="10"/>
  <c r="DT48" i="10"/>
  <c r="BX47" i="10"/>
  <c r="CD47" i="10"/>
  <c r="DB47" i="10"/>
  <c r="CQ47" i="10"/>
  <c r="DI48" i="10"/>
  <c r="BT48" i="10"/>
  <c r="BI3" i="10"/>
  <c r="BR80" i="10"/>
  <c r="CF48" i="10"/>
  <c r="BF3" i="10"/>
  <c r="CT48" i="10"/>
  <c r="CA48" i="10"/>
  <c r="BY80" i="10"/>
  <c r="BG3" i="10"/>
  <c r="DY80" i="10"/>
  <c r="AT3" i="10"/>
  <c r="CI49" i="10"/>
  <c r="BM3" i="10"/>
  <c r="DD80" i="10"/>
  <c r="CO48" i="10"/>
  <c r="X3" i="10"/>
  <c r="BJ3" i="10"/>
  <c r="BP3" i="10"/>
  <c r="CM48" i="10"/>
  <c r="BE3" i="10"/>
  <c r="T112" i="10"/>
  <c r="W3" i="10"/>
  <c r="BW48" i="10"/>
  <c r="CL48" i="10"/>
  <c r="DN48" i="10"/>
  <c r="DW48" i="10"/>
  <c r="V3" i="10"/>
  <c r="V80" i="10"/>
  <c r="CJ80" i="10"/>
  <c r="BZ48" i="10"/>
  <c r="CQ48" i="10"/>
  <c r="CY80" i="10"/>
  <c r="CC80" i="10"/>
  <c r="DL48" i="10"/>
  <c r="CC48" i="10"/>
  <c r="CY48" i="10"/>
  <c r="BC3" i="10"/>
  <c r="BB3" i="10"/>
  <c r="W80" i="10"/>
  <c r="BU48" i="10"/>
  <c r="CX48" i="10"/>
  <c r="DK48" i="10"/>
  <c r="AM3" i="10"/>
  <c r="BN3" i="10"/>
  <c r="AG80" i="10"/>
  <c r="CE48" i="10"/>
  <c r="CK48" i="10"/>
  <c r="DV48" i="10"/>
  <c r="DF48" i="10"/>
  <c r="AA3" i="10"/>
  <c r="DS48" i="10"/>
  <c r="Z3" i="10"/>
  <c r="DG48" i="10"/>
  <c r="DA48" i="10"/>
  <c r="AC3" i="10"/>
  <c r="BJ80" i="10"/>
  <c r="DY48" i="10"/>
  <c r="Y3" i="10"/>
  <c r="AF3" i="10"/>
  <c r="AL3" i="10"/>
  <c r="CD48" i="10"/>
  <c r="AE3" i="10"/>
  <c r="CB48" i="10"/>
  <c r="CJ48" i="10"/>
  <c r="DU48" i="10"/>
  <c r="DJ48" i="10"/>
  <c r="AD3" i="10"/>
  <c r="BX48" i="10"/>
  <c r="CV48" i="10"/>
  <c r="DE48" i="10"/>
  <c r="AE80" i="10"/>
  <c r="AO3" i="10"/>
  <c r="BN80" i="10"/>
  <c r="BH3" i="10"/>
  <c r="AF80" i="10"/>
  <c r="AY3" i="10"/>
  <c r="DQ80" i="10"/>
  <c r="K112" i="10"/>
  <c r="BQ80" i="10"/>
  <c r="DE80" i="10"/>
  <c r="BX80" i="10"/>
  <c r="BD3" i="10"/>
  <c r="CF80" i="10"/>
  <c r="AJ80" i="10"/>
  <c r="CX80" i="10"/>
  <c r="DV80" i="10"/>
  <c r="BF80" i="10"/>
  <c r="AB80" i="10"/>
  <c r="DU80" i="10"/>
  <c r="CX49" i="10"/>
  <c r="AZ3" i="10"/>
  <c r="CA80" i="10"/>
  <c r="AA80" i="10"/>
  <c r="CW80" i="10"/>
  <c r="AI80" i="10"/>
  <c r="BQ3" i="10"/>
  <c r="CK80" i="10"/>
  <c r="AL80" i="10"/>
  <c r="BO80" i="10"/>
  <c r="BS80" i="10"/>
  <c r="BG80" i="10"/>
  <c r="BZ80" i="10"/>
  <c r="AT80" i="10"/>
  <c r="AH80" i="10"/>
  <c r="AM80" i="10"/>
  <c r="BC80" i="10"/>
  <c r="AV80" i="10"/>
  <c r="AQ80" i="10"/>
  <c r="CS80" i="10"/>
  <c r="DX80" i="10"/>
  <c r="DH80" i="10"/>
  <c r="CD80" i="10"/>
  <c r="DO80" i="10"/>
  <c r="AW80" i="10"/>
  <c r="CB80" i="10"/>
  <c r="DS80" i="10"/>
  <c r="BK80" i="10"/>
  <c r="DC80" i="10"/>
  <c r="DT80" i="10"/>
  <c r="DP80" i="10"/>
  <c r="BL3" i="10"/>
  <c r="CQ80" i="10"/>
  <c r="AO80" i="10"/>
  <c r="AS80" i="10"/>
  <c r="CH80" i="10"/>
  <c r="BO3" i="10"/>
  <c r="AZ80" i="10"/>
  <c r="CR80" i="10"/>
  <c r="DV49" i="10"/>
  <c r="DM80" i="10"/>
  <c r="Z80" i="10"/>
  <c r="AN80" i="10"/>
  <c r="BT80" i="10"/>
  <c r="DA80" i="10"/>
  <c r="AY80" i="10"/>
  <c r="BW49" i="10"/>
  <c r="Y80" i="10"/>
  <c r="CP80" i="10"/>
  <c r="DR49" i="10"/>
  <c r="AX3" i="10"/>
  <c r="X80" i="10"/>
  <c r="BP80" i="10"/>
  <c r="BA80" i="10"/>
  <c r="DO49" i="10"/>
  <c r="CL49" i="10"/>
  <c r="DY49" i="10"/>
  <c r="DJ80" i="10"/>
  <c r="BZ49" i="10"/>
  <c r="J49" i="10"/>
  <c r="AR80" i="10"/>
  <c r="CO80" i="10"/>
  <c r="J112" i="10"/>
  <c r="CI80" i="10"/>
  <c r="BB80" i="10"/>
  <c r="DI80" i="10"/>
  <c r="AD80" i="10"/>
  <c r="DB80" i="10"/>
  <c r="AP80" i="10"/>
  <c r="AU3" i="10"/>
  <c r="BE80" i="10"/>
  <c r="CL80" i="10"/>
  <c r="AX80" i="10"/>
  <c r="DN80" i="10"/>
  <c r="AV3" i="10"/>
  <c r="DL80" i="10"/>
  <c r="CM80" i="10"/>
  <c r="CG80" i="10"/>
  <c r="CV80" i="10"/>
  <c r="DW49" i="10"/>
  <c r="AS3" i="10"/>
  <c r="DK80" i="10"/>
  <c r="CE80" i="10"/>
  <c r="BL80" i="10"/>
  <c r="DW80" i="10"/>
  <c r="BI80" i="10"/>
  <c r="DG80" i="10"/>
  <c r="BV80" i="10"/>
  <c r="CN80" i="10"/>
  <c r="BY49" i="10"/>
  <c r="CU80" i="10"/>
  <c r="BA3" i="10"/>
  <c r="CZ80" i="10"/>
  <c r="BM80" i="10"/>
  <c r="DF80" i="10"/>
  <c r="AU80" i="10"/>
  <c r="BW80" i="10"/>
  <c r="DR80" i="10"/>
  <c r="AK80" i="10"/>
  <c r="CG49" i="10"/>
  <c r="BH80" i="10"/>
  <c r="BD80" i="10"/>
  <c r="BU80" i="10"/>
  <c r="CT80" i="10"/>
  <c r="DN49" i="10"/>
  <c r="R112" i="10"/>
  <c r="DS49" i="10"/>
  <c r="O112" i="10"/>
  <c r="CF49" i="10"/>
  <c r="DG49" i="10"/>
  <c r="CJ49" i="10"/>
  <c r="CS49" i="10"/>
  <c r="CU49" i="10"/>
  <c r="DC49" i="10"/>
  <c r="BK3" i="10"/>
  <c r="BU49" i="10"/>
  <c r="CP49" i="10"/>
  <c r="BV49" i="10"/>
  <c r="DX49" i="10"/>
  <c r="AW3" i="10"/>
  <c r="DM49" i="10"/>
  <c r="CN49" i="10"/>
  <c r="CB49" i="10"/>
  <c r="CT49" i="10"/>
  <c r="DT49" i="10"/>
  <c r="DD49" i="10"/>
  <c r="DH49" i="10"/>
  <c r="DQ49" i="10"/>
  <c r="Q112" i="10"/>
  <c r="CR49" i="10"/>
  <c r="CV49" i="10"/>
  <c r="DE49" i="10"/>
  <c r="BT49" i="10"/>
  <c r="BX49" i="10"/>
  <c r="DJ49" i="10"/>
  <c r="S112" i="10"/>
  <c r="DK49" i="10"/>
  <c r="CQ49" i="10"/>
  <c r="K49" i="10"/>
  <c r="DF49" i="10"/>
  <c r="DB49" i="10"/>
  <c r="CH49" i="10"/>
  <c r="N112" i="10"/>
  <c r="CD49" i="10"/>
  <c r="BR49" i="10"/>
  <c r="DL49" i="10"/>
  <c r="CZ49" i="10"/>
  <c r="P112" i="10"/>
  <c r="DA49" i="10"/>
  <c r="CO49" i="10"/>
  <c r="DP49" i="10"/>
  <c r="CC49" i="10"/>
  <c r="DI49" i="10"/>
  <c r="M112" i="10"/>
  <c r="DU49" i="10"/>
  <c r="CY49" i="10"/>
  <c r="CE49" i="10"/>
  <c r="CW49" i="10"/>
  <c r="CM49" i="10"/>
  <c r="BS49" i="10"/>
  <c r="L112" i="10"/>
  <c r="CK49" i="10"/>
  <c r="CA49" i="10"/>
  <c r="AK3" i="10"/>
  <c r="AQ3" i="10"/>
  <c r="AP3" i="10"/>
  <c r="AN3" i="10"/>
  <c r="AR3" i="10"/>
  <c r="AJ3" i="10"/>
  <c r="AI3" i="10"/>
  <c r="AH3" i="10"/>
  <c r="AG3" i="10"/>
  <c r="CM34" i="9"/>
  <c r="CQ34" i="9"/>
  <c r="BS34" i="9"/>
  <c r="BG34" i="9"/>
  <c r="AU34" i="9"/>
  <c r="CE34" i="9"/>
  <c r="Q34" i="9"/>
  <c r="CY34" i="9"/>
  <c r="BC34" i="9"/>
  <c r="DK34" i="9"/>
  <c r="BB34" i="9"/>
  <c r="BH34" i="9"/>
  <c r="BT34" i="9"/>
  <c r="BT35" i="9" s="1"/>
  <c r="CS34" i="9"/>
  <c r="CG34" i="9"/>
  <c r="X34" i="9"/>
  <c r="DU34" i="9"/>
  <c r="CR34" i="9"/>
  <c r="CR16" i="9"/>
  <c r="CX34" i="9"/>
  <c r="CX35" i="9" s="1"/>
  <c r="BS16" i="9"/>
  <c r="BQ34" i="9"/>
  <c r="DP16" i="9"/>
  <c r="DP35" i="9" s="1"/>
  <c r="J34" i="9"/>
  <c r="J35" i="9" s="1"/>
  <c r="BY34" i="9"/>
  <c r="BY35" i="9" s="1"/>
  <c r="CE16" i="9"/>
  <c r="BP34" i="9"/>
  <c r="S34" i="9"/>
  <c r="DO16" i="9"/>
  <c r="DO35" i="9" s="1"/>
  <c r="CT34" i="9"/>
  <c r="CN16" i="9"/>
  <c r="DW34" i="9"/>
  <c r="K16" i="9"/>
  <c r="K35" i="9" s="1"/>
  <c r="DF34" i="9"/>
  <c r="CI16" i="9"/>
  <c r="CI35" i="9" s="1"/>
  <c r="AE34" i="9"/>
  <c r="CG16" i="9"/>
  <c r="DR34" i="9"/>
  <c r="AQ34" i="9"/>
  <c r="CQ16" i="9"/>
  <c r="BF34" i="9"/>
  <c r="AO34" i="9"/>
  <c r="BO34" i="9"/>
  <c r="P34" i="9"/>
  <c r="BW16" i="9"/>
  <c r="BW35" i="9" s="1"/>
  <c r="DT16" i="9"/>
  <c r="DH34" i="9"/>
  <c r="DH35" i="9" s="1"/>
  <c r="CU16" i="9"/>
  <c r="CU35" i="9" s="1"/>
  <c r="DL34" i="9"/>
  <c r="DM16" i="9"/>
  <c r="CD34" i="9"/>
  <c r="N34" i="9"/>
  <c r="CK34" i="9"/>
  <c r="CK35" i="9" s="1"/>
  <c r="AP34" i="9"/>
  <c r="CZ34" i="9"/>
  <c r="DR16" i="9"/>
  <c r="AD34" i="9"/>
  <c r="AM34" i="9"/>
  <c r="CW34" i="9"/>
  <c r="CW35" i="9" s="1"/>
  <c r="BN34" i="9"/>
  <c r="DX34" i="9"/>
  <c r="DG34" i="9"/>
  <c r="AG34" i="9"/>
  <c r="DA16" i="9"/>
  <c r="CN34" i="9"/>
  <c r="BM34" i="9"/>
  <c r="DB34" i="9"/>
  <c r="AL34" i="9"/>
  <c r="CL34" i="9"/>
  <c r="CL35" i="9" s="1"/>
  <c r="CF16" i="9"/>
  <c r="CF35" i="9" s="1"/>
  <c r="BX16" i="9"/>
  <c r="BZ34" i="9"/>
  <c r="BZ35" i="9" s="1"/>
  <c r="DN34" i="9"/>
  <c r="DS16" i="9"/>
  <c r="DS35" i="9" s="1"/>
  <c r="DB16" i="9"/>
  <c r="AK34" i="9"/>
  <c r="DG16" i="9"/>
  <c r="BV16" i="9"/>
  <c r="DC35" i="9"/>
  <c r="BI34" i="9"/>
  <c r="DL16" i="9"/>
  <c r="AZ34" i="9"/>
  <c r="CT16" i="9"/>
  <c r="BV34" i="9"/>
  <c r="CH34" i="9"/>
  <c r="AR34" i="9"/>
  <c r="BU34" i="9"/>
  <c r="BU35" i="9" s="1"/>
  <c r="DQ16" i="9"/>
  <c r="AH34" i="9"/>
  <c r="DT34" i="9"/>
  <c r="CO34" i="9"/>
  <c r="DE16" i="9"/>
  <c r="AT34" i="9"/>
  <c r="DD34" i="9"/>
  <c r="CS16" i="9"/>
  <c r="DV34" i="9"/>
  <c r="DV35" i="9" s="1"/>
  <c r="DE34" i="9"/>
  <c r="DQ34" i="9"/>
  <c r="CC16" i="9"/>
  <c r="DD16" i="9"/>
  <c r="DJ34" i="9"/>
  <c r="DJ35" i="9" s="1"/>
  <c r="BA34" i="9"/>
  <c r="CB16" i="9"/>
  <c r="DW16" i="9"/>
  <c r="M34" i="9"/>
  <c r="BX34" i="9"/>
  <c r="CD16" i="9"/>
  <c r="DN16" i="9"/>
  <c r="Y34" i="9"/>
  <c r="AS34" i="9"/>
  <c r="CV34" i="9"/>
  <c r="AB34" i="9"/>
  <c r="CA16" i="9"/>
  <c r="CA35" i="9" s="1"/>
  <c r="BL34" i="9"/>
  <c r="Z34" i="9"/>
  <c r="CY16" i="9"/>
  <c r="CY35" i="9" s="1"/>
  <c r="CP16" i="9"/>
  <c r="AX34" i="9"/>
  <c r="CH16" i="9"/>
  <c r="BE34" i="9"/>
  <c r="BD34" i="9"/>
  <c r="CO16" i="9"/>
  <c r="BR34" i="9"/>
  <c r="DM34" i="9"/>
  <c r="CM16" i="9"/>
  <c r="V34" i="9"/>
  <c r="AV34" i="9"/>
  <c r="AW34" i="9"/>
  <c r="BJ34" i="9"/>
  <c r="DF16" i="9"/>
  <c r="DF35" i="9" s="1"/>
  <c r="CV16" i="9"/>
  <c r="CC34" i="9"/>
  <c r="R34" i="9"/>
  <c r="DX16" i="9"/>
  <c r="AF34" i="9"/>
  <c r="DA34" i="9"/>
  <c r="DK16" i="9"/>
  <c r="BQ16" i="9"/>
  <c r="CB34" i="9"/>
  <c r="CP34" i="9"/>
  <c r="CZ16" i="9"/>
  <c r="DY16" i="9"/>
  <c r="DY35" i="9" s="1"/>
  <c r="DU16" i="9"/>
  <c r="CJ35" i="9"/>
  <c r="M22" i="10"/>
  <c r="L21" i="10"/>
  <c r="L49" i="10" s="1"/>
  <c r="BR16" i="9"/>
  <c r="DI35" i="9"/>
  <c r="L9" i="9"/>
  <c r="L16" i="9" s="1"/>
  <c r="L35" i="9" s="1"/>
  <c r="M10" i="9"/>
  <c r="BS35" i="9" l="1"/>
  <c r="CR35" i="9"/>
  <c r="DK35" i="9"/>
  <c r="CM35" i="9"/>
  <c r="CQ35" i="9"/>
  <c r="CE35" i="9"/>
  <c r="CS35" i="9"/>
  <c r="DR35" i="9"/>
  <c r="DL35" i="9"/>
  <c r="CG35" i="9"/>
  <c r="BQ35" i="9"/>
  <c r="DU35" i="9"/>
  <c r="CC35" i="9"/>
  <c r="CN35" i="9"/>
  <c r="DD35" i="9"/>
  <c r="DT35" i="9"/>
  <c r="CT35" i="9"/>
  <c r="DB35" i="9"/>
  <c r="BX35" i="9"/>
  <c r="BV35" i="9"/>
  <c r="CZ35" i="9"/>
  <c r="DW35" i="9"/>
  <c r="DQ35" i="9"/>
  <c r="BR35" i="9"/>
  <c r="CD35" i="9"/>
  <c r="DG35" i="9"/>
  <c r="DA35" i="9"/>
  <c r="DM35" i="9"/>
  <c r="DX35" i="9"/>
  <c r="DE35" i="9"/>
  <c r="CV35" i="9"/>
  <c r="CO35" i="9"/>
  <c r="DN35" i="9"/>
  <c r="CP35" i="9"/>
  <c r="CH35" i="9"/>
  <c r="CB35" i="9"/>
  <c r="M21" i="10"/>
  <c r="N22" i="10"/>
  <c r="N10" i="9"/>
  <c r="M9" i="9"/>
  <c r="M16" i="9" s="1"/>
  <c r="M35" i="9" s="1"/>
  <c r="M49" i="10" l="1"/>
  <c r="O22" i="10"/>
  <c r="N21" i="10"/>
  <c r="N9" i="9"/>
  <c r="N16" i="9" s="1"/>
  <c r="N35" i="9" s="1"/>
  <c r="O10" i="9"/>
  <c r="N49" i="10" l="1"/>
  <c r="P22" i="10"/>
  <c r="O21" i="10"/>
  <c r="P10" i="9"/>
  <c r="O9" i="9"/>
  <c r="O16" i="9" s="1"/>
  <c r="O35" i="9" s="1"/>
  <c r="O49" i="10" l="1"/>
  <c r="Q22" i="10"/>
  <c r="P21" i="10"/>
  <c r="P9" i="9"/>
  <c r="P16" i="9" s="1"/>
  <c r="P35" i="9" s="1"/>
  <c r="Q10" i="9"/>
  <c r="P49" i="10" l="1"/>
  <c r="R22" i="10"/>
  <c r="Q21" i="10"/>
  <c r="Q9" i="9"/>
  <c r="Q16" i="9" s="1"/>
  <c r="Q35" i="9" s="1"/>
  <c r="R10" i="9"/>
  <c r="Q49" i="10" l="1"/>
  <c r="S22" i="10"/>
  <c r="R21" i="10"/>
  <c r="R9" i="9"/>
  <c r="R16" i="9" s="1"/>
  <c r="R35" i="9" s="1"/>
  <c r="S10" i="9"/>
  <c r="R49" i="10" l="1"/>
  <c r="T22" i="10"/>
  <c r="S21" i="10"/>
  <c r="T10" i="9"/>
  <c r="S9" i="9"/>
  <c r="S16" i="9" s="1"/>
  <c r="S35" i="9" s="1"/>
  <c r="S49" i="10" l="1"/>
  <c r="T21" i="10"/>
  <c r="U22" i="10"/>
  <c r="U23" i="10" s="1"/>
  <c r="T9" i="9"/>
  <c r="T16" i="9" s="1"/>
  <c r="T35" i="9" s="1"/>
  <c r="U10" i="9"/>
  <c r="V23" i="10" l="1"/>
  <c r="U46" i="10"/>
  <c r="T49" i="10"/>
  <c r="V22" i="10"/>
  <c r="U21" i="10"/>
  <c r="U49" i="10" s="1"/>
  <c r="V10" i="9"/>
  <c r="U9" i="9"/>
  <c r="U16" i="9" s="1"/>
  <c r="U35" i="9" s="1"/>
  <c r="W23" i="10" l="1"/>
  <c r="W22" i="10"/>
  <c r="V21" i="10"/>
  <c r="V49" i="10" s="1"/>
  <c r="W10" i="9"/>
  <c r="V9" i="9"/>
  <c r="V16" i="9" s="1"/>
  <c r="V35" i="9" s="1"/>
  <c r="X23" i="10" l="1"/>
  <c r="W21" i="10"/>
  <c r="W49" i="10" s="1"/>
  <c r="X22" i="10"/>
  <c r="X10" i="9"/>
  <c r="W9" i="9"/>
  <c r="W16" i="9" s="1"/>
  <c r="W35" i="9" s="1"/>
  <c r="Y23" i="10" l="1"/>
  <c r="Y22" i="10"/>
  <c r="X21" i="10"/>
  <c r="X49" i="10" s="1"/>
  <c r="X9" i="9"/>
  <c r="X16" i="9" s="1"/>
  <c r="X35" i="9" s="1"/>
  <c r="Y10" i="9"/>
  <c r="Z23" i="10" l="1"/>
  <c r="Y21" i="10"/>
  <c r="Y49" i="10" s="1"/>
  <c r="Z22" i="10"/>
  <c r="Z10" i="9"/>
  <c r="Y9" i="9"/>
  <c r="Y16" i="9" s="1"/>
  <c r="Y35" i="9" s="1"/>
  <c r="AA23" i="10" l="1"/>
  <c r="AA22" i="10"/>
  <c r="Z21" i="10"/>
  <c r="Z49" i="10" s="1"/>
  <c r="AA10" i="9"/>
  <c r="Z9" i="9"/>
  <c r="Z16" i="9" s="1"/>
  <c r="Z35" i="9" s="1"/>
  <c r="AB23" i="10" l="1"/>
  <c r="AB22" i="10"/>
  <c r="AA21" i="10"/>
  <c r="AA49" i="10" s="1"/>
  <c r="AB10" i="9"/>
  <c r="AA9" i="9"/>
  <c r="AA16" i="9" s="1"/>
  <c r="AA35" i="9" s="1"/>
  <c r="AC23" i="10" l="1"/>
  <c r="AC22" i="10"/>
  <c r="AB21" i="10"/>
  <c r="AB49" i="10" s="1"/>
  <c r="AB9" i="9"/>
  <c r="AB16" i="9" s="1"/>
  <c r="AB35" i="9" s="1"/>
  <c r="AC10" i="9"/>
  <c r="AD23" i="10" l="1"/>
  <c r="AD22" i="10"/>
  <c r="AC21" i="10"/>
  <c r="AC49" i="10" s="1"/>
  <c r="AC9" i="9"/>
  <c r="AC16" i="9" s="1"/>
  <c r="AC35" i="9" s="1"/>
  <c r="AD10" i="9"/>
  <c r="AE23" i="10" l="1"/>
  <c r="AE22" i="10"/>
  <c r="AD21" i="10"/>
  <c r="AD49" i="10" s="1"/>
  <c r="AD9" i="9"/>
  <c r="AD16" i="9" s="1"/>
  <c r="AD35" i="9" s="1"/>
  <c r="AE10" i="9"/>
  <c r="AF23" i="10" l="1"/>
  <c r="AF22" i="10"/>
  <c r="AE21" i="10"/>
  <c r="AE49" i="10" s="1"/>
  <c r="AF10" i="9"/>
  <c r="AE9" i="9"/>
  <c r="AE16" i="9" s="1"/>
  <c r="AE35" i="9" s="1"/>
  <c r="AG23" i="10" l="1"/>
  <c r="AG22" i="10"/>
  <c r="AF21" i="10"/>
  <c r="AF49" i="10" s="1"/>
  <c r="AG10" i="9"/>
  <c r="AF9" i="9"/>
  <c r="AF16" i="9" s="1"/>
  <c r="AF35" i="9" s="1"/>
  <c r="AH23" i="10" l="1"/>
  <c r="AG24" i="10"/>
  <c r="AI19" i="10"/>
  <c r="AH22" i="10"/>
  <c r="AH10" i="9"/>
  <c r="AG9" i="9"/>
  <c r="AG16" i="9" s="1"/>
  <c r="AG35" i="9" s="1"/>
  <c r="AI23" i="10" l="1"/>
  <c r="AH24" i="10"/>
  <c r="AG47" i="10"/>
  <c r="AG21" i="10"/>
  <c r="AG49" i="10" s="1"/>
  <c r="AI22" i="10"/>
  <c r="AI10" i="9"/>
  <c r="AH9" i="9"/>
  <c r="AH16" i="9" s="1"/>
  <c r="AH35" i="9" s="1"/>
  <c r="AI24" i="10" l="1"/>
  <c r="AH47" i="10"/>
  <c r="AJ23" i="10"/>
  <c r="AH21" i="10"/>
  <c r="AH49" i="10" s="1"/>
  <c r="AJ22" i="10"/>
  <c r="AJ10" i="9"/>
  <c r="AI9" i="9"/>
  <c r="AI16" i="9" s="1"/>
  <c r="AI35" i="9" s="1"/>
  <c r="AK23" i="10" l="1"/>
  <c r="AJ24" i="10"/>
  <c r="AI47" i="10"/>
  <c r="AI21" i="10"/>
  <c r="AI49" i="10" s="1"/>
  <c r="AK22" i="10"/>
  <c r="AJ9" i="9"/>
  <c r="AJ16" i="9" s="1"/>
  <c r="AJ35" i="9" s="1"/>
  <c r="AK10" i="9"/>
  <c r="AK24" i="10" l="1"/>
  <c r="AJ47" i="10"/>
  <c r="AL23" i="10"/>
  <c r="AJ21" i="10"/>
  <c r="AJ49" i="10" s="1"/>
  <c r="AL22" i="10"/>
  <c r="AL10" i="9"/>
  <c r="AK9" i="9"/>
  <c r="AK16" i="9" s="1"/>
  <c r="AK35" i="9" s="1"/>
  <c r="AL24" i="10" l="1"/>
  <c r="AK47" i="10"/>
  <c r="AM23" i="10"/>
  <c r="AK21" i="10"/>
  <c r="AK49" i="10" s="1"/>
  <c r="AM22" i="10"/>
  <c r="AL9" i="9"/>
  <c r="AL16" i="9" s="1"/>
  <c r="AL35" i="9" s="1"/>
  <c r="AM10" i="9"/>
  <c r="AM24" i="10" l="1"/>
  <c r="AM21" i="10" s="1"/>
  <c r="AM49" i="10" s="1"/>
  <c r="AL47" i="10"/>
  <c r="AN23" i="10"/>
  <c r="AL21" i="10"/>
  <c r="AL49" i="10" s="1"/>
  <c r="AN22" i="10"/>
  <c r="AN10" i="9"/>
  <c r="AM9" i="9"/>
  <c r="AM16" i="9" s="1"/>
  <c r="AM35" i="9" s="1"/>
  <c r="AO23" i="10" l="1"/>
  <c r="AN24" i="10"/>
  <c r="AN21" i="10" s="1"/>
  <c r="AN49" i="10" s="1"/>
  <c r="AM47" i="10"/>
  <c r="AO22" i="10"/>
  <c r="AN9" i="9"/>
  <c r="AN16" i="9" s="1"/>
  <c r="AN35" i="9" s="1"/>
  <c r="AO10" i="9"/>
  <c r="AO24" i="10" l="1"/>
  <c r="AO21" i="10" s="1"/>
  <c r="AO49" i="10" s="1"/>
  <c r="AN47" i="10"/>
  <c r="AP23" i="10"/>
  <c r="AP22" i="10"/>
  <c r="AP10" i="9"/>
  <c r="AO9" i="9"/>
  <c r="AO16" i="9" s="1"/>
  <c r="AO35" i="9" s="1"/>
  <c r="AQ23" i="10" l="1"/>
  <c r="AP24" i="10"/>
  <c r="AO47" i="10"/>
  <c r="AQ22" i="10"/>
  <c r="AP9" i="9"/>
  <c r="AP16" i="9" s="1"/>
  <c r="AP35" i="9" s="1"/>
  <c r="AQ10" i="9"/>
  <c r="AQ24" i="10" l="1"/>
  <c r="AP47" i="10"/>
  <c r="AP21" i="10"/>
  <c r="AP49" i="10" s="1"/>
  <c r="AR23" i="10"/>
  <c r="AR22" i="10"/>
  <c r="AR10" i="9"/>
  <c r="AQ9" i="9"/>
  <c r="AQ16" i="9" s="1"/>
  <c r="AQ35" i="9" s="1"/>
  <c r="AR24" i="10" l="1"/>
  <c r="AR21" i="10" s="1"/>
  <c r="AR49" i="10" s="1"/>
  <c r="AQ47" i="10"/>
  <c r="AQ21" i="10"/>
  <c r="AQ49" i="10" s="1"/>
  <c r="AS23" i="10"/>
  <c r="AS22" i="10"/>
  <c r="AS25" i="10" s="1"/>
  <c r="AR9" i="9"/>
  <c r="AR16" i="9" s="1"/>
  <c r="AR35" i="9" s="1"/>
  <c r="AS10" i="9"/>
  <c r="AS24" i="10" l="1"/>
  <c r="AS21" i="10" s="1"/>
  <c r="AS49" i="10" s="1"/>
  <c r="AR47" i="10"/>
  <c r="AT25" i="10"/>
  <c r="AS48" i="10"/>
  <c r="AT23" i="10"/>
  <c r="AT22" i="10"/>
  <c r="AT10" i="9"/>
  <c r="AS9" i="9"/>
  <c r="AS16" i="9" s="1"/>
  <c r="AS35" i="9" s="1"/>
  <c r="AU25" i="10" l="1"/>
  <c r="AT48" i="10"/>
  <c r="AT24" i="10"/>
  <c r="AT21" i="10" s="1"/>
  <c r="AT49" i="10" s="1"/>
  <c r="AS47" i="10"/>
  <c r="AU23" i="10"/>
  <c r="AU22" i="10"/>
  <c r="AU10" i="9"/>
  <c r="AT9" i="9"/>
  <c r="AT16" i="9" s="1"/>
  <c r="AT35" i="9" s="1"/>
  <c r="AU24" i="10" l="1"/>
  <c r="AT47" i="10"/>
  <c r="AV25" i="10"/>
  <c r="AU48" i="10"/>
  <c r="AV23" i="10"/>
  <c r="AV22" i="10"/>
  <c r="AV10" i="9"/>
  <c r="AU9" i="9"/>
  <c r="AU16" i="9" s="1"/>
  <c r="AU35" i="9" s="1"/>
  <c r="AW25" i="10" l="1"/>
  <c r="AV48" i="10"/>
  <c r="AV24" i="10"/>
  <c r="AU47" i="10"/>
  <c r="AU21" i="10"/>
  <c r="AU49" i="10" s="1"/>
  <c r="AW23" i="10"/>
  <c r="AW22" i="10"/>
  <c r="AV9" i="9"/>
  <c r="AV16" i="9" s="1"/>
  <c r="AV35" i="9" s="1"/>
  <c r="AW10" i="9"/>
  <c r="AW24" i="10" l="1"/>
  <c r="AW21" i="10" s="1"/>
  <c r="AW49" i="10" s="1"/>
  <c r="AV47" i="10"/>
  <c r="AX25" i="10"/>
  <c r="AW48" i="10"/>
  <c r="AV21" i="10"/>
  <c r="AV49" i="10" s="1"/>
  <c r="AX23" i="10"/>
  <c r="AX22" i="10"/>
  <c r="AX10" i="9"/>
  <c r="AW9" i="9"/>
  <c r="AW16" i="9" s="1"/>
  <c r="AW35" i="9" s="1"/>
  <c r="AY25" i="10" l="1"/>
  <c r="AX48" i="10"/>
  <c r="AX24" i="10"/>
  <c r="AX21" i="10" s="1"/>
  <c r="AX49" i="10" s="1"/>
  <c r="AW47" i="10"/>
  <c r="AY23" i="10"/>
  <c r="AY22" i="10"/>
  <c r="AX9" i="9"/>
  <c r="AX16" i="9" s="1"/>
  <c r="AX35" i="9" s="1"/>
  <c r="AY10" i="9"/>
  <c r="AY24" i="10" l="1"/>
  <c r="AX47" i="10"/>
  <c r="AZ25" i="10"/>
  <c r="AY48" i="10"/>
  <c r="AZ23" i="10"/>
  <c r="AZ22" i="10"/>
  <c r="AZ10" i="9"/>
  <c r="AY9" i="9"/>
  <c r="AY16" i="9" s="1"/>
  <c r="AY35" i="9" s="1"/>
  <c r="BA25" i="10" l="1"/>
  <c r="AZ48" i="10"/>
  <c r="AZ24" i="10"/>
  <c r="AY47" i="10"/>
  <c r="AY21" i="10"/>
  <c r="AY49" i="10" s="1"/>
  <c r="BA23" i="10"/>
  <c r="BA22" i="10"/>
  <c r="AZ9" i="9"/>
  <c r="AZ16" i="9" s="1"/>
  <c r="AZ35" i="9" s="1"/>
  <c r="BA10" i="9"/>
  <c r="BA24" i="10" l="1"/>
  <c r="AZ47" i="10"/>
  <c r="BB25" i="10"/>
  <c r="BA48" i="10"/>
  <c r="AZ21" i="10"/>
  <c r="AZ49" i="10" s="1"/>
  <c r="BB23" i="10"/>
  <c r="BB22" i="10"/>
  <c r="BA9" i="9"/>
  <c r="BA16" i="9" s="1"/>
  <c r="BA35" i="9" s="1"/>
  <c r="BB10" i="9"/>
  <c r="BC25" i="10" l="1"/>
  <c r="BB48" i="10"/>
  <c r="BB24" i="10"/>
  <c r="BA47" i="10"/>
  <c r="BA21" i="10"/>
  <c r="BA49" i="10" s="1"/>
  <c r="BC23" i="10"/>
  <c r="BC22" i="10"/>
  <c r="BC10" i="9"/>
  <c r="BB9" i="9"/>
  <c r="BB16" i="9" s="1"/>
  <c r="BB35" i="9" s="1"/>
  <c r="BC24" i="10" l="1"/>
  <c r="BC21" i="10" s="1"/>
  <c r="BC49" i="10" s="1"/>
  <c r="BB47" i="10"/>
  <c r="BD25" i="10"/>
  <c r="BC48" i="10"/>
  <c r="BB21" i="10"/>
  <c r="BB49" i="10" s="1"/>
  <c r="BD23" i="10"/>
  <c r="BD22" i="10"/>
  <c r="BD10" i="9"/>
  <c r="BC9" i="9"/>
  <c r="BC16" i="9" s="1"/>
  <c r="BC35" i="9" s="1"/>
  <c r="BE23" i="10" l="1"/>
  <c r="BE25" i="10"/>
  <c r="BD48" i="10"/>
  <c r="BD24" i="10"/>
  <c r="BC47" i="10"/>
  <c r="BE22" i="10"/>
  <c r="BD21" i="10"/>
  <c r="BD49" i="10" s="1"/>
  <c r="BE10" i="9"/>
  <c r="BD9" i="9"/>
  <c r="BD16" i="9" s="1"/>
  <c r="BD35" i="9" s="1"/>
  <c r="BF25" i="10" l="1"/>
  <c r="BE48" i="10"/>
  <c r="BF23" i="10"/>
  <c r="BE24" i="10"/>
  <c r="BD47" i="10"/>
  <c r="BF22" i="10"/>
  <c r="BE21" i="10"/>
  <c r="BE49" i="10" s="1"/>
  <c r="BF10" i="9"/>
  <c r="BE9" i="9"/>
  <c r="BE16" i="9" s="1"/>
  <c r="BE35" i="9" s="1"/>
  <c r="BG23" i="10" l="1"/>
  <c r="BG25" i="10"/>
  <c r="BF48" i="10"/>
  <c r="BF24" i="10"/>
  <c r="BE47" i="10"/>
  <c r="BG22" i="10"/>
  <c r="BF21" i="10"/>
  <c r="BF49" i="10" s="1"/>
  <c r="BG10" i="9"/>
  <c r="BF9" i="9"/>
  <c r="BF16" i="9" s="1"/>
  <c r="BF35" i="9" s="1"/>
  <c r="BH25" i="10" l="1"/>
  <c r="BG48" i="10"/>
  <c r="BH23" i="10"/>
  <c r="BG24" i="10"/>
  <c r="BF47" i="10"/>
  <c r="BH22" i="10"/>
  <c r="BG21" i="10"/>
  <c r="BG49" i="10" s="1"/>
  <c r="BH10" i="9"/>
  <c r="BG9" i="9"/>
  <c r="BG16" i="9" s="1"/>
  <c r="BG35" i="9" s="1"/>
  <c r="BI23" i="10" l="1"/>
  <c r="BI25" i="10"/>
  <c r="BH48" i="10"/>
  <c r="BH24" i="10"/>
  <c r="BG47" i="10"/>
  <c r="BI22" i="10"/>
  <c r="BH21" i="10"/>
  <c r="BH49" i="10" s="1"/>
  <c r="BH9" i="9"/>
  <c r="BH16" i="9" s="1"/>
  <c r="BH35" i="9" s="1"/>
  <c r="BI10" i="9"/>
  <c r="BJ25" i="10" l="1"/>
  <c r="BI48" i="10"/>
  <c r="BJ23" i="10"/>
  <c r="BI24" i="10"/>
  <c r="BH47" i="10"/>
  <c r="BI21" i="10"/>
  <c r="BI49" i="10" s="1"/>
  <c r="BJ22" i="10"/>
  <c r="BJ10" i="9"/>
  <c r="BI9" i="9"/>
  <c r="BI16" i="9" s="1"/>
  <c r="BI35" i="9" s="1"/>
  <c r="BK25" i="10" l="1"/>
  <c r="BJ48" i="10"/>
  <c r="BK23" i="10"/>
  <c r="BJ24" i="10"/>
  <c r="BI47" i="10"/>
  <c r="BK22" i="10"/>
  <c r="BJ21" i="10"/>
  <c r="BJ49" i="10" s="1"/>
  <c r="BK10" i="9"/>
  <c r="BJ9" i="9"/>
  <c r="BJ16" i="9" s="1"/>
  <c r="BJ35" i="9" s="1"/>
  <c r="BL23" i="10" l="1"/>
  <c r="BL25" i="10"/>
  <c r="BK48" i="10"/>
  <c r="BK24" i="10"/>
  <c r="BJ47" i="10"/>
  <c r="BL22" i="10"/>
  <c r="BK21" i="10"/>
  <c r="BK49" i="10" s="1"/>
  <c r="BL10" i="9"/>
  <c r="BK9" i="9"/>
  <c r="BK16" i="9" s="1"/>
  <c r="BK35" i="9" s="1"/>
  <c r="BM25" i="10" l="1"/>
  <c r="BL48" i="10"/>
  <c r="BM23" i="10"/>
  <c r="BL24" i="10"/>
  <c r="BK47" i="10"/>
  <c r="BM22" i="10"/>
  <c r="BL21" i="10"/>
  <c r="BL49" i="10" s="1"/>
  <c r="BL9" i="9"/>
  <c r="BL16" i="9" s="1"/>
  <c r="BL35" i="9" s="1"/>
  <c r="BM10" i="9"/>
  <c r="BN23" i="10" l="1"/>
  <c r="BN25" i="10"/>
  <c r="BM48" i="10"/>
  <c r="BM24" i="10"/>
  <c r="BL47" i="10"/>
  <c r="BN22" i="10"/>
  <c r="BM21" i="10"/>
  <c r="BM49" i="10" s="1"/>
  <c r="BM9" i="9"/>
  <c r="BM16" i="9" s="1"/>
  <c r="BM35" i="9" s="1"/>
  <c r="BN10" i="9"/>
  <c r="BO25" i="10" l="1"/>
  <c r="BN48" i="10"/>
  <c r="BO23" i="10"/>
  <c r="BN24" i="10"/>
  <c r="BM47" i="10"/>
  <c r="BO22" i="10"/>
  <c r="BN21" i="10"/>
  <c r="BN49" i="10" s="1"/>
  <c r="BN9" i="9"/>
  <c r="BN16" i="9" s="1"/>
  <c r="BN35" i="9" s="1"/>
  <c r="BO10" i="9"/>
  <c r="BP23" i="10" l="1"/>
  <c r="BP25" i="10"/>
  <c r="BO48" i="10"/>
  <c r="BO24" i="10"/>
  <c r="BN47" i="10"/>
  <c r="BO21" i="10"/>
  <c r="BO49" i="10" s="1"/>
  <c r="BP22" i="10"/>
  <c r="BP10" i="9"/>
  <c r="BP9" i="9" s="1"/>
  <c r="BP16" i="9" s="1"/>
  <c r="BP35" i="9" s="1"/>
  <c r="BO9" i="9"/>
  <c r="BO16" i="9" s="1"/>
  <c r="BO35" i="9" s="1"/>
  <c r="BQ23" i="10" l="1"/>
  <c r="BQ25" i="10"/>
  <c r="BP48" i="10"/>
  <c r="BP24" i="10"/>
  <c r="BP21" i="10" s="1"/>
  <c r="BP49" i="10" s="1"/>
  <c r="BO47" i="10"/>
  <c r="H35" i="1"/>
  <c r="G35" i="1"/>
  <c r="N21" i="1"/>
  <c r="O21" i="1"/>
  <c r="P21" i="1"/>
  <c r="Q21" i="1"/>
  <c r="R21" i="1"/>
  <c r="S21" i="1"/>
  <c r="T21" i="1"/>
  <c r="U21" i="1"/>
  <c r="V21" i="1"/>
  <c r="W21" i="1"/>
  <c r="X21" i="1"/>
  <c r="Y21" i="1"/>
  <c r="Z21" i="1"/>
  <c r="AA21" i="1"/>
  <c r="AB21" i="1"/>
  <c r="AC21" i="1"/>
  <c r="AD21" i="1"/>
  <c r="AE21" i="1"/>
  <c r="AF21" i="1"/>
  <c r="AG21" i="1"/>
  <c r="AH21" i="1"/>
  <c r="AI21" i="1"/>
  <c r="AJ21" i="1"/>
  <c r="AK21" i="1"/>
  <c r="AL21" i="1"/>
  <c r="AM21" i="1"/>
  <c r="AN21" i="1"/>
  <c r="AO21" i="1"/>
  <c r="AP21" i="1"/>
  <c r="AQ21" i="1"/>
  <c r="AR21" i="1"/>
  <c r="AS21" i="1"/>
  <c r="AT21" i="1"/>
  <c r="AU21" i="1"/>
  <c r="AV21" i="1"/>
  <c r="AW21" i="1"/>
  <c r="AX21" i="1"/>
  <c r="AY21" i="1"/>
  <c r="AZ21" i="1"/>
  <c r="BA21" i="1"/>
  <c r="BB21" i="1"/>
  <c r="BC21" i="1"/>
  <c r="BD21" i="1"/>
  <c r="BE21" i="1"/>
  <c r="BF21" i="1"/>
  <c r="BG21" i="1"/>
  <c r="BH21" i="1"/>
  <c r="BI21" i="1"/>
  <c r="BJ21" i="1"/>
  <c r="BK21" i="1"/>
  <c r="BL21" i="1"/>
  <c r="BM21" i="1"/>
  <c r="BN21" i="1"/>
  <c r="BO21" i="1"/>
  <c r="BP21" i="1"/>
  <c r="BQ21" i="1"/>
  <c r="BR21" i="1"/>
  <c r="BS21" i="1"/>
  <c r="BT21" i="1"/>
  <c r="BU21" i="1"/>
  <c r="BV21" i="1"/>
  <c r="BW21" i="1"/>
  <c r="BX21" i="1"/>
  <c r="BY21" i="1"/>
  <c r="BZ21" i="1"/>
  <c r="CA21" i="1"/>
  <c r="CB21" i="1"/>
  <c r="CC21" i="1"/>
  <c r="CD21" i="1"/>
  <c r="CE21" i="1"/>
  <c r="CF21" i="1"/>
  <c r="CG21" i="1"/>
  <c r="CH21" i="1"/>
  <c r="CI21" i="1"/>
  <c r="CJ21" i="1"/>
  <c r="CK21" i="1"/>
  <c r="CL21" i="1"/>
  <c r="CM21" i="1"/>
  <c r="CN21" i="1"/>
  <c r="CO21" i="1"/>
  <c r="CP21" i="1"/>
  <c r="CQ21" i="1"/>
  <c r="CR21" i="1"/>
  <c r="CS21" i="1"/>
  <c r="CT21" i="1"/>
  <c r="CU21" i="1"/>
  <c r="CV21" i="1"/>
  <c r="CW21" i="1"/>
  <c r="CX21" i="1"/>
  <c r="CY21" i="1"/>
  <c r="CZ21" i="1"/>
  <c r="DA21" i="1"/>
  <c r="DB21" i="1"/>
  <c r="DC21" i="1"/>
  <c r="DD21" i="1"/>
  <c r="DE21" i="1"/>
  <c r="DF21" i="1"/>
  <c r="DG21" i="1"/>
  <c r="DH21" i="1"/>
  <c r="DI21" i="1"/>
  <c r="DJ21" i="1"/>
  <c r="DK21" i="1"/>
  <c r="DL21" i="1"/>
  <c r="DM21" i="1"/>
  <c r="DN21" i="1"/>
  <c r="DO21" i="1"/>
  <c r="DP21" i="1"/>
  <c r="DQ21" i="1"/>
  <c r="DR21" i="1"/>
  <c r="DS21" i="1"/>
  <c r="DT21" i="1"/>
  <c r="DU21" i="1"/>
  <c r="DV21" i="1"/>
  <c r="DW21" i="1"/>
  <c r="DX21" i="1"/>
  <c r="DY21" i="1"/>
  <c r="N22" i="1"/>
  <c r="O22" i="1"/>
  <c r="P22" i="1"/>
  <c r="Q22" i="1"/>
  <c r="R22" i="1"/>
  <c r="S22" i="1"/>
  <c r="T22" i="1"/>
  <c r="U22" i="1"/>
  <c r="V22" i="1"/>
  <c r="W22" i="1"/>
  <c r="X22" i="1"/>
  <c r="Y22" i="1"/>
  <c r="Z22" i="1"/>
  <c r="AA22" i="1"/>
  <c r="AB22" i="1"/>
  <c r="AC22" i="1"/>
  <c r="AD22" i="1"/>
  <c r="AE22" i="1"/>
  <c r="AF22" i="1"/>
  <c r="AG22" i="1"/>
  <c r="AH22" i="1"/>
  <c r="AI22" i="1"/>
  <c r="AJ22" i="1"/>
  <c r="AK22" i="1"/>
  <c r="AL22" i="1"/>
  <c r="AM22" i="1"/>
  <c r="AN22" i="1"/>
  <c r="AO22" i="1"/>
  <c r="AP22" i="1"/>
  <c r="AQ22" i="1"/>
  <c r="AR22" i="1"/>
  <c r="AS22" i="1"/>
  <c r="AT22" i="1"/>
  <c r="AU22" i="1"/>
  <c r="AV22" i="1"/>
  <c r="AW22" i="1"/>
  <c r="AX22" i="1"/>
  <c r="AY22" i="1"/>
  <c r="AZ22" i="1"/>
  <c r="BA22" i="1"/>
  <c r="BB22" i="1"/>
  <c r="BC22" i="1"/>
  <c r="BD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B22" i="1"/>
  <c r="DC22" i="1"/>
  <c r="DD22" i="1"/>
  <c r="DE22" i="1"/>
  <c r="DF22" i="1"/>
  <c r="DG22" i="1"/>
  <c r="DH22" i="1"/>
  <c r="DI22" i="1"/>
  <c r="DJ22" i="1"/>
  <c r="DK22" i="1"/>
  <c r="DL22" i="1"/>
  <c r="DM22" i="1"/>
  <c r="DN22" i="1"/>
  <c r="DO22" i="1"/>
  <c r="DP22" i="1"/>
  <c r="DQ22" i="1"/>
  <c r="DR22" i="1"/>
  <c r="DS22" i="1"/>
  <c r="DT22" i="1"/>
  <c r="DU22" i="1"/>
  <c r="DV22" i="1"/>
  <c r="DW22" i="1"/>
  <c r="DX22" i="1"/>
  <c r="DY22" i="1"/>
  <c r="K21" i="1"/>
  <c r="L21" i="1"/>
  <c r="M21" i="1"/>
  <c r="K22" i="1"/>
  <c r="L22" i="1"/>
  <c r="M22" i="1"/>
  <c r="J21" i="1"/>
  <c r="K18" i="1"/>
  <c r="L18" i="1"/>
  <c r="M18" i="1"/>
  <c r="N18" i="1"/>
  <c r="O18" i="1"/>
  <c r="P18" i="1"/>
  <c r="Q18" i="1"/>
  <c r="R18" i="1"/>
  <c r="S18" i="1"/>
  <c r="T18" i="1"/>
  <c r="U18" i="1"/>
  <c r="V18" i="1"/>
  <c r="W18" i="1"/>
  <c r="X18" i="1"/>
  <c r="Y18" i="1"/>
  <c r="Z18" i="1"/>
  <c r="AA18" i="1"/>
  <c r="AB18" i="1"/>
  <c r="AC18" i="1"/>
  <c r="AD18" i="1"/>
  <c r="AE18" i="1"/>
  <c r="AF18" i="1"/>
  <c r="AG18" i="1"/>
  <c r="AH18" i="1"/>
  <c r="AI18" i="1"/>
  <c r="AJ18" i="1"/>
  <c r="AK18" i="1"/>
  <c r="AL18" i="1"/>
  <c r="AM18" i="1"/>
  <c r="AN18" i="1"/>
  <c r="AO18" i="1"/>
  <c r="AP18" i="1"/>
  <c r="AQ18" i="1"/>
  <c r="AR18" i="1"/>
  <c r="AS18" i="1"/>
  <c r="AT18" i="1"/>
  <c r="AU18" i="1"/>
  <c r="AV18" i="1"/>
  <c r="AW18" i="1"/>
  <c r="AX18" i="1"/>
  <c r="AY18" i="1"/>
  <c r="AZ18" i="1"/>
  <c r="BA18" i="1"/>
  <c r="BB18" i="1"/>
  <c r="BC18" i="1"/>
  <c r="BD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B18" i="1"/>
  <c r="DC18" i="1"/>
  <c r="DD18" i="1"/>
  <c r="DE18" i="1"/>
  <c r="DF18" i="1"/>
  <c r="DG18" i="1"/>
  <c r="DH18" i="1"/>
  <c r="DI18" i="1"/>
  <c r="DJ18" i="1"/>
  <c r="DK18" i="1"/>
  <c r="DL18" i="1"/>
  <c r="DM18" i="1"/>
  <c r="DN18" i="1"/>
  <c r="DO18" i="1"/>
  <c r="DP18" i="1"/>
  <c r="DQ18" i="1"/>
  <c r="DR18" i="1"/>
  <c r="DS18" i="1"/>
  <c r="DT18" i="1"/>
  <c r="DU18" i="1"/>
  <c r="DV18" i="1"/>
  <c r="DW18" i="1"/>
  <c r="DX18" i="1"/>
  <c r="DY18" i="1"/>
  <c r="J18" i="1"/>
  <c r="BQ10" i="1"/>
  <c r="BR10" i="1"/>
  <c r="BS10" i="1"/>
  <c r="BT10" i="1"/>
  <c r="BU10" i="1"/>
  <c r="BV10" i="1"/>
  <c r="BW10" i="1"/>
  <c r="BX10" i="1"/>
  <c r="BY10" i="1"/>
  <c r="BZ10" i="1"/>
  <c r="CA10" i="1"/>
  <c r="CB10" i="1"/>
  <c r="CC10" i="1"/>
  <c r="CD10" i="1"/>
  <c r="CE10" i="1"/>
  <c r="CF10" i="1"/>
  <c r="CG10" i="1"/>
  <c r="CH10" i="1"/>
  <c r="CI10" i="1"/>
  <c r="CJ10" i="1"/>
  <c r="CK10" i="1"/>
  <c r="CL10" i="1"/>
  <c r="CM10" i="1"/>
  <c r="CN10" i="1"/>
  <c r="CO10" i="1"/>
  <c r="CP10" i="1"/>
  <c r="CQ10" i="1"/>
  <c r="CR10" i="1"/>
  <c r="CS10" i="1"/>
  <c r="CT10" i="1"/>
  <c r="CU10" i="1"/>
  <c r="CV10" i="1"/>
  <c r="CW10" i="1"/>
  <c r="CX10" i="1"/>
  <c r="CY10" i="1"/>
  <c r="CZ10" i="1"/>
  <c r="DA10" i="1"/>
  <c r="DB10" i="1"/>
  <c r="DC10" i="1"/>
  <c r="DD10" i="1"/>
  <c r="DE10" i="1"/>
  <c r="DF10" i="1"/>
  <c r="DG10" i="1"/>
  <c r="DH10" i="1"/>
  <c r="DI10" i="1"/>
  <c r="DJ10" i="1"/>
  <c r="DK10" i="1"/>
  <c r="DL10" i="1"/>
  <c r="DM10" i="1"/>
  <c r="DN10" i="1"/>
  <c r="DO10" i="1"/>
  <c r="DP10" i="1"/>
  <c r="DQ10" i="1"/>
  <c r="DR10" i="1"/>
  <c r="DS10" i="1"/>
  <c r="DT10" i="1"/>
  <c r="DU10" i="1"/>
  <c r="DV10" i="1"/>
  <c r="DW10" i="1"/>
  <c r="DX10" i="1"/>
  <c r="DY10" i="1"/>
  <c r="S11" i="1"/>
  <c r="T11" i="1"/>
  <c r="U11" i="1"/>
  <c r="V11" i="1"/>
  <c r="W11" i="1"/>
  <c r="X11" i="1"/>
  <c r="Y11" i="1"/>
  <c r="Z11" i="1"/>
  <c r="AA11" i="1"/>
  <c r="AB11" i="1"/>
  <c r="AC11" i="1"/>
  <c r="AD11" i="1"/>
  <c r="AE11" i="1"/>
  <c r="AF11" i="1"/>
  <c r="AG11" i="1"/>
  <c r="AH11" i="1"/>
  <c r="AI11" i="1"/>
  <c r="AJ11" i="1"/>
  <c r="AK11" i="1"/>
  <c r="AL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T11" i="1"/>
  <c r="BU11" i="1"/>
  <c r="BV11" i="1"/>
  <c r="BW11" i="1"/>
  <c r="BX11" i="1"/>
  <c r="BY11" i="1"/>
  <c r="BZ11" i="1"/>
  <c r="CA11" i="1"/>
  <c r="CB11" i="1"/>
  <c r="CC11" i="1"/>
  <c r="CD11" i="1"/>
  <c r="CE11" i="1"/>
  <c r="CF11" i="1"/>
  <c r="CG11" i="1"/>
  <c r="CH11" i="1"/>
  <c r="CI11" i="1"/>
  <c r="CJ11" i="1"/>
  <c r="CK11" i="1"/>
  <c r="CL11" i="1"/>
  <c r="CM11" i="1"/>
  <c r="CN11" i="1"/>
  <c r="CO11" i="1"/>
  <c r="CP11" i="1"/>
  <c r="CQ11" i="1"/>
  <c r="CR11" i="1"/>
  <c r="CS11" i="1"/>
  <c r="CT11" i="1"/>
  <c r="CU11" i="1"/>
  <c r="CV11" i="1"/>
  <c r="CW11" i="1"/>
  <c r="CX11" i="1"/>
  <c r="CY11" i="1"/>
  <c r="CZ11" i="1"/>
  <c r="DA11" i="1"/>
  <c r="DB11" i="1"/>
  <c r="DC11" i="1"/>
  <c r="DD11" i="1"/>
  <c r="DE11" i="1"/>
  <c r="DF11" i="1"/>
  <c r="DG11" i="1"/>
  <c r="DH11" i="1"/>
  <c r="DI11" i="1"/>
  <c r="DJ11" i="1"/>
  <c r="DK11" i="1"/>
  <c r="DL11" i="1"/>
  <c r="DM11" i="1"/>
  <c r="DN11" i="1"/>
  <c r="DO11" i="1"/>
  <c r="DP11" i="1"/>
  <c r="DQ11" i="1"/>
  <c r="DR11" i="1"/>
  <c r="DS11" i="1"/>
  <c r="DT11" i="1"/>
  <c r="DU11" i="1"/>
  <c r="DV11" i="1"/>
  <c r="DW11" i="1"/>
  <c r="DX11" i="1"/>
  <c r="DY11" i="1"/>
  <c r="J11" i="1"/>
  <c r="K11" i="1" s="1"/>
  <c r="L11" i="1" s="1"/>
  <c r="M11" i="1" s="1"/>
  <c r="N11" i="1" s="1"/>
  <c r="O11" i="1" s="1"/>
  <c r="P11" i="1" s="1"/>
  <c r="Q11" i="1" s="1"/>
  <c r="R11" i="1" s="1"/>
  <c r="J10" i="1"/>
  <c r="K10" i="1" s="1"/>
  <c r="L10" i="1" s="1"/>
  <c r="K13" i="1"/>
  <c r="L13" i="1"/>
  <c r="M13" i="1"/>
  <c r="N13" i="1"/>
  <c r="O13" i="1"/>
  <c r="P13" i="1"/>
  <c r="Q13" i="1"/>
  <c r="R13" i="1"/>
  <c r="S13" i="1"/>
  <c r="T13" i="1"/>
  <c r="U13" i="1"/>
  <c r="V13" i="1"/>
  <c r="W13" i="1"/>
  <c r="X13" i="1"/>
  <c r="Y13" i="1"/>
  <c r="Z13" i="1"/>
  <c r="AA13" i="1"/>
  <c r="AB13" i="1"/>
  <c r="AC13" i="1"/>
  <c r="AD13" i="1"/>
  <c r="AE13" i="1"/>
  <c r="AF13" i="1"/>
  <c r="AG13" i="1"/>
  <c r="AH13" i="1"/>
  <c r="AI13" i="1"/>
  <c r="AJ13" i="1"/>
  <c r="AK13" i="1"/>
  <c r="AL13" i="1"/>
  <c r="AM13" i="1"/>
  <c r="AN13" i="1"/>
  <c r="AO13" i="1"/>
  <c r="AP13" i="1"/>
  <c r="AQ13" i="1"/>
  <c r="AR13" i="1"/>
  <c r="AS13" i="1"/>
  <c r="AT13" i="1"/>
  <c r="AU13" i="1"/>
  <c r="AV13" i="1"/>
  <c r="AW13" i="1"/>
  <c r="AX13" i="1"/>
  <c r="AY13" i="1"/>
  <c r="AZ13" i="1"/>
  <c r="BA13" i="1"/>
  <c r="BB13" i="1"/>
  <c r="BC13" i="1"/>
  <c r="BD13" i="1"/>
  <c r="BE13" i="1"/>
  <c r="BF13" i="1"/>
  <c r="BG13" i="1"/>
  <c r="BH13" i="1"/>
  <c r="BI13" i="1"/>
  <c r="BJ13" i="1"/>
  <c r="BK13" i="1"/>
  <c r="BL13" i="1"/>
  <c r="BM13" i="1"/>
  <c r="BN13" i="1"/>
  <c r="BO13" i="1"/>
  <c r="BP13" i="1"/>
  <c r="BQ13" i="1"/>
  <c r="BR13" i="1"/>
  <c r="BS13" i="1"/>
  <c r="BT13" i="1"/>
  <c r="BU13" i="1"/>
  <c r="BV13" i="1"/>
  <c r="BW13" i="1"/>
  <c r="BX13" i="1"/>
  <c r="BY13" i="1"/>
  <c r="BZ13" i="1"/>
  <c r="CA13" i="1"/>
  <c r="CB13" i="1"/>
  <c r="CC13" i="1"/>
  <c r="CD13" i="1"/>
  <c r="CE13" i="1"/>
  <c r="CF13" i="1"/>
  <c r="CG13" i="1"/>
  <c r="CH13" i="1"/>
  <c r="CI13" i="1"/>
  <c r="CJ13" i="1"/>
  <c r="CK13" i="1"/>
  <c r="CL13" i="1"/>
  <c r="CM13" i="1"/>
  <c r="CN13" i="1"/>
  <c r="CO13" i="1"/>
  <c r="CP13" i="1"/>
  <c r="CQ13" i="1"/>
  <c r="CR13" i="1"/>
  <c r="CS13" i="1"/>
  <c r="CT13" i="1"/>
  <c r="CU13" i="1"/>
  <c r="CV13" i="1"/>
  <c r="CW13" i="1"/>
  <c r="CX13" i="1"/>
  <c r="CY13" i="1"/>
  <c r="CZ13" i="1"/>
  <c r="DA13" i="1"/>
  <c r="DB13" i="1"/>
  <c r="DC13" i="1"/>
  <c r="DD13" i="1"/>
  <c r="DE13" i="1"/>
  <c r="DF13" i="1"/>
  <c r="DG13" i="1"/>
  <c r="DH13" i="1"/>
  <c r="DI13" i="1"/>
  <c r="DJ13" i="1"/>
  <c r="DK13" i="1"/>
  <c r="DL13" i="1"/>
  <c r="DM13" i="1"/>
  <c r="DN13" i="1"/>
  <c r="DO13" i="1"/>
  <c r="DP13" i="1"/>
  <c r="DQ13" i="1"/>
  <c r="DR13" i="1"/>
  <c r="DS13" i="1"/>
  <c r="DT13" i="1"/>
  <c r="DU13" i="1"/>
  <c r="DV13" i="1"/>
  <c r="DW13" i="1"/>
  <c r="DX13" i="1"/>
  <c r="DY13" i="1"/>
  <c r="K12" i="1"/>
  <c r="L12" i="1"/>
  <c r="M12" i="1"/>
  <c r="N12" i="1"/>
  <c r="O12" i="1"/>
  <c r="P12" i="1"/>
  <c r="Q12" i="1"/>
  <c r="R12" i="1"/>
  <c r="S12" i="1"/>
  <c r="T12" i="1"/>
  <c r="U12" i="1"/>
  <c r="V12" i="1"/>
  <c r="W12" i="1"/>
  <c r="X12" i="1"/>
  <c r="Y12" i="1"/>
  <c r="Z12" i="1"/>
  <c r="AA12" i="1"/>
  <c r="AB12" i="1"/>
  <c r="AC12" i="1"/>
  <c r="AD12" i="1"/>
  <c r="AE12" i="1"/>
  <c r="AF12" i="1"/>
  <c r="AG12" i="1"/>
  <c r="AH12" i="1"/>
  <c r="AI12" i="1"/>
  <c r="AJ12" i="1"/>
  <c r="AK12" i="1"/>
  <c r="AL12" i="1"/>
  <c r="AM12" i="1"/>
  <c r="AN12"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BT12" i="1"/>
  <c r="BU12" i="1"/>
  <c r="BV12" i="1"/>
  <c r="BW12" i="1"/>
  <c r="BX12" i="1"/>
  <c r="BY12" i="1"/>
  <c r="BZ12" i="1"/>
  <c r="CA12" i="1"/>
  <c r="CB12" i="1"/>
  <c r="CC12" i="1"/>
  <c r="CD12" i="1"/>
  <c r="CE12" i="1"/>
  <c r="CF12" i="1"/>
  <c r="CG12" i="1"/>
  <c r="CH12" i="1"/>
  <c r="CI12" i="1"/>
  <c r="CJ12" i="1"/>
  <c r="CK12" i="1"/>
  <c r="CL12" i="1"/>
  <c r="CM12" i="1"/>
  <c r="CN12" i="1"/>
  <c r="CO12" i="1"/>
  <c r="CP12" i="1"/>
  <c r="CQ12" i="1"/>
  <c r="CR12" i="1"/>
  <c r="CS12" i="1"/>
  <c r="CT12" i="1"/>
  <c r="CU12" i="1"/>
  <c r="CV12" i="1"/>
  <c r="CW12" i="1"/>
  <c r="CX12" i="1"/>
  <c r="CY12" i="1"/>
  <c r="CZ12" i="1"/>
  <c r="DA12" i="1"/>
  <c r="DB12" i="1"/>
  <c r="DC12" i="1"/>
  <c r="DD12" i="1"/>
  <c r="DE12" i="1"/>
  <c r="DF12" i="1"/>
  <c r="DG12" i="1"/>
  <c r="DH12" i="1"/>
  <c r="DI12" i="1"/>
  <c r="DJ12" i="1"/>
  <c r="DK12" i="1"/>
  <c r="DL12" i="1"/>
  <c r="DM12" i="1"/>
  <c r="DN12" i="1"/>
  <c r="DO12" i="1"/>
  <c r="DP12" i="1"/>
  <c r="DQ12" i="1"/>
  <c r="DR12" i="1"/>
  <c r="DS12" i="1"/>
  <c r="DT12" i="1"/>
  <c r="DU12" i="1"/>
  <c r="DV12" i="1"/>
  <c r="DW12" i="1"/>
  <c r="DX12" i="1"/>
  <c r="DY12" i="1"/>
  <c r="L7" i="1"/>
  <c r="M7" i="1"/>
  <c r="N7" i="1"/>
  <c r="O7" i="1"/>
  <c r="P7" i="1"/>
  <c r="Q7" i="1"/>
  <c r="R7" i="1"/>
  <c r="R6" i="1" s="1"/>
  <c r="S7" i="1"/>
  <c r="T7" i="1"/>
  <c r="U7" i="1"/>
  <c r="V7" i="1"/>
  <c r="W7" i="1"/>
  <c r="X7" i="1"/>
  <c r="Y7" i="1"/>
  <c r="Z7" i="1"/>
  <c r="AA7" i="1"/>
  <c r="AB7" i="1"/>
  <c r="AC7" i="1"/>
  <c r="AD7" i="1"/>
  <c r="AD6" i="1" s="1"/>
  <c r="AE7" i="1"/>
  <c r="AF7" i="1"/>
  <c r="AG7" i="1"/>
  <c r="AH7" i="1"/>
  <c r="AI7" i="1"/>
  <c r="AJ7" i="1"/>
  <c r="AK7" i="1"/>
  <c r="AL7" i="1"/>
  <c r="AL6" i="1" s="1"/>
  <c r="AM7" i="1"/>
  <c r="AN7" i="1"/>
  <c r="AO7" i="1"/>
  <c r="AP7" i="1"/>
  <c r="AP6" i="1" s="1"/>
  <c r="AQ7" i="1"/>
  <c r="AR7" i="1"/>
  <c r="AS7" i="1"/>
  <c r="AT7" i="1"/>
  <c r="AU7" i="1"/>
  <c r="AV7" i="1"/>
  <c r="AW7" i="1"/>
  <c r="AX7" i="1"/>
  <c r="AY7" i="1"/>
  <c r="AZ7" i="1"/>
  <c r="BA7" i="1"/>
  <c r="BB7" i="1"/>
  <c r="BB6" i="1" s="1"/>
  <c r="BC7" i="1"/>
  <c r="BD7" i="1"/>
  <c r="BE7" i="1"/>
  <c r="BF7" i="1"/>
  <c r="BG7" i="1"/>
  <c r="BG6" i="1" s="1"/>
  <c r="BH7" i="1"/>
  <c r="BI7" i="1"/>
  <c r="BJ7" i="1"/>
  <c r="BK7" i="1"/>
  <c r="BL7" i="1"/>
  <c r="BM7" i="1"/>
  <c r="BN7" i="1"/>
  <c r="BN6" i="1" s="1"/>
  <c r="BO7" i="1"/>
  <c r="BP7" i="1"/>
  <c r="BQ7" i="1"/>
  <c r="BR7" i="1"/>
  <c r="BS7" i="1"/>
  <c r="BT7" i="1"/>
  <c r="BU7" i="1"/>
  <c r="BV7" i="1"/>
  <c r="BW7" i="1"/>
  <c r="BX7" i="1"/>
  <c r="BY7" i="1"/>
  <c r="BZ7" i="1"/>
  <c r="BZ6" i="1" s="1"/>
  <c r="CA7" i="1"/>
  <c r="CB7" i="1"/>
  <c r="CC7" i="1"/>
  <c r="CD7" i="1"/>
  <c r="CD6" i="1" s="1"/>
  <c r="CE7" i="1"/>
  <c r="CF7" i="1"/>
  <c r="CG7" i="1"/>
  <c r="CH7" i="1"/>
  <c r="CI7" i="1"/>
  <c r="CJ7" i="1"/>
  <c r="CK7" i="1"/>
  <c r="CL7" i="1"/>
  <c r="CL6" i="1" s="1"/>
  <c r="CM7" i="1"/>
  <c r="CN7" i="1"/>
  <c r="CO7" i="1"/>
  <c r="CP7" i="1"/>
  <c r="CQ7" i="1"/>
  <c r="CR7" i="1"/>
  <c r="CS7" i="1"/>
  <c r="CT7" i="1"/>
  <c r="CU7" i="1"/>
  <c r="CV7" i="1"/>
  <c r="CW7" i="1"/>
  <c r="CX7" i="1"/>
  <c r="CX6" i="1" s="1"/>
  <c r="CY7" i="1"/>
  <c r="CZ7" i="1"/>
  <c r="DA7" i="1"/>
  <c r="DB7" i="1"/>
  <c r="DC7" i="1"/>
  <c r="DD7" i="1"/>
  <c r="DE7" i="1"/>
  <c r="DF7" i="1"/>
  <c r="DG7" i="1"/>
  <c r="DH7" i="1"/>
  <c r="DI7" i="1"/>
  <c r="DJ7" i="1"/>
  <c r="DJ6" i="1" s="1"/>
  <c r="DK7" i="1"/>
  <c r="DL7" i="1"/>
  <c r="DM7" i="1"/>
  <c r="DN7" i="1"/>
  <c r="DO7" i="1"/>
  <c r="DP7" i="1"/>
  <c r="DQ7" i="1"/>
  <c r="DR7" i="1"/>
  <c r="DS7" i="1"/>
  <c r="DT7" i="1"/>
  <c r="DU7" i="1"/>
  <c r="DV7" i="1"/>
  <c r="DV6" i="1" s="1"/>
  <c r="DW7" i="1"/>
  <c r="DX7" i="1"/>
  <c r="DY7" i="1"/>
  <c r="L8" i="1"/>
  <c r="M8" i="1"/>
  <c r="N8" i="1"/>
  <c r="O8" i="1"/>
  <c r="P8" i="1"/>
  <c r="Q8" i="1"/>
  <c r="R8" i="1"/>
  <c r="S8" i="1"/>
  <c r="T8" i="1"/>
  <c r="U8" i="1"/>
  <c r="V8" i="1"/>
  <c r="W8" i="1"/>
  <c r="X8" i="1"/>
  <c r="Y8" i="1"/>
  <c r="Z8" i="1"/>
  <c r="AA8" i="1"/>
  <c r="AB8" i="1"/>
  <c r="AC8" i="1"/>
  <c r="AD8" i="1"/>
  <c r="AE8" i="1"/>
  <c r="AF8" i="1"/>
  <c r="AG8" i="1"/>
  <c r="AH8" i="1"/>
  <c r="AI8" i="1"/>
  <c r="AJ8" i="1"/>
  <c r="AK8" i="1"/>
  <c r="AL8" i="1"/>
  <c r="AM8" i="1"/>
  <c r="AN8" i="1"/>
  <c r="AO8" i="1"/>
  <c r="AP8" i="1"/>
  <c r="AQ8" i="1"/>
  <c r="AR8" i="1"/>
  <c r="AS8" i="1"/>
  <c r="AT8" i="1"/>
  <c r="AU8" i="1"/>
  <c r="AV8" i="1"/>
  <c r="AW8" i="1"/>
  <c r="AX8" i="1"/>
  <c r="AY8" i="1"/>
  <c r="AZ8" i="1"/>
  <c r="BA8" i="1"/>
  <c r="BB8" i="1"/>
  <c r="BC8" i="1"/>
  <c r="BD8" i="1"/>
  <c r="BE8" i="1"/>
  <c r="BF8" i="1"/>
  <c r="BG8" i="1"/>
  <c r="BH8" i="1"/>
  <c r="BI8" i="1"/>
  <c r="BJ8" i="1"/>
  <c r="BK8" i="1"/>
  <c r="BL8" i="1"/>
  <c r="BM8" i="1"/>
  <c r="BN8" i="1"/>
  <c r="BO8" i="1"/>
  <c r="BP8" i="1"/>
  <c r="BQ8" i="1"/>
  <c r="BR8" i="1"/>
  <c r="BS8" i="1"/>
  <c r="BT8" i="1"/>
  <c r="BU8" i="1"/>
  <c r="BV8" i="1"/>
  <c r="BW8" i="1"/>
  <c r="BX8" i="1"/>
  <c r="BY8" i="1"/>
  <c r="BZ8" i="1"/>
  <c r="CA8" i="1"/>
  <c r="CB8" i="1"/>
  <c r="CC8" i="1"/>
  <c r="CD8" i="1"/>
  <c r="CE8" i="1"/>
  <c r="CF8" i="1"/>
  <c r="CG8" i="1"/>
  <c r="CH8" i="1"/>
  <c r="CI8" i="1"/>
  <c r="CJ8" i="1"/>
  <c r="CK8" i="1"/>
  <c r="CL8" i="1"/>
  <c r="CM8" i="1"/>
  <c r="CN8" i="1"/>
  <c r="CO8" i="1"/>
  <c r="CP8" i="1"/>
  <c r="CQ8" i="1"/>
  <c r="CR8" i="1"/>
  <c r="CS8" i="1"/>
  <c r="CT8" i="1"/>
  <c r="CU8" i="1"/>
  <c r="CV8" i="1"/>
  <c r="CW8" i="1"/>
  <c r="CX8" i="1"/>
  <c r="CY8" i="1"/>
  <c r="CZ8" i="1"/>
  <c r="DA8" i="1"/>
  <c r="DB8" i="1"/>
  <c r="DC8" i="1"/>
  <c r="DD8" i="1"/>
  <c r="DE8" i="1"/>
  <c r="DF8" i="1"/>
  <c r="DG8" i="1"/>
  <c r="DH8" i="1"/>
  <c r="DI8" i="1"/>
  <c r="DJ8" i="1"/>
  <c r="DK8" i="1"/>
  <c r="DL8" i="1"/>
  <c r="DM8" i="1"/>
  <c r="DN8" i="1"/>
  <c r="DO8" i="1"/>
  <c r="DP8" i="1"/>
  <c r="DQ8" i="1"/>
  <c r="DR8" i="1"/>
  <c r="DS8" i="1"/>
  <c r="DT8" i="1"/>
  <c r="DU8" i="1"/>
  <c r="DV8" i="1"/>
  <c r="DW8" i="1"/>
  <c r="DX8" i="1"/>
  <c r="DY8" i="1"/>
  <c r="K7" i="1"/>
  <c r="K8" i="1"/>
  <c r="K19" i="1"/>
  <c r="L19" i="1"/>
  <c r="M19" i="1"/>
  <c r="N19" i="1"/>
  <c r="O19" i="1"/>
  <c r="P19" i="1"/>
  <c r="Q19" i="1"/>
  <c r="R19" i="1"/>
  <c r="S19" i="1"/>
  <c r="T19" i="1"/>
  <c r="U19" i="1"/>
  <c r="V19" i="1"/>
  <c r="W19" i="1"/>
  <c r="X19" i="1"/>
  <c r="Y19" i="1"/>
  <c r="Z19" i="1"/>
  <c r="AA19" i="1"/>
  <c r="AB19" i="1"/>
  <c r="AC19" i="1"/>
  <c r="AD19" i="1"/>
  <c r="AE19" i="1"/>
  <c r="AF19" i="1"/>
  <c r="AG19" i="1"/>
  <c r="AH19" i="1"/>
  <c r="AI19" i="1"/>
  <c r="AJ19" i="1"/>
  <c r="AK19" i="1"/>
  <c r="AL19" i="1"/>
  <c r="AM19" i="1"/>
  <c r="AN19" i="1"/>
  <c r="AO19" i="1"/>
  <c r="AP19" i="1"/>
  <c r="AQ19" i="1"/>
  <c r="AR19" i="1"/>
  <c r="AS19" i="1"/>
  <c r="AT19" i="1"/>
  <c r="AU19" i="1"/>
  <c r="AV19" i="1"/>
  <c r="AW19" i="1"/>
  <c r="AX19" i="1"/>
  <c r="AY19" i="1"/>
  <c r="AZ19" i="1"/>
  <c r="BA19" i="1"/>
  <c r="BB19" i="1"/>
  <c r="BC19" i="1"/>
  <c r="BD19" i="1"/>
  <c r="BE19" i="1"/>
  <c r="BF19" i="1"/>
  <c r="BG19" i="1"/>
  <c r="BH19" i="1"/>
  <c r="BI19" i="1"/>
  <c r="BJ19" i="1"/>
  <c r="BK19" i="1"/>
  <c r="BL19" i="1"/>
  <c r="BM19" i="1"/>
  <c r="BN19" i="1"/>
  <c r="BO19" i="1"/>
  <c r="BP19" i="1"/>
  <c r="BQ19" i="1"/>
  <c r="BR19" i="1"/>
  <c r="BS19" i="1"/>
  <c r="BT19" i="1"/>
  <c r="BU19" i="1"/>
  <c r="BV19" i="1"/>
  <c r="BW19" i="1"/>
  <c r="BX19" i="1"/>
  <c r="BY19" i="1"/>
  <c r="BZ19" i="1"/>
  <c r="CA19" i="1"/>
  <c r="CB19" i="1"/>
  <c r="CC19" i="1"/>
  <c r="CD19" i="1"/>
  <c r="CE19" i="1"/>
  <c r="CF19" i="1"/>
  <c r="CG19" i="1"/>
  <c r="CH19" i="1"/>
  <c r="CI19" i="1"/>
  <c r="CJ19" i="1"/>
  <c r="CK19" i="1"/>
  <c r="CL19" i="1"/>
  <c r="CM19" i="1"/>
  <c r="CN19" i="1"/>
  <c r="CO19" i="1"/>
  <c r="CP19" i="1"/>
  <c r="CQ19" i="1"/>
  <c r="CR19" i="1"/>
  <c r="CS19" i="1"/>
  <c r="CT19" i="1"/>
  <c r="CU19" i="1"/>
  <c r="CV19" i="1"/>
  <c r="CW19" i="1"/>
  <c r="CX19" i="1"/>
  <c r="CY19" i="1"/>
  <c r="CZ19" i="1"/>
  <c r="DA19" i="1"/>
  <c r="DB19" i="1"/>
  <c r="DC19" i="1"/>
  <c r="DD19" i="1"/>
  <c r="DE19" i="1"/>
  <c r="DF19" i="1"/>
  <c r="DG19" i="1"/>
  <c r="DH19" i="1"/>
  <c r="DI19" i="1"/>
  <c r="DJ19" i="1"/>
  <c r="DK19" i="1"/>
  <c r="DL19" i="1"/>
  <c r="DM19" i="1"/>
  <c r="DN19" i="1"/>
  <c r="DO19" i="1"/>
  <c r="DP19" i="1"/>
  <c r="DQ19" i="1"/>
  <c r="DR19" i="1"/>
  <c r="DS19" i="1"/>
  <c r="DT19" i="1"/>
  <c r="DU19" i="1"/>
  <c r="DV19" i="1"/>
  <c r="DW19" i="1"/>
  <c r="DX19" i="1"/>
  <c r="DY19"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BR25" i="1"/>
  <c r="BS25" i="1"/>
  <c r="BT25" i="1"/>
  <c r="BU25" i="1"/>
  <c r="BV25" i="1"/>
  <c r="BW25" i="1"/>
  <c r="BX25" i="1"/>
  <c r="BY25" i="1"/>
  <c r="BZ25" i="1"/>
  <c r="CA25" i="1"/>
  <c r="CB25" i="1"/>
  <c r="CC25" i="1"/>
  <c r="CD25" i="1"/>
  <c r="CE25" i="1"/>
  <c r="CF25" i="1"/>
  <c r="CG25" i="1"/>
  <c r="CH25" i="1"/>
  <c r="CI25" i="1"/>
  <c r="CJ25" i="1"/>
  <c r="CK25" i="1"/>
  <c r="CL25" i="1"/>
  <c r="CM25" i="1"/>
  <c r="CN25" i="1"/>
  <c r="CO25" i="1"/>
  <c r="CP25" i="1"/>
  <c r="CQ25" i="1"/>
  <c r="CR25" i="1"/>
  <c r="CS25" i="1"/>
  <c r="CT25" i="1"/>
  <c r="CU25" i="1"/>
  <c r="CV25" i="1"/>
  <c r="CW25" i="1"/>
  <c r="CX25" i="1"/>
  <c r="CY25" i="1"/>
  <c r="CZ25" i="1"/>
  <c r="DA25" i="1"/>
  <c r="DB25" i="1"/>
  <c r="DC25" i="1"/>
  <c r="DD25" i="1"/>
  <c r="DE25" i="1"/>
  <c r="DF25" i="1"/>
  <c r="DG25" i="1"/>
  <c r="DH25" i="1"/>
  <c r="DI25" i="1"/>
  <c r="DJ25" i="1"/>
  <c r="DK25" i="1"/>
  <c r="DL25" i="1"/>
  <c r="DM25" i="1"/>
  <c r="DN25" i="1"/>
  <c r="DO25" i="1"/>
  <c r="DP25" i="1"/>
  <c r="DQ25" i="1"/>
  <c r="DR25" i="1"/>
  <c r="DS25" i="1"/>
  <c r="DT25" i="1"/>
  <c r="DU25" i="1"/>
  <c r="DV25" i="1"/>
  <c r="DW25" i="1"/>
  <c r="DX25" i="1"/>
  <c r="DY25" i="1"/>
  <c r="J25" i="1"/>
  <c r="J22" i="1"/>
  <c r="J19" i="1"/>
  <c r="J13" i="1"/>
  <c r="J12" i="1"/>
  <c r="J8" i="1"/>
  <c r="K14" i="1"/>
  <c r="L14" i="1"/>
  <c r="M14" i="1"/>
  <c r="N14" i="1"/>
  <c r="O14" i="1"/>
  <c r="P14" i="1"/>
  <c r="Q14" i="1"/>
  <c r="R14" i="1"/>
  <c r="S14" i="1"/>
  <c r="T14" i="1"/>
  <c r="U14" i="1"/>
  <c r="V14" i="1"/>
  <c r="W14" i="1"/>
  <c r="X14" i="1"/>
  <c r="Y14" i="1"/>
  <c r="Z14" i="1"/>
  <c r="AA14" i="1"/>
  <c r="AB14" i="1"/>
  <c r="AC14" i="1"/>
  <c r="AD14" i="1"/>
  <c r="AE14" i="1"/>
  <c r="AF14" i="1"/>
  <c r="AG14" i="1"/>
  <c r="AH14" i="1"/>
  <c r="AI14" i="1"/>
  <c r="AJ14" i="1"/>
  <c r="AK14" i="1"/>
  <c r="AL14" i="1"/>
  <c r="AM14" i="1"/>
  <c r="AN14" i="1"/>
  <c r="AO14" i="1"/>
  <c r="AP14" i="1"/>
  <c r="AQ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BQ14" i="1"/>
  <c r="BR14" i="1"/>
  <c r="BS14" i="1"/>
  <c r="BT14" i="1"/>
  <c r="BU14" i="1"/>
  <c r="BV14" i="1"/>
  <c r="BW14" i="1"/>
  <c r="BX14" i="1"/>
  <c r="BY14" i="1"/>
  <c r="BZ14" i="1"/>
  <c r="CA14" i="1"/>
  <c r="CB14" i="1"/>
  <c r="CC14" i="1"/>
  <c r="CD14" i="1"/>
  <c r="CE14" i="1"/>
  <c r="CF14" i="1"/>
  <c r="CG14" i="1"/>
  <c r="CH14" i="1"/>
  <c r="CI14" i="1"/>
  <c r="CJ14" i="1"/>
  <c r="CK14" i="1"/>
  <c r="CL14" i="1"/>
  <c r="CM14" i="1"/>
  <c r="CN14" i="1"/>
  <c r="CO14" i="1"/>
  <c r="CP14" i="1"/>
  <c r="CQ14" i="1"/>
  <c r="CR14" i="1"/>
  <c r="CS14" i="1"/>
  <c r="CT14" i="1"/>
  <c r="CU14" i="1"/>
  <c r="CV14" i="1"/>
  <c r="CW14" i="1"/>
  <c r="CX14" i="1"/>
  <c r="CY14" i="1"/>
  <c r="CZ14" i="1"/>
  <c r="DA14" i="1"/>
  <c r="DB14" i="1"/>
  <c r="DC14" i="1"/>
  <c r="DD14" i="1"/>
  <c r="DE14" i="1"/>
  <c r="DF14" i="1"/>
  <c r="DG14" i="1"/>
  <c r="DH14" i="1"/>
  <c r="DI14" i="1"/>
  <c r="DJ14" i="1"/>
  <c r="DK14" i="1"/>
  <c r="DL14" i="1"/>
  <c r="DM14" i="1"/>
  <c r="DN14" i="1"/>
  <c r="DO14" i="1"/>
  <c r="DP14" i="1"/>
  <c r="DQ14" i="1"/>
  <c r="DR14" i="1"/>
  <c r="DS14" i="1"/>
  <c r="DT14" i="1"/>
  <c r="DU14" i="1"/>
  <c r="DV14" i="1"/>
  <c r="DW14" i="1"/>
  <c r="DX14" i="1"/>
  <c r="DY14" i="1"/>
  <c r="K15" i="1"/>
  <c r="L15" i="1"/>
  <c r="M15" i="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BX15" i="1"/>
  <c r="BY15" i="1"/>
  <c r="BZ15" i="1"/>
  <c r="CA15" i="1"/>
  <c r="CB15" i="1"/>
  <c r="CC15" i="1"/>
  <c r="CD15" i="1"/>
  <c r="CE15" i="1"/>
  <c r="CF15" i="1"/>
  <c r="CG15" i="1"/>
  <c r="CH15" i="1"/>
  <c r="CI15" i="1"/>
  <c r="CJ15" i="1"/>
  <c r="CK15" i="1"/>
  <c r="CL15" i="1"/>
  <c r="CM15" i="1"/>
  <c r="CN15" i="1"/>
  <c r="CO15" i="1"/>
  <c r="CP15" i="1"/>
  <c r="CQ15" i="1"/>
  <c r="CR15" i="1"/>
  <c r="CS15" i="1"/>
  <c r="CT15" i="1"/>
  <c r="CU15" i="1"/>
  <c r="CV15" i="1"/>
  <c r="CW15" i="1"/>
  <c r="CX15" i="1"/>
  <c r="CY15" i="1"/>
  <c r="CZ15" i="1"/>
  <c r="DA15" i="1"/>
  <c r="DB15" i="1"/>
  <c r="DC15" i="1"/>
  <c r="DD15" i="1"/>
  <c r="DE15" i="1"/>
  <c r="DF15" i="1"/>
  <c r="DG15" i="1"/>
  <c r="DH15" i="1"/>
  <c r="DI15" i="1"/>
  <c r="DJ15" i="1"/>
  <c r="DK15" i="1"/>
  <c r="DL15" i="1"/>
  <c r="DM15" i="1"/>
  <c r="DN15" i="1"/>
  <c r="DO15" i="1"/>
  <c r="DP15" i="1"/>
  <c r="DQ15" i="1"/>
  <c r="DR15" i="1"/>
  <c r="DS15" i="1"/>
  <c r="DT15" i="1"/>
  <c r="DU15" i="1"/>
  <c r="DV15" i="1"/>
  <c r="DW15" i="1"/>
  <c r="DX15" i="1"/>
  <c r="DY15" i="1"/>
  <c r="K23" i="1"/>
  <c r="L23" i="1"/>
  <c r="M23" i="1"/>
  <c r="N23" i="1"/>
  <c r="O23" i="1"/>
  <c r="P23" i="1"/>
  <c r="Q23"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R23" i="1"/>
  <c r="AS23" i="1"/>
  <c r="AT23" i="1"/>
  <c r="AU23" i="1"/>
  <c r="AV23" i="1"/>
  <c r="AW23" i="1"/>
  <c r="AX23" i="1"/>
  <c r="AY23" i="1"/>
  <c r="AZ23" i="1"/>
  <c r="BA23" i="1"/>
  <c r="BB23" i="1"/>
  <c r="BC23" i="1"/>
  <c r="BD23" i="1"/>
  <c r="BE23" i="1"/>
  <c r="BF23" i="1"/>
  <c r="BG23" i="1"/>
  <c r="BH23" i="1"/>
  <c r="BI23" i="1"/>
  <c r="BJ23" i="1"/>
  <c r="BK23" i="1"/>
  <c r="BL23" i="1"/>
  <c r="BM23" i="1"/>
  <c r="BN23" i="1"/>
  <c r="BO23" i="1"/>
  <c r="BP23" i="1"/>
  <c r="BQ23" i="1"/>
  <c r="BR23" i="1"/>
  <c r="BS23" i="1"/>
  <c r="BT23" i="1"/>
  <c r="BU23" i="1"/>
  <c r="BV23" i="1"/>
  <c r="BW23" i="1"/>
  <c r="BX23" i="1"/>
  <c r="BY23" i="1"/>
  <c r="BZ23" i="1"/>
  <c r="CA23" i="1"/>
  <c r="CB23" i="1"/>
  <c r="CC23" i="1"/>
  <c r="CD23" i="1"/>
  <c r="CE23" i="1"/>
  <c r="CF23" i="1"/>
  <c r="CG23" i="1"/>
  <c r="CH23" i="1"/>
  <c r="CI23" i="1"/>
  <c r="CJ23" i="1"/>
  <c r="CK23" i="1"/>
  <c r="CL23" i="1"/>
  <c r="CM23" i="1"/>
  <c r="CN23" i="1"/>
  <c r="CO23" i="1"/>
  <c r="CP23" i="1"/>
  <c r="CQ23" i="1"/>
  <c r="CR23" i="1"/>
  <c r="CS23" i="1"/>
  <c r="CT23" i="1"/>
  <c r="CU23" i="1"/>
  <c r="CV23" i="1"/>
  <c r="CW23" i="1"/>
  <c r="CX23" i="1"/>
  <c r="CY23" i="1"/>
  <c r="CZ23" i="1"/>
  <c r="DA23" i="1"/>
  <c r="DB23" i="1"/>
  <c r="DC23" i="1"/>
  <c r="DD23" i="1"/>
  <c r="DE23" i="1"/>
  <c r="DF23" i="1"/>
  <c r="DG23" i="1"/>
  <c r="DH23" i="1"/>
  <c r="DI23" i="1"/>
  <c r="DJ23" i="1"/>
  <c r="DK23" i="1"/>
  <c r="DL23" i="1"/>
  <c r="DM23" i="1"/>
  <c r="DN23" i="1"/>
  <c r="DO23" i="1"/>
  <c r="DP23" i="1"/>
  <c r="DQ23" i="1"/>
  <c r="DR23" i="1"/>
  <c r="DS23" i="1"/>
  <c r="DT23" i="1"/>
  <c r="DU23" i="1"/>
  <c r="DV23" i="1"/>
  <c r="DW23" i="1"/>
  <c r="DX23" i="1"/>
  <c r="DY23"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BN24" i="1"/>
  <c r="BO24" i="1"/>
  <c r="BP24" i="1"/>
  <c r="BQ24" i="1"/>
  <c r="BR24" i="1"/>
  <c r="BS24" i="1"/>
  <c r="BT24" i="1"/>
  <c r="BU24" i="1"/>
  <c r="BV24" i="1"/>
  <c r="BW24" i="1"/>
  <c r="BX24" i="1"/>
  <c r="BY24" i="1"/>
  <c r="BZ24" i="1"/>
  <c r="CA24" i="1"/>
  <c r="CB24" i="1"/>
  <c r="CC24" i="1"/>
  <c r="CD24" i="1"/>
  <c r="CE24" i="1"/>
  <c r="CF24" i="1"/>
  <c r="CG24" i="1"/>
  <c r="CH24" i="1"/>
  <c r="CI24" i="1"/>
  <c r="CJ24" i="1"/>
  <c r="CK24" i="1"/>
  <c r="CL24" i="1"/>
  <c r="CM24" i="1"/>
  <c r="CN24" i="1"/>
  <c r="CO24" i="1"/>
  <c r="CP24" i="1"/>
  <c r="CQ24" i="1"/>
  <c r="CR24" i="1"/>
  <c r="CS24" i="1"/>
  <c r="CT24" i="1"/>
  <c r="CU24" i="1"/>
  <c r="CV24" i="1"/>
  <c r="CW24" i="1"/>
  <c r="CX24" i="1"/>
  <c r="CY24" i="1"/>
  <c r="CZ24" i="1"/>
  <c r="DA24" i="1"/>
  <c r="DB24" i="1"/>
  <c r="DC24" i="1"/>
  <c r="DD24" i="1"/>
  <c r="DE24" i="1"/>
  <c r="DF24" i="1"/>
  <c r="DG24" i="1"/>
  <c r="DH24" i="1"/>
  <c r="DI24" i="1"/>
  <c r="DJ24" i="1"/>
  <c r="DK24" i="1"/>
  <c r="DL24" i="1"/>
  <c r="DM24" i="1"/>
  <c r="DN24" i="1"/>
  <c r="DO24" i="1"/>
  <c r="DP24" i="1"/>
  <c r="DQ24" i="1"/>
  <c r="DR24" i="1"/>
  <c r="DS24" i="1"/>
  <c r="DT24" i="1"/>
  <c r="DU24" i="1"/>
  <c r="DV24" i="1"/>
  <c r="DW24" i="1"/>
  <c r="DX24" i="1"/>
  <c r="DY24" i="1"/>
  <c r="K27" i="1"/>
  <c r="L27" i="1"/>
  <c r="M27" i="1"/>
  <c r="N27" i="1"/>
  <c r="O27" i="1"/>
  <c r="P27" i="1"/>
  <c r="Q27" i="1"/>
  <c r="R27" i="1"/>
  <c r="S27" i="1"/>
  <c r="T27" i="1"/>
  <c r="U27" i="1"/>
  <c r="V27" i="1"/>
  <c r="W27" i="1"/>
  <c r="X27" i="1"/>
  <c r="Y27" i="1"/>
  <c r="Z27" i="1"/>
  <c r="AA27" i="1"/>
  <c r="AB27" i="1"/>
  <c r="AC27" i="1"/>
  <c r="AD27" i="1"/>
  <c r="AE27" i="1"/>
  <c r="AF27" i="1"/>
  <c r="AG27" i="1"/>
  <c r="AH27" i="1"/>
  <c r="AI27" i="1"/>
  <c r="AJ27" i="1"/>
  <c r="AK27" i="1"/>
  <c r="AL27" i="1"/>
  <c r="AM27" i="1"/>
  <c r="AN27" i="1"/>
  <c r="AO27" i="1"/>
  <c r="AP27" i="1"/>
  <c r="AQ27" i="1"/>
  <c r="AR27" i="1"/>
  <c r="AS27" i="1"/>
  <c r="AT27" i="1"/>
  <c r="AU27" i="1"/>
  <c r="AV27" i="1"/>
  <c r="AW27" i="1"/>
  <c r="AX27" i="1"/>
  <c r="AY27" i="1"/>
  <c r="AZ27" i="1"/>
  <c r="BA27" i="1"/>
  <c r="BB27" i="1"/>
  <c r="BC27" i="1"/>
  <c r="BD27" i="1"/>
  <c r="BE27" i="1"/>
  <c r="BF27" i="1"/>
  <c r="BG27" i="1"/>
  <c r="BH27" i="1"/>
  <c r="BI27" i="1"/>
  <c r="BJ27" i="1"/>
  <c r="BK27" i="1"/>
  <c r="BL27" i="1"/>
  <c r="BM27" i="1"/>
  <c r="BN27" i="1"/>
  <c r="BO27" i="1"/>
  <c r="BP27" i="1"/>
  <c r="BQ27" i="1"/>
  <c r="BR27" i="1"/>
  <c r="BS27" i="1"/>
  <c r="BT27" i="1"/>
  <c r="BU27" i="1"/>
  <c r="BV27" i="1"/>
  <c r="BW27" i="1"/>
  <c r="BX27" i="1"/>
  <c r="BY27" i="1"/>
  <c r="BZ27" i="1"/>
  <c r="CA27" i="1"/>
  <c r="CB27" i="1"/>
  <c r="CC27" i="1"/>
  <c r="CD27" i="1"/>
  <c r="CE27" i="1"/>
  <c r="CF27" i="1"/>
  <c r="CG27" i="1"/>
  <c r="CH27" i="1"/>
  <c r="CI27" i="1"/>
  <c r="CJ27" i="1"/>
  <c r="CK27" i="1"/>
  <c r="CL27" i="1"/>
  <c r="CM27" i="1"/>
  <c r="CN27" i="1"/>
  <c r="CO27" i="1"/>
  <c r="CP27" i="1"/>
  <c r="CQ27" i="1"/>
  <c r="CR27" i="1"/>
  <c r="CS27" i="1"/>
  <c r="CT27" i="1"/>
  <c r="CU27" i="1"/>
  <c r="CV27" i="1"/>
  <c r="CW27" i="1"/>
  <c r="CX27" i="1"/>
  <c r="CY27" i="1"/>
  <c r="CZ27" i="1"/>
  <c r="DA27" i="1"/>
  <c r="DB27" i="1"/>
  <c r="DC27" i="1"/>
  <c r="DD27" i="1"/>
  <c r="DE27" i="1"/>
  <c r="DF27" i="1"/>
  <c r="DG27" i="1"/>
  <c r="DH27" i="1"/>
  <c r="DI27" i="1"/>
  <c r="DJ27" i="1"/>
  <c r="DK27" i="1"/>
  <c r="DL27" i="1"/>
  <c r="DM27" i="1"/>
  <c r="DN27" i="1"/>
  <c r="DO27" i="1"/>
  <c r="DP27" i="1"/>
  <c r="DQ27" i="1"/>
  <c r="DR27" i="1"/>
  <c r="DS27" i="1"/>
  <c r="DT27" i="1"/>
  <c r="DU27" i="1"/>
  <c r="DV27" i="1"/>
  <c r="DW27" i="1"/>
  <c r="DX27" i="1"/>
  <c r="DY27"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AX28" i="1"/>
  <c r="AY28" i="1"/>
  <c r="AZ28" i="1"/>
  <c r="BA28" i="1"/>
  <c r="BB28" i="1"/>
  <c r="BC28" i="1"/>
  <c r="BD28" i="1"/>
  <c r="BE28" i="1"/>
  <c r="BF28" i="1"/>
  <c r="BG28" i="1"/>
  <c r="BH28" i="1"/>
  <c r="BI28" i="1"/>
  <c r="BJ28" i="1"/>
  <c r="BK28" i="1"/>
  <c r="BL28" i="1"/>
  <c r="BM28" i="1"/>
  <c r="BN28" i="1"/>
  <c r="BO28" i="1"/>
  <c r="BP28" i="1"/>
  <c r="BQ28" i="1"/>
  <c r="BR28" i="1"/>
  <c r="BS28" i="1"/>
  <c r="BT28" i="1"/>
  <c r="BU28" i="1"/>
  <c r="BV28" i="1"/>
  <c r="BW28" i="1"/>
  <c r="BX28" i="1"/>
  <c r="BY28" i="1"/>
  <c r="BZ28" i="1"/>
  <c r="CA28" i="1"/>
  <c r="CB28" i="1"/>
  <c r="CC28" i="1"/>
  <c r="CD28" i="1"/>
  <c r="CE28" i="1"/>
  <c r="CF28" i="1"/>
  <c r="CG28" i="1"/>
  <c r="CH28" i="1"/>
  <c r="CI28" i="1"/>
  <c r="CJ28" i="1"/>
  <c r="CK28" i="1"/>
  <c r="CL28" i="1"/>
  <c r="CM28" i="1"/>
  <c r="CN28" i="1"/>
  <c r="CO28" i="1"/>
  <c r="CP28" i="1"/>
  <c r="CQ28" i="1"/>
  <c r="CR28" i="1"/>
  <c r="CS28" i="1"/>
  <c r="CT28" i="1"/>
  <c r="CU28" i="1"/>
  <c r="CV28" i="1"/>
  <c r="CW28" i="1"/>
  <c r="CX28" i="1"/>
  <c r="CY28" i="1"/>
  <c r="CZ28" i="1"/>
  <c r="DA28" i="1"/>
  <c r="DB28" i="1"/>
  <c r="DC28" i="1"/>
  <c r="DD28" i="1"/>
  <c r="DE28" i="1"/>
  <c r="DF28" i="1"/>
  <c r="DG28" i="1"/>
  <c r="DH28" i="1"/>
  <c r="DI28" i="1"/>
  <c r="DJ28" i="1"/>
  <c r="DK28" i="1"/>
  <c r="DL28" i="1"/>
  <c r="DM28" i="1"/>
  <c r="DN28" i="1"/>
  <c r="DO28" i="1"/>
  <c r="DP28" i="1"/>
  <c r="DQ28" i="1"/>
  <c r="DR28" i="1"/>
  <c r="DS28" i="1"/>
  <c r="DT28" i="1"/>
  <c r="DU28" i="1"/>
  <c r="DV28" i="1"/>
  <c r="DW28" i="1"/>
  <c r="DX28" i="1"/>
  <c r="DY28"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BR29" i="1"/>
  <c r="BS29" i="1"/>
  <c r="BT29" i="1"/>
  <c r="BU29" i="1"/>
  <c r="BV29" i="1"/>
  <c r="BW29" i="1"/>
  <c r="BX29" i="1"/>
  <c r="BY29" i="1"/>
  <c r="BZ29" i="1"/>
  <c r="CA29" i="1"/>
  <c r="CB29" i="1"/>
  <c r="CC29" i="1"/>
  <c r="CD29" i="1"/>
  <c r="CE29" i="1"/>
  <c r="CF29" i="1"/>
  <c r="CG29" i="1"/>
  <c r="CH29" i="1"/>
  <c r="CI29" i="1"/>
  <c r="CJ29" i="1"/>
  <c r="CK29" i="1"/>
  <c r="CL29" i="1"/>
  <c r="CM29" i="1"/>
  <c r="CN29" i="1"/>
  <c r="CO29" i="1"/>
  <c r="CP29" i="1"/>
  <c r="CQ29" i="1"/>
  <c r="CR29" i="1"/>
  <c r="CS29" i="1"/>
  <c r="CT29" i="1"/>
  <c r="CU29" i="1"/>
  <c r="CV29" i="1"/>
  <c r="CW29" i="1"/>
  <c r="CX29" i="1"/>
  <c r="CY29" i="1"/>
  <c r="CZ29" i="1"/>
  <c r="DA29" i="1"/>
  <c r="DB29" i="1"/>
  <c r="DC29" i="1"/>
  <c r="DD29" i="1"/>
  <c r="DE29" i="1"/>
  <c r="DF29" i="1"/>
  <c r="DG29" i="1"/>
  <c r="DH29" i="1"/>
  <c r="DI29" i="1"/>
  <c r="DJ29" i="1"/>
  <c r="DK29" i="1"/>
  <c r="DL29" i="1"/>
  <c r="DM29" i="1"/>
  <c r="DN29" i="1"/>
  <c r="DO29" i="1"/>
  <c r="DP29" i="1"/>
  <c r="DQ29" i="1"/>
  <c r="DR29" i="1"/>
  <c r="DS29" i="1"/>
  <c r="DT29" i="1"/>
  <c r="DU29" i="1"/>
  <c r="DV29" i="1"/>
  <c r="DW29" i="1"/>
  <c r="DX29" i="1"/>
  <c r="DY29"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30" i="1"/>
  <c r="AS30" i="1"/>
  <c r="AT30" i="1"/>
  <c r="AU30" i="1"/>
  <c r="AV30" i="1"/>
  <c r="AW30" i="1"/>
  <c r="AX30" i="1"/>
  <c r="AY30" i="1"/>
  <c r="AZ30" i="1"/>
  <c r="BA30" i="1"/>
  <c r="BB30" i="1"/>
  <c r="BC30" i="1"/>
  <c r="BD30" i="1"/>
  <c r="BE30" i="1"/>
  <c r="BF30" i="1"/>
  <c r="BG30" i="1"/>
  <c r="BH30" i="1"/>
  <c r="BI30" i="1"/>
  <c r="BJ30" i="1"/>
  <c r="BK30" i="1"/>
  <c r="BL30" i="1"/>
  <c r="BM30" i="1"/>
  <c r="BN30" i="1"/>
  <c r="BO30" i="1"/>
  <c r="BP30" i="1"/>
  <c r="BQ30" i="1"/>
  <c r="BR30" i="1"/>
  <c r="BS30" i="1"/>
  <c r="BT30" i="1"/>
  <c r="BU30" i="1"/>
  <c r="BV30" i="1"/>
  <c r="BW30" i="1"/>
  <c r="BX30" i="1"/>
  <c r="BY30" i="1"/>
  <c r="BZ30" i="1"/>
  <c r="CA30" i="1"/>
  <c r="CB30" i="1"/>
  <c r="CC30" i="1"/>
  <c r="CD30" i="1"/>
  <c r="CE30" i="1"/>
  <c r="CF30" i="1"/>
  <c r="CG30" i="1"/>
  <c r="CH30" i="1"/>
  <c r="CI30" i="1"/>
  <c r="CJ30" i="1"/>
  <c r="CK30" i="1"/>
  <c r="CL30" i="1"/>
  <c r="CM30" i="1"/>
  <c r="CN30" i="1"/>
  <c r="CO30" i="1"/>
  <c r="CP30" i="1"/>
  <c r="CQ30" i="1"/>
  <c r="CR30" i="1"/>
  <c r="CS30" i="1"/>
  <c r="CT30" i="1"/>
  <c r="CU30" i="1"/>
  <c r="CV30" i="1"/>
  <c r="CW30" i="1"/>
  <c r="CX30" i="1"/>
  <c r="CY30" i="1"/>
  <c r="CZ30" i="1"/>
  <c r="DA30" i="1"/>
  <c r="DB30" i="1"/>
  <c r="DC30" i="1"/>
  <c r="DD30" i="1"/>
  <c r="DE30" i="1"/>
  <c r="DF30" i="1"/>
  <c r="DG30" i="1"/>
  <c r="DH30" i="1"/>
  <c r="DI30" i="1"/>
  <c r="DJ30" i="1"/>
  <c r="DK30" i="1"/>
  <c r="DL30" i="1"/>
  <c r="DM30" i="1"/>
  <c r="DN30" i="1"/>
  <c r="DO30" i="1"/>
  <c r="DP30" i="1"/>
  <c r="DQ30" i="1"/>
  <c r="DR30" i="1"/>
  <c r="DS30" i="1"/>
  <c r="DT30" i="1"/>
  <c r="DU30" i="1"/>
  <c r="DV30" i="1"/>
  <c r="DW30" i="1"/>
  <c r="DX30" i="1"/>
  <c r="DY30"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P31" i="1"/>
  <c r="BQ31" i="1"/>
  <c r="BR31" i="1"/>
  <c r="BS31" i="1"/>
  <c r="BT31" i="1"/>
  <c r="BU31" i="1"/>
  <c r="BV31" i="1"/>
  <c r="BW31" i="1"/>
  <c r="BX31" i="1"/>
  <c r="BY31" i="1"/>
  <c r="BZ31" i="1"/>
  <c r="CA31" i="1"/>
  <c r="CB31" i="1"/>
  <c r="CC31" i="1"/>
  <c r="CD31" i="1"/>
  <c r="CE31" i="1"/>
  <c r="CF31" i="1"/>
  <c r="CG31" i="1"/>
  <c r="CH31" i="1"/>
  <c r="CI31" i="1"/>
  <c r="CJ31" i="1"/>
  <c r="CK31" i="1"/>
  <c r="CL31" i="1"/>
  <c r="CM31" i="1"/>
  <c r="CN31" i="1"/>
  <c r="CO31" i="1"/>
  <c r="CP31" i="1"/>
  <c r="CQ31" i="1"/>
  <c r="CR31" i="1"/>
  <c r="CS31" i="1"/>
  <c r="CT31" i="1"/>
  <c r="CU31" i="1"/>
  <c r="CV31" i="1"/>
  <c r="CW31" i="1"/>
  <c r="CX31" i="1"/>
  <c r="CY31" i="1"/>
  <c r="CZ31" i="1"/>
  <c r="DA31" i="1"/>
  <c r="DB31" i="1"/>
  <c r="DC31" i="1"/>
  <c r="DD31" i="1"/>
  <c r="DE31" i="1"/>
  <c r="DF31" i="1"/>
  <c r="DG31" i="1"/>
  <c r="DH31" i="1"/>
  <c r="DI31" i="1"/>
  <c r="DJ31" i="1"/>
  <c r="DK31" i="1"/>
  <c r="DL31" i="1"/>
  <c r="DM31" i="1"/>
  <c r="DN31" i="1"/>
  <c r="DO31" i="1"/>
  <c r="DP31" i="1"/>
  <c r="DQ31" i="1"/>
  <c r="DR31" i="1"/>
  <c r="DS31" i="1"/>
  <c r="DT31" i="1"/>
  <c r="DU31" i="1"/>
  <c r="DV31" i="1"/>
  <c r="DW31" i="1"/>
  <c r="DX31" i="1"/>
  <c r="DY31" i="1"/>
  <c r="K32" i="1"/>
  <c r="L32" i="1"/>
  <c r="M32" i="1"/>
  <c r="N32" i="1"/>
  <c r="O32" i="1"/>
  <c r="P32" i="1"/>
  <c r="Q32"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BR32" i="1"/>
  <c r="BS32" i="1"/>
  <c r="BT32" i="1"/>
  <c r="BU32" i="1"/>
  <c r="BV32" i="1"/>
  <c r="BW32" i="1"/>
  <c r="BX32" i="1"/>
  <c r="BY32" i="1"/>
  <c r="BZ32" i="1"/>
  <c r="CA32" i="1"/>
  <c r="CB32" i="1"/>
  <c r="CC32" i="1"/>
  <c r="CD32" i="1"/>
  <c r="CE32" i="1"/>
  <c r="CF32" i="1"/>
  <c r="CG32" i="1"/>
  <c r="CH32" i="1"/>
  <c r="CI32" i="1"/>
  <c r="CJ32" i="1"/>
  <c r="CK32" i="1"/>
  <c r="CL32" i="1"/>
  <c r="CM32" i="1"/>
  <c r="CN32" i="1"/>
  <c r="CO32" i="1"/>
  <c r="CP32" i="1"/>
  <c r="CQ32" i="1"/>
  <c r="CR32" i="1"/>
  <c r="CS32" i="1"/>
  <c r="CT32" i="1"/>
  <c r="CU32" i="1"/>
  <c r="CV32" i="1"/>
  <c r="CW32" i="1"/>
  <c r="CX32" i="1"/>
  <c r="CY32" i="1"/>
  <c r="CZ32" i="1"/>
  <c r="DA32" i="1"/>
  <c r="DB32" i="1"/>
  <c r="DC32" i="1"/>
  <c r="DD32" i="1"/>
  <c r="DE32" i="1"/>
  <c r="DF32" i="1"/>
  <c r="DG32" i="1"/>
  <c r="DH32" i="1"/>
  <c r="DI32" i="1"/>
  <c r="DJ32" i="1"/>
  <c r="DK32" i="1"/>
  <c r="DL32" i="1"/>
  <c r="DM32" i="1"/>
  <c r="DN32" i="1"/>
  <c r="DO32" i="1"/>
  <c r="DP32" i="1"/>
  <c r="DQ32" i="1"/>
  <c r="DR32" i="1"/>
  <c r="DS32" i="1"/>
  <c r="DT32" i="1"/>
  <c r="DU32" i="1"/>
  <c r="DV32" i="1"/>
  <c r="DW32" i="1"/>
  <c r="DX32" i="1"/>
  <c r="DY32" i="1"/>
  <c r="K33" i="1"/>
  <c r="L33" i="1"/>
  <c r="M33" i="1"/>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BR33" i="1"/>
  <c r="BS33" i="1"/>
  <c r="BT33" i="1"/>
  <c r="BU33" i="1"/>
  <c r="BV33" i="1"/>
  <c r="BW33" i="1"/>
  <c r="BX33" i="1"/>
  <c r="BY33" i="1"/>
  <c r="BZ33" i="1"/>
  <c r="CA33" i="1"/>
  <c r="CB33" i="1"/>
  <c r="CC33" i="1"/>
  <c r="CD33" i="1"/>
  <c r="CE33" i="1"/>
  <c r="CF33" i="1"/>
  <c r="CG33" i="1"/>
  <c r="CH33" i="1"/>
  <c r="CI33" i="1"/>
  <c r="CJ33" i="1"/>
  <c r="CK33" i="1"/>
  <c r="CL33" i="1"/>
  <c r="CM33" i="1"/>
  <c r="CN33" i="1"/>
  <c r="CO33" i="1"/>
  <c r="CP33" i="1"/>
  <c r="CQ33" i="1"/>
  <c r="CR33" i="1"/>
  <c r="CS33" i="1"/>
  <c r="CT33" i="1"/>
  <c r="CU33" i="1"/>
  <c r="CV33" i="1"/>
  <c r="CW33" i="1"/>
  <c r="CX33" i="1"/>
  <c r="CY33" i="1"/>
  <c r="CZ33" i="1"/>
  <c r="DA33" i="1"/>
  <c r="DB33" i="1"/>
  <c r="DC33" i="1"/>
  <c r="DD33" i="1"/>
  <c r="DE33" i="1"/>
  <c r="DF33" i="1"/>
  <c r="DG33" i="1"/>
  <c r="DH33" i="1"/>
  <c r="DI33" i="1"/>
  <c r="DJ33" i="1"/>
  <c r="DK33" i="1"/>
  <c r="DL33" i="1"/>
  <c r="DM33" i="1"/>
  <c r="DN33" i="1"/>
  <c r="DO33" i="1"/>
  <c r="DP33" i="1"/>
  <c r="DQ33" i="1"/>
  <c r="DR33" i="1"/>
  <c r="DS33" i="1"/>
  <c r="DT33" i="1"/>
  <c r="DU33" i="1"/>
  <c r="DV33" i="1"/>
  <c r="DW33" i="1"/>
  <c r="DX33" i="1"/>
  <c r="DY33" i="1"/>
  <c r="J27" i="1"/>
  <c r="J33" i="1"/>
  <c r="J32" i="1"/>
  <c r="J31" i="1"/>
  <c r="J30" i="1"/>
  <c r="J29" i="1"/>
  <c r="J28" i="1"/>
  <c r="J24" i="1"/>
  <c r="J23" i="1"/>
  <c r="J15" i="1"/>
  <c r="J14" i="1"/>
  <c r="J7" i="1"/>
  <c r="K4" i="1"/>
  <c r="L4" i="1"/>
  <c r="M4" i="1"/>
  <c r="M3" i="1" s="1"/>
  <c r="N4" i="1"/>
  <c r="O4" i="1"/>
  <c r="P4" i="1"/>
  <c r="Q4" i="1"/>
  <c r="R4" i="1"/>
  <c r="S4" i="1"/>
  <c r="S3" i="1" s="1"/>
  <c r="T4" i="1"/>
  <c r="U4" i="1"/>
  <c r="V4" i="1"/>
  <c r="W4" i="1"/>
  <c r="X4" i="1"/>
  <c r="Y4" i="1"/>
  <c r="Z4" i="1"/>
  <c r="AA4" i="1"/>
  <c r="AB4" i="1"/>
  <c r="AC4" i="1"/>
  <c r="AD4" i="1"/>
  <c r="AE4" i="1"/>
  <c r="AE3" i="1" s="1"/>
  <c r="AF4" i="1"/>
  <c r="AG4" i="1"/>
  <c r="AH4" i="1"/>
  <c r="AI4" i="1"/>
  <c r="AJ4" i="1"/>
  <c r="AK4" i="1"/>
  <c r="AL4" i="1"/>
  <c r="AL3" i="1" s="1"/>
  <c r="AM4" i="1"/>
  <c r="AN4" i="1"/>
  <c r="AO4" i="1"/>
  <c r="AP4" i="1"/>
  <c r="AQ4" i="1"/>
  <c r="AQ3" i="1" s="1"/>
  <c r="AR4" i="1"/>
  <c r="AS4" i="1"/>
  <c r="AT4" i="1"/>
  <c r="AU4" i="1"/>
  <c r="AV4" i="1"/>
  <c r="AW4" i="1"/>
  <c r="AX4" i="1"/>
  <c r="AY4" i="1"/>
  <c r="AZ4" i="1"/>
  <c r="BA4" i="1"/>
  <c r="BB4" i="1"/>
  <c r="BC4" i="1"/>
  <c r="BC3" i="1" s="1"/>
  <c r="BD4" i="1"/>
  <c r="BE4" i="1"/>
  <c r="BF4" i="1"/>
  <c r="BG4" i="1"/>
  <c r="BH4" i="1"/>
  <c r="BI4" i="1"/>
  <c r="BJ4" i="1"/>
  <c r="BK4" i="1"/>
  <c r="BL4" i="1"/>
  <c r="BL3" i="1" s="1"/>
  <c r="BM4" i="1"/>
  <c r="BN4" i="1"/>
  <c r="BO4" i="1"/>
  <c r="BO3" i="1" s="1"/>
  <c r="BP4" i="1"/>
  <c r="BQ4" i="1"/>
  <c r="BR4" i="1"/>
  <c r="BS4" i="1"/>
  <c r="BT4" i="1"/>
  <c r="BU4" i="1"/>
  <c r="BV4" i="1"/>
  <c r="BW4" i="1"/>
  <c r="BX4" i="1"/>
  <c r="BY4" i="1"/>
  <c r="BZ4" i="1"/>
  <c r="CA4" i="1"/>
  <c r="CA3" i="1" s="1"/>
  <c r="CB4" i="1"/>
  <c r="CC4" i="1"/>
  <c r="CD4" i="1"/>
  <c r="CE4" i="1"/>
  <c r="CF4" i="1"/>
  <c r="CG4" i="1"/>
  <c r="CH4" i="1"/>
  <c r="CI4" i="1"/>
  <c r="CJ4" i="1"/>
  <c r="CK4" i="1"/>
  <c r="CL4" i="1"/>
  <c r="CM4" i="1"/>
  <c r="CM3" i="1" s="1"/>
  <c r="CN4" i="1"/>
  <c r="CN3" i="1" s="1"/>
  <c r="CO4" i="1"/>
  <c r="CP4" i="1"/>
  <c r="CQ4" i="1"/>
  <c r="CR4" i="1"/>
  <c r="CS4" i="1"/>
  <c r="CT4" i="1"/>
  <c r="CU4" i="1"/>
  <c r="CV4" i="1"/>
  <c r="CW4" i="1"/>
  <c r="CX4" i="1"/>
  <c r="CY4" i="1"/>
  <c r="CY3" i="1" s="1"/>
  <c r="CZ4" i="1"/>
  <c r="DA4" i="1"/>
  <c r="DB4" i="1"/>
  <c r="DC4" i="1"/>
  <c r="DD4" i="1"/>
  <c r="DE4" i="1"/>
  <c r="DF4" i="1"/>
  <c r="DG4" i="1"/>
  <c r="DH4" i="1"/>
  <c r="DI4" i="1"/>
  <c r="DJ4" i="1"/>
  <c r="DK4" i="1"/>
  <c r="DK3" i="1" s="1"/>
  <c r="DL4" i="1"/>
  <c r="DL3" i="1" s="1"/>
  <c r="DM4" i="1"/>
  <c r="DN4" i="1"/>
  <c r="DO4" i="1"/>
  <c r="DP4" i="1"/>
  <c r="DQ4" i="1"/>
  <c r="DR4" i="1"/>
  <c r="DS4" i="1"/>
  <c r="DT4" i="1"/>
  <c r="DT3" i="1" s="1"/>
  <c r="DU4" i="1"/>
  <c r="DV4" i="1"/>
  <c r="DW4" i="1"/>
  <c r="DW3" i="1" s="1"/>
  <c r="DX4" i="1"/>
  <c r="DX3" i="1" s="1"/>
  <c r="DY4" i="1"/>
  <c r="K5" i="1"/>
  <c r="L5" i="1"/>
  <c r="M5" i="1"/>
  <c r="N5" i="1"/>
  <c r="O5" i="1"/>
  <c r="P5" i="1"/>
  <c r="Q5" i="1"/>
  <c r="R5" i="1"/>
  <c r="S5" i="1"/>
  <c r="T5" i="1"/>
  <c r="U5" i="1"/>
  <c r="V5" i="1"/>
  <c r="W5" i="1"/>
  <c r="X5" i="1"/>
  <c r="Y5" i="1"/>
  <c r="Z5" i="1"/>
  <c r="AA5" i="1"/>
  <c r="AB5" i="1"/>
  <c r="AC5" i="1"/>
  <c r="AD5" i="1"/>
  <c r="AE5" i="1"/>
  <c r="AF5" i="1"/>
  <c r="AG5" i="1"/>
  <c r="AH5" i="1"/>
  <c r="AI5" i="1"/>
  <c r="AJ5" i="1"/>
  <c r="AK5" i="1"/>
  <c r="AL5" i="1"/>
  <c r="AM5" i="1"/>
  <c r="AN5" i="1"/>
  <c r="AO5" i="1"/>
  <c r="AP5" i="1"/>
  <c r="AQ5" i="1"/>
  <c r="AR5" i="1"/>
  <c r="AS5" i="1"/>
  <c r="AT5" i="1"/>
  <c r="AU5" i="1"/>
  <c r="AV5" i="1"/>
  <c r="AW5" i="1"/>
  <c r="AX5" i="1"/>
  <c r="AY5" i="1"/>
  <c r="AZ5" i="1"/>
  <c r="BA5" i="1"/>
  <c r="BB5" i="1"/>
  <c r="BC5" i="1"/>
  <c r="BD5" i="1"/>
  <c r="BE5" i="1"/>
  <c r="BF5" i="1"/>
  <c r="BG5" i="1"/>
  <c r="BH5" i="1"/>
  <c r="BI5" i="1"/>
  <c r="BJ5" i="1"/>
  <c r="BK5" i="1"/>
  <c r="BL5" i="1"/>
  <c r="BM5" i="1"/>
  <c r="BN5" i="1"/>
  <c r="BO5" i="1"/>
  <c r="BP5" i="1"/>
  <c r="BQ5" i="1"/>
  <c r="BR5" i="1"/>
  <c r="BS5" i="1"/>
  <c r="BT5" i="1"/>
  <c r="BU5" i="1"/>
  <c r="BV5" i="1"/>
  <c r="BW5" i="1"/>
  <c r="BX5" i="1"/>
  <c r="BY5" i="1"/>
  <c r="BZ5" i="1"/>
  <c r="CA5" i="1"/>
  <c r="CB5" i="1"/>
  <c r="CC5" i="1"/>
  <c r="CD5" i="1"/>
  <c r="CE5" i="1"/>
  <c r="CF5" i="1"/>
  <c r="CG5" i="1"/>
  <c r="CH5" i="1"/>
  <c r="CI5" i="1"/>
  <c r="CJ5" i="1"/>
  <c r="CK5" i="1"/>
  <c r="CL5" i="1"/>
  <c r="CM5" i="1"/>
  <c r="CN5" i="1"/>
  <c r="CO5" i="1"/>
  <c r="CP5" i="1"/>
  <c r="CQ5" i="1"/>
  <c r="CR5" i="1"/>
  <c r="CS5" i="1"/>
  <c r="CT5" i="1"/>
  <c r="CU5" i="1"/>
  <c r="CV5" i="1"/>
  <c r="CW5" i="1"/>
  <c r="CX5" i="1"/>
  <c r="CY5" i="1"/>
  <c r="CZ5" i="1"/>
  <c r="DA5" i="1"/>
  <c r="DB5" i="1"/>
  <c r="DC5" i="1"/>
  <c r="DD5" i="1"/>
  <c r="DE5" i="1"/>
  <c r="DF5" i="1"/>
  <c r="DG5" i="1"/>
  <c r="DH5" i="1"/>
  <c r="DI5" i="1"/>
  <c r="DJ5" i="1"/>
  <c r="DK5" i="1"/>
  <c r="DL5" i="1"/>
  <c r="DM5" i="1"/>
  <c r="DN5" i="1"/>
  <c r="DO5" i="1"/>
  <c r="DP5" i="1"/>
  <c r="DQ5" i="1"/>
  <c r="DR5" i="1"/>
  <c r="DS5" i="1"/>
  <c r="DT5" i="1"/>
  <c r="DU5" i="1"/>
  <c r="DV5" i="1"/>
  <c r="DW5" i="1"/>
  <c r="DX5" i="1"/>
  <c r="DY5" i="1"/>
  <c r="J5" i="1"/>
  <c r="J4" i="1"/>
  <c r="II7" i="4"/>
  <c r="IH7" i="4"/>
  <c r="IG7" i="4"/>
  <c r="IF7" i="4"/>
  <c r="IE7" i="4"/>
  <c r="ID7" i="4"/>
  <c r="IC7" i="4"/>
  <c r="IB7" i="4"/>
  <c r="IA7" i="4"/>
  <c r="HZ7" i="4"/>
  <c r="HY7" i="4"/>
  <c r="HX7" i="4"/>
  <c r="HW7" i="4"/>
  <c r="HV7" i="4"/>
  <c r="HU7" i="4"/>
  <c r="HT7" i="4"/>
  <c r="HS7" i="4"/>
  <c r="HR7" i="4"/>
  <c r="HQ7" i="4"/>
  <c r="HP7" i="4"/>
  <c r="HO7" i="4"/>
  <c r="HN7" i="4"/>
  <c r="HM7" i="4"/>
  <c r="HL7" i="4"/>
  <c r="HK7" i="4"/>
  <c r="HJ7" i="4"/>
  <c r="HI7" i="4"/>
  <c r="HH7" i="4"/>
  <c r="HG7" i="4"/>
  <c r="HF7" i="4"/>
  <c r="HE7" i="4"/>
  <c r="HD7" i="4"/>
  <c r="HC7" i="4"/>
  <c r="HB7" i="4"/>
  <c r="HA7" i="4"/>
  <c r="GZ7" i="4"/>
  <c r="GY7" i="4"/>
  <c r="GX7" i="4"/>
  <c r="GW7" i="4"/>
  <c r="GV7" i="4"/>
  <c r="GU7" i="4"/>
  <c r="GT7" i="4"/>
  <c r="GS7" i="4"/>
  <c r="GR7" i="4"/>
  <c r="GQ7" i="4"/>
  <c r="GP7" i="4"/>
  <c r="GO7" i="4"/>
  <c r="GN7" i="4"/>
  <c r="GM7" i="4"/>
  <c r="GL7" i="4"/>
  <c r="GK7" i="4"/>
  <c r="GJ7" i="4"/>
  <c r="GI7" i="4"/>
  <c r="GH7" i="4"/>
  <c r="GG7" i="4"/>
  <c r="GF7" i="4"/>
  <c r="GE7" i="4"/>
  <c r="GD7" i="4"/>
  <c r="GC7" i="4"/>
  <c r="GB7" i="4"/>
  <c r="GA7" i="4"/>
  <c r="FZ7" i="4"/>
  <c r="FY7" i="4"/>
  <c r="FX7" i="4"/>
  <c r="FW7" i="4"/>
  <c r="FV7" i="4"/>
  <c r="FU7" i="4"/>
  <c r="FT7" i="4"/>
  <c r="FS7" i="4"/>
  <c r="FR7" i="4"/>
  <c r="FQ7" i="4"/>
  <c r="FP7" i="4"/>
  <c r="FO7" i="4"/>
  <c r="FN7" i="4"/>
  <c r="FM7" i="4"/>
  <c r="FL7" i="4"/>
  <c r="FK7" i="4"/>
  <c r="FJ7" i="4"/>
  <c r="FI7" i="4"/>
  <c r="FH7" i="4"/>
  <c r="FG7" i="4"/>
  <c r="FF7" i="4"/>
  <c r="FE7" i="4"/>
  <c r="FD7" i="4"/>
  <c r="FC7" i="4"/>
  <c r="FB7" i="4"/>
  <c r="FA7" i="4"/>
  <c r="EZ7" i="4"/>
  <c r="EY7" i="4"/>
  <c r="EX7" i="4"/>
  <c r="EW7" i="4"/>
  <c r="EV7" i="4"/>
  <c r="EU7" i="4"/>
  <c r="ET7" i="4"/>
  <c r="ES7" i="4"/>
  <c r="ER7" i="4"/>
  <c r="EQ7" i="4"/>
  <c r="EP7" i="4"/>
  <c r="EO7" i="4"/>
  <c r="EN7" i="4"/>
  <c r="EM7" i="4"/>
  <c r="EL7" i="4"/>
  <c r="EK7" i="4"/>
  <c r="EJ7" i="4"/>
  <c r="EI7" i="4"/>
  <c r="EH7" i="4"/>
  <c r="EG7" i="4"/>
  <c r="EF7" i="4"/>
  <c r="EE7" i="4"/>
  <c r="ED7" i="4"/>
  <c r="EC7" i="4"/>
  <c r="EB7" i="4"/>
  <c r="EA7" i="4"/>
  <c r="DZ7" i="4"/>
  <c r="DY7" i="4"/>
  <c r="DX7" i="4"/>
  <c r="DW7" i="4"/>
  <c r="DV7" i="4"/>
  <c r="DU7" i="4"/>
  <c r="DT7" i="4"/>
  <c r="DS7" i="4"/>
  <c r="DR7" i="4"/>
  <c r="DQ7" i="4"/>
  <c r="DP7" i="4"/>
  <c r="DO7" i="4"/>
  <c r="DN7" i="4"/>
  <c r="DM7" i="4"/>
  <c r="DL7" i="4"/>
  <c r="DK7" i="4"/>
  <c r="DJ7" i="4"/>
  <c r="DI7" i="4"/>
  <c r="DH7" i="4"/>
  <c r="DG7" i="4"/>
  <c r="DF7" i="4"/>
  <c r="DE7" i="4"/>
  <c r="DD7" i="4"/>
  <c r="DC7" i="4"/>
  <c r="DB7" i="4"/>
  <c r="DA7" i="4"/>
  <c r="CZ7" i="4"/>
  <c r="CY7" i="4"/>
  <c r="CX7" i="4"/>
  <c r="CW7" i="4"/>
  <c r="CV7" i="4"/>
  <c r="CU7" i="4"/>
  <c r="CT7" i="4"/>
  <c r="CS7" i="4"/>
  <c r="CR7" i="4"/>
  <c r="CQ7" i="4"/>
  <c r="CP7" i="4"/>
  <c r="CO7" i="4"/>
  <c r="CN7" i="4"/>
  <c r="CM7" i="4"/>
  <c r="CL7" i="4"/>
  <c r="CK7" i="4"/>
  <c r="CJ7" i="4"/>
  <c r="CI7" i="4"/>
  <c r="CH7" i="4"/>
  <c r="CG7" i="4"/>
  <c r="CF7" i="4"/>
  <c r="CE7" i="4"/>
  <c r="CD7" i="4"/>
  <c r="CC7" i="4"/>
  <c r="CB7" i="4"/>
  <c r="CA7" i="4"/>
  <c r="BZ7" i="4"/>
  <c r="BY7" i="4"/>
  <c r="BX7" i="4"/>
  <c r="BW7" i="4"/>
  <c r="BV7" i="4"/>
  <c r="BU7" i="4"/>
  <c r="BT7" i="4"/>
  <c r="BS7" i="4"/>
  <c r="BR7" i="4"/>
  <c r="BQ7" i="4"/>
  <c r="BP7" i="4"/>
  <c r="BO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II6" i="4"/>
  <c r="IH6" i="4"/>
  <c r="IG6" i="4"/>
  <c r="IF6" i="4"/>
  <c r="IE6" i="4"/>
  <c r="ID6" i="4"/>
  <c r="IC6" i="4"/>
  <c r="IB6" i="4"/>
  <c r="IA6" i="4"/>
  <c r="HZ6" i="4"/>
  <c r="HY6" i="4"/>
  <c r="HX6" i="4"/>
  <c r="HW6" i="4"/>
  <c r="HV6" i="4"/>
  <c r="HU6" i="4"/>
  <c r="HT6" i="4"/>
  <c r="HS6" i="4"/>
  <c r="HR6" i="4"/>
  <c r="HQ6" i="4"/>
  <c r="HP6" i="4"/>
  <c r="HO6" i="4"/>
  <c r="HN6" i="4"/>
  <c r="HM6" i="4"/>
  <c r="HL6" i="4"/>
  <c r="HK6" i="4"/>
  <c r="HJ6" i="4"/>
  <c r="HI6" i="4"/>
  <c r="HH6" i="4"/>
  <c r="HG6" i="4"/>
  <c r="HF6" i="4"/>
  <c r="HE6" i="4"/>
  <c r="HD6" i="4"/>
  <c r="HC6" i="4"/>
  <c r="HB6" i="4"/>
  <c r="HA6" i="4"/>
  <c r="GZ6" i="4"/>
  <c r="GY6" i="4"/>
  <c r="GX6" i="4"/>
  <c r="GW6" i="4"/>
  <c r="GV6" i="4"/>
  <c r="GU6" i="4"/>
  <c r="GT6" i="4"/>
  <c r="GS6" i="4"/>
  <c r="GR6" i="4"/>
  <c r="GQ6" i="4"/>
  <c r="GP6" i="4"/>
  <c r="GO6" i="4"/>
  <c r="GN6" i="4"/>
  <c r="GM6" i="4"/>
  <c r="GL6" i="4"/>
  <c r="GK6" i="4"/>
  <c r="GJ6" i="4"/>
  <c r="GI6" i="4"/>
  <c r="GH6" i="4"/>
  <c r="GG6" i="4"/>
  <c r="GF6" i="4"/>
  <c r="GE6" i="4"/>
  <c r="GD6" i="4"/>
  <c r="GC6" i="4"/>
  <c r="GB6" i="4"/>
  <c r="GA6" i="4"/>
  <c r="FZ6" i="4"/>
  <c r="FY6" i="4"/>
  <c r="FX6" i="4"/>
  <c r="FW6" i="4"/>
  <c r="FV6" i="4"/>
  <c r="FU6" i="4"/>
  <c r="FT6" i="4"/>
  <c r="FS6" i="4"/>
  <c r="FR6" i="4"/>
  <c r="FQ6" i="4"/>
  <c r="FP6" i="4"/>
  <c r="FO6" i="4"/>
  <c r="FN6" i="4"/>
  <c r="FM6" i="4"/>
  <c r="FL6" i="4"/>
  <c r="FK6" i="4"/>
  <c r="FJ6" i="4"/>
  <c r="FI6" i="4"/>
  <c r="FH6" i="4"/>
  <c r="FG6" i="4"/>
  <c r="FF6" i="4"/>
  <c r="FE6" i="4"/>
  <c r="FD6" i="4"/>
  <c r="FC6" i="4"/>
  <c r="FB6" i="4"/>
  <c r="FA6" i="4"/>
  <c r="EZ6" i="4"/>
  <c r="EY6" i="4"/>
  <c r="EX6" i="4"/>
  <c r="EW6" i="4"/>
  <c r="EV6" i="4"/>
  <c r="EU6" i="4"/>
  <c r="ET6" i="4"/>
  <c r="ES6" i="4"/>
  <c r="ER6" i="4"/>
  <c r="EQ6" i="4"/>
  <c r="EP6" i="4"/>
  <c r="EO6" i="4"/>
  <c r="EN6" i="4"/>
  <c r="EM6" i="4"/>
  <c r="EL6" i="4"/>
  <c r="EK6" i="4"/>
  <c r="EJ6" i="4"/>
  <c r="EI6" i="4"/>
  <c r="EH6" i="4"/>
  <c r="EG6" i="4"/>
  <c r="EF6" i="4"/>
  <c r="EE6" i="4"/>
  <c r="ED6" i="4"/>
  <c r="EC6" i="4"/>
  <c r="EB6" i="4"/>
  <c r="EA6" i="4"/>
  <c r="DZ6" i="4"/>
  <c r="DY6" i="4"/>
  <c r="DX6" i="4"/>
  <c r="DW6" i="4"/>
  <c r="DV6" i="4"/>
  <c r="DU6" i="4"/>
  <c r="DT6" i="4"/>
  <c r="DS6" i="4"/>
  <c r="DR6" i="4"/>
  <c r="DQ6" i="4"/>
  <c r="DP6" i="4"/>
  <c r="DO6" i="4"/>
  <c r="DN6" i="4"/>
  <c r="DM6" i="4"/>
  <c r="DL6" i="4"/>
  <c r="DK6" i="4"/>
  <c r="DJ6" i="4"/>
  <c r="DI6" i="4"/>
  <c r="DH6" i="4"/>
  <c r="DG6" i="4"/>
  <c r="DF6" i="4"/>
  <c r="DE6" i="4"/>
  <c r="DD6" i="4"/>
  <c r="DC6" i="4"/>
  <c r="DB6" i="4"/>
  <c r="DA6" i="4"/>
  <c r="CZ6" i="4"/>
  <c r="CY6" i="4"/>
  <c r="CX6" i="4"/>
  <c r="CW6" i="4"/>
  <c r="CV6" i="4"/>
  <c r="CU6" i="4"/>
  <c r="CT6" i="4"/>
  <c r="CS6" i="4"/>
  <c r="CR6" i="4"/>
  <c r="CQ6" i="4"/>
  <c r="CP6" i="4"/>
  <c r="CO6" i="4"/>
  <c r="CN6" i="4"/>
  <c r="CM6" i="4"/>
  <c r="CL6" i="4"/>
  <c r="CK6" i="4"/>
  <c r="CJ6" i="4"/>
  <c r="CI6" i="4"/>
  <c r="CH6" i="4"/>
  <c r="CG6" i="4"/>
  <c r="CF6" i="4"/>
  <c r="CE6" i="4"/>
  <c r="CD6" i="4"/>
  <c r="CC6" i="4"/>
  <c r="CB6" i="4"/>
  <c r="CA6" i="4"/>
  <c r="BZ6" i="4"/>
  <c r="BY6" i="4"/>
  <c r="BX6" i="4"/>
  <c r="BW6" i="4"/>
  <c r="BV6" i="4"/>
  <c r="BU6" i="4"/>
  <c r="BT6" i="4"/>
  <c r="BS6" i="4"/>
  <c r="BR6" i="4"/>
  <c r="BQ6" i="4"/>
  <c r="BP6" i="4"/>
  <c r="BO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II4" i="4"/>
  <c r="II5" i="4" s="1"/>
  <c r="IH4" i="4"/>
  <c r="IH5" i="4" s="1"/>
  <c r="IG4" i="4"/>
  <c r="IG5" i="4" s="1"/>
  <c r="IF4" i="4"/>
  <c r="IF5" i="4" s="1"/>
  <c r="IE4" i="4"/>
  <c r="IE5" i="4" s="1"/>
  <c r="ID4" i="4"/>
  <c r="ID5" i="4" s="1"/>
  <c r="IC4" i="4"/>
  <c r="IC5" i="4" s="1"/>
  <c r="IB4" i="4"/>
  <c r="IB5" i="4" s="1"/>
  <c r="IA4" i="4"/>
  <c r="IA5" i="4" s="1"/>
  <c r="HZ4" i="4"/>
  <c r="HZ5" i="4" s="1"/>
  <c r="HY4" i="4"/>
  <c r="HY5" i="4" s="1"/>
  <c r="HX4" i="4"/>
  <c r="HX5" i="4" s="1"/>
  <c r="HW4" i="4"/>
  <c r="HW5" i="4" s="1"/>
  <c r="HV4" i="4"/>
  <c r="HV5" i="4" s="1"/>
  <c r="HU4" i="4"/>
  <c r="HU5" i="4" s="1"/>
  <c r="HT4" i="4"/>
  <c r="HT5" i="4" s="1"/>
  <c r="HS4" i="4"/>
  <c r="HS5" i="4" s="1"/>
  <c r="HR4" i="4"/>
  <c r="HR5" i="4" s="1"/>
  <c r="HQ4" i="4"/>
  <c r="HQ5" i="4" s="1"/>
  <c r="HP4" i="4"/>
  <c r="HP5" i="4" s="1"/>
  <c r="HO4" i="4"/>
  <c r="HO5" i="4" s="1"/>
  <c r="HN4" i="4"/>
  <c r="HN5" i="4" s="1"/>
  <c r="HM4" i="4"/>
  <c r="HM5" i="4" s="1"/>
  <c r="HL4" i="4"/>
  <c r="HL5" i="4" s="1"/>
  <c r="HK4" i="4"/>
  <c r="HK5" i="4" s="1"/>
  <c r="HJ4" i="4"/>
  <c r="HJ5" i="4" s="1"/>
  <c r="HI4" i="4"/>
  <c r="HI5" i="4" s="1"/>
  <c r="HH4" i="4"/>
  <c r="HH5" i="4" s="1"/>
  <c r="HG4" i="4"/>
  <c r="HG5" i="4" s="1"/>
  <c r="HF4" i="4"/>
  <c r="HF5" i="4" s="1"/>
  <c r="HE4" i="4"/>
  <c r="HE5" i="4" s="1"/>
  <c r="HD4" i="4"/>
  <c r="HD5" i="4" s="1"/>
  <c r="HC4" i="4"/>
  <c r="HC5" i="4" s="1"/>
  <c r="HB4" i="4"/>
  <c r="HB5" i="4" s="1"/>
  <c r="HA4" i="4"/>
  <c r="HA5" i="4" s="1"/>
  <c r="GZ4" i="4"/>
  <c r="GZ5" i="4" s="1"/>
  <c r="GY4" i="4"/>
  <c r="GY5" i="4" s="1"/>
  <c r="GX4" i="4"/>
  <c r="GX5" i="4" s="1"/>
  <c r="GW4" i="4"/>
  <c r="GW5" i="4" s="1"/>
  <c r="GV4" i="4"/>
  <c r="GV5" i="4" s="1"/>
  <c r="GU4" i="4"/>
  <c r="GU5" i="4" s="1"/>
  <c r="GT4" i="4"/>
  <c r="GT5" i="4" s="1"/>
  <c r="GS4" i="4"/>
  <c r="GS5" i="4" s="1"/>
  <c r="GR4" i="4"/>
  <c r="GR5" i="4" s="1"/>
  <c r="GQ4" i="4"/>
  <c r="GQ5" i="4" s="1"/>
  <c r="GP4" i="4"/>
  <c r="GP5" i="4" s="1"/>
  <c r="GO4" i="4"/>
  <c r="GO5" i="4" s="1"/>
  <c r="GN4" i="4"/>
  <c r="GN5" i="4" s="1"/>
  <c r="GM4" i="4"/>
  <c r="GM5" i="4" s="1"/>
  <c r="GL4" i="4"/>
  <c r="GL5" i="4" s="1"/>
  <c r="GK4" i="4"/>
  <c r="GK5" i="4" s="1"/>
  <c r="GJ4" i="4"/>
  <c r="GJ5" i="4" s="1"/>
  <c r="GI4" i="4"/>
  <c r="GI5" i="4" s="1"/>
  <c r="GH4" i="4"/>
  <c r="GH5" i="4" s="1"/>
  <c r="GG4" i="4"/>
  <c r="GG5" i="4" s="1"/>
  <c r="GF4" i="4"/>
  <c r="GF5" i="4" s="1"/>
  <c r="GE4" i="4"/>
  <c r="GE5" i="4" s="1"/>
  <c r="GD4" i="4"/>
  <c r="GD5" i="4" s="1"/>
  <c r="GC4" i="4"/>
  <c r="GC5" i="4" s="1"/>
  <c r="GB4" i="4"/>
  <c r="GB5" i="4" s="1"/>
  <c r="GA4" i="4"/>
  <c r="GA5" i="4" s="1"/>
  <c r="FZ4" i="4"/>
  <c r="FZ5" i="4" s="1"/>
  <c r="FY4" i="4"/>
  <c r="FY5" i="4" s="1"/>
  <c r="FX4" i="4"/>
  <c r="FX5" i="4" s="1"/>
  <c r="FW4" i="4"/>
  <c r="FW5" i="4" s="1"/>
  <c r="FV4" i="4"/>
  <c r="FV5" i="4" s="1"/>
  <c r="FU4" i="4"/>
  <c r="FU5" i="4" s="1"/>
  <c r="FT4" i="4"/>
  <c r="FT5" i="4" s="1"/>
  <c r="FS4" i="4"/>
  <c r="FS5" i="4" s="1"/>
  <c r="FR4" i="4"/>
  <c r="FR5" i="4" s="1"/>
  <c r="FQ4" i="4"/>
  <c r="FQ5" i="4" s="1"/>
  <c r="FP4" i="4"/>
  <c r="FP5" i="4" s="1"/>
  <c r="FO4" i="4"/>
  <c r="FO5" i="4" s="1"/>
  <c r="FN4" i="4"/>
  <c r="FN5" i="4" s="1"/>
  <c r="FM4" i="4"/>
  <c r="FM5" i="4" s="1"/>
  <c r="FL4" i="4"/>
  <c r="FL5" i="4" s="1"/>
  <c r="FK4" i="4"/>
  <c r="FK5" i="4" s="1"/>
  <c r="FJ4" i="4"/>
  <c r="FJ5" i="4" s="1"/>
  <c r="FI4" i="4"/>
  <c r="FI5" i="4" s="1"/>
  <c r="FH4" i="4"/>
  <c r="FH5" i="4" s="1"/>
  <c r="FG4" i="4"/>
  <c r="FG5" i="4" s="1"/>
  <c r="FF4" i="4"/>
  <c r="FF5" i="4" s="1"/>
  <c r="FE4" i="4"/>
  <c r="FE5" i="4" s="1"/>
  <c r="FD4" i="4"/>
  <c r="FD5" i="4" s="1"/>
  <c r="FC4" i="4"/>
  <c r="FC5" i="4" s="1"/>
  <c r="FB4" i="4"/>
  <c r="FB5" i="4" s="1"/>
  <c r="FA4" i="4"/>
  <c r="FA5" i="4" s="1"/>
  <c r="EZ4" i="4"/>
  <c r="EZ5" i="4" s="1"/>
  <c r="EY4" i="4"/>
  <c r="EY5" i="4" s="1"/>
  <c r="EX4" i="4"/>
  <c r="EX5" i="4" s="1"/>
  <c r="EW4" i="4"/>
  <c r="EW5" i="4" s="1"/>
  <c r="EV4" i="4"/>
  <c r="EV5" i="4" s="1"/>
  <c r="EU4" i="4"/>
  <c r="EU5" i="4" s="1"/>
  <c r="ET4" i="4"/>
  <c r="ET5" i="4" s="1"/>
  <c r="ES4" i="4"/>
  <c r="ES5" i="4" s="1"/>
  <c r="ER4" i="4"/>
  <c r="ER5" i="4" s="1"/>
  <c r="EQ4" i="4"/>
  <c r="EQ5" i="4" s="1"/>
  <c r="EP4" i="4"/>
  <c r="EP5" i="4" s="1"/>
  <c r="EO4" i="4"/>
  <c r="EO5" i="4" s="1"/>
  <c r="EN4" i="4"/>
  <c r="EN5" i="4" s="1"/>
  <c r="EM4" i="4"/>
  <c r="EM5" i="4" s="1"/>
  <c r="EL4" i="4"/>
  <c r="EL5" i="4" s="1"/>
  <c r="EK4" i="4"/>
  <c r="EK5" i="4" s="1"/>
  <c r="EJ4" i="4"/>
  <c r="EJ5" i="4" s="1"/>
  <c r="EI4" i="4"/>
  <c r="EI5" i="4" s="1"/>
  <c r="EH4" i="4"/>
  <c r="EH5" i="4" s="1"/>
  <c r="EG4" i="4"/>
  <c r="EG5" i="4" s="1"/>
  <c r="EF4" i="4"/>
  <c r="EF5" i="4" s="1"/>
  <c r="EE4" i="4"/>
  <c r="EE5" i="4" s="1"/>
  <c r="ED4" i="4"/>
  <c r="ED5" i="4" s="1"/>
  <c r="EC4" i="4"/>
  <c r="EC5" i="4" s="1"/>
  <c r="EB4" i="4"/>
  <c r="EB5" i="4" s="1"/>
  <c r="EA4" i="4"/>
  <c r="EA5" i="4" s="1"/>
  <c r="DZ4" i="4"/>
  <c r="DZ5" i="4" s="1"/>
  <c r="DY4" i="4"/>
  <c r="DY5" i="4" s="1"/>
  <c r="DX4" i="4"/>
  <c r="DX5" i="4" s="1"/>
  <c r="DW4" i="4"/>
  <c r="DW5" i="4" s="1"/>
  <c r="DV4" i="4"/>
  <c r="DV5" i="4" s="1"/>
  <c r="DU4" i="4"/>
  <c r="DU5" i="4" s="1"/>
  <c r="DT4" i="4"/>
  <c r="DT5" i="4" s="1"/>
  <c r="DS4" i="4"/>
  <c r="DS5" i="4" s="1"/>
  <c r="DR4" i="4"/>
  <c r="DR5" i="4" s="1"/>
  <c r="DQ4" i="4"/>
  <c r="DQ5" i="4" s="1"/>
  <c r="DP4" i="4"/>
  <c r="DP5" i="4" s="1"/>
  <c r="DO4" i="4"/>
  <c r="DO5" i="4" s="1"/>
  <c r="DN4" i="4"/>
  <c r="DN5" i="4" s="1"/>
  <c r="DM4" i="4"/>
  <c r="DM5" i="4" s="1"/>
  <c r="DL4" i="4"/>
  <c r="DL5" i="4" s="1"/>
  <c r="DK4" i="4"/>
  <c r="DK5" i="4" s="1"/>
  <c r="DJ4" i="4"/>
  <c r="DJ5" i="4" s="1"/>
  <c r="DI4" i="4"/>
  <c r="DI5" i="4" s="1"/>
  <c r="DH4" i="4"/>
  <c r="DH5" i="4" s="1"/>
  <c r="DG4" i="4"/>
  <c r="DG5" i="4" s="1"/>
  <c r="DF4" i="4"/>
  <c r="DF5" i="4" s="1"/>
  <c r="DE4" i="4"/>
  <c r="DE5" i="4" s="1"/>
  <c r="DD4" i="4"/>
  <c r="DD5" i="4" s="1"/>
  <c r="DC4" i="4"/>
  <c r="DC5" i="4" s="1"/>
  <c r="DB4" i="4"/>
  <c r="DB5" i="4" s="1"/>
  <c r="DA4" i="4"/>
  <c r="DA5" i="4" s="1"/>
  <c r="CZ4" i="4"/>
  <c r="CZ5" i="4" s="1"/>
  <c r="CY4" i="4"/>
  <c r="CY5" i="4" s="1"/>
  <c r="CX4" i="4"/>
  <c r="CX5" i="4" s="1"/>
  <c r="CW4" i="4"/>
  <c r="CW5" i="4" s="1"/>
  <c r="CV4" i="4"/>
  <c r="CV5" i="4" s="1"/>
  <c r="CU4" i="4"/>
  <c r="CU5" i="4" s="1"/>
  <c r="CT4" i="4"/>
  <c r="CT5" i="4" s="1"/>
  <c r="CS4" i="4"/>
  <c r="CS5" i="4" s="1"/>
  <c r="CR4" i="4"/>
  <c r="CR5" i="4" s="1"/>
  <c r="CQ4" i="4"/>
  <c r="CQ5" i="4" s="1"/>
  <c r="CP4" i="4"/>
  <c r="CP5" i="4" s="1"/>
  <c r="CO4" i="4"/>
  <c r="CO5" i="4" s="1"/>
  <c r="CN4" i="4"/>
  <c r="CN5" i="4" s="1"/>
  <c r="CM4" i="4"/>
  <c r="CM5" i="4" s="1"/>
  <c r="CL4" i="4"/>
  <c r="CL5" i="4" s="1"/>
  <c r="CK4" i="4"/>
  <c r="CK5" i="4" s="1"/>
  <c r="CJ4" i="4"/>
  <c r="CJ5" i="4" s="1"/>
  <c r="CI4" i="4"/>
  <c r="CI5" i="4" s="1"/>
  <c r="CH4" i="4"/>
  <c r="CH5" i="4" s="1"/>
  <c r="CG4" i="4"/>
  <c r="CG5" i="4" s="1"/>
  <c r="CF4" i="4"/>
  <c r="CF5" i="4" s="1"/>
  <c r="CE4" i="4"/>
  <c r="CE5" i="4" s="1"/>
  <c r="CD4" i="4"/>
  <c r="CD5" i="4" s="1"/>
  <c r="CC4" i="4"/>
  <c r="CC5" i="4" s="1"/>
  <c r="CB4" i="4"/>
  <c r="CB5" i="4" s="1"/>
  <c r="CA4" i="4"/>
  <c r="CA5" i="4" s="1"/>
  <c r="BZ4" i="4"/>
  <c r="BZ5" i="4" s="1"/>
  <c r="BY4" i="4"/>
  <c r="BY5" i="4" s="1"/>
  <c r="BX4" i="4"/>
  <c r="BX5" i="4" s="1"/>
  <c r="BW4" i="4"/>
  <c r="BW5" i="4" s="1"/>
  <c r="BV4" i="4"/>
  <c r="BV5" i="4" s="1"/>
  <c r="BU4" i="4"/>
  <c r="BU5" i="4" s="1"/>
  <c r="BT4" i="4"/>
  <c r="BT5" i="4" s="1"/>
  <c r="BS4" i="4"/>
  <c r="BS5" i="4" s="1"/>
  <c r="BR4" i="4"/>
  <c r="BR5" i="4" s="1"/>
  <c r="BQ4" i="4"/>
  <c r="BQ5" i="4" s="1"/>
  <c r="BP4" i="4"/>
  <c r="BP5" i="4" s="1"/>
  <c r="BO4" i="4"/>
  <c r="BO5" i="4" s="1"/>
  <c r="BN4" i="4"/>
  <c r="BN5" i="4" s="1"/>
  <c r="BM4" i="4"/>
  <c r="BM5" i="4" s="1"/>
  <c r="BL4" i="4"/>
  <c r="BL5" i="4" s="1"/>
  <c r="BK4" i="4"/>
  <c r="BK5" i="4" s="1"/>
  <c r="BJ4" i="4"/>
  <c r="BJ5" i="4" s="1"/>
  <c r="BI4" i="4"/>
  <c r="BI5" i="4" s="1"/>
  <c r="BH4" i="4"/>
  <c r="BH5" i="4" s="1"/>
  <c r="BG4" i="4"/>
  <c r="BG5" i="4" s="1"/>
  <c r="BF4" i="4"/>
  <c r="BF5" i="4" s="1"/>
  <c r="BE4" i="4"/>
  <c r="BE5" i="4" s="1"/>
  <c r="BD4" i="4"/>
  <c r="BD5" i="4" s="1"/>
  <c r="BC4" i="4"/>
  <c r="BC5" i="4" s="1"/>
  <c r="BB4" i="4"/>
  <c r="BB5" i="4" s="1"/>
  <c r="BA4" i="4"/>
  <c r="BA5" i="4" s="1"/>
  <c r="AZ4" i="4"/>
  <c r="AZ5" i="4" s="1"/>
  <c r="AY4" i="4"/>
  <c r="AY5" i="4" s="1"/>
  <c r="AX4" i="4"/>
  <c r="AX5" i="4" s="1"/>
  <c r="AW4" i="4"/>
  <c r="AW5" i="4" s="1"/>
  <c r="AV4" i="4"/>
  <c r="AV5" i="4" s="1"/>
  <c r="AU4" i="4"/>
  <c r="AU5" i="4" s="1"/>
  <c r="AT4" i="4"/>
  <c r="AT5" i="4" s="1"/>
  <c r="AS4" i="4"/>
  <c r="AS5" i="4" s="1"/>
  <c r="AR4" i="4"/>
  <c r="AR5" i="4" s="1"/>
  <c r="AQ4" i="4"/>
  <c r="AQ5" i="4" s="1"/>
  <c r="AP4" i="4"/>
  <c r="AP5" i="4" s="1"/>
  <c r="AO4" i="4"/>
  <c r="AO5" i="4" s="1"/>
  <c r="AN4" i="4"/>
  <c r="AN5" i="4" s="1"/>
  <c r="AM4" i="4"/>
  <c r="AM5" i="4" s="1"/>
  <c r="AL4" i="4"/>
  <c r="AL5" i="4" s="1"/>
  <c r="AK4" i="4"/>
  <c r="AK5" i="4" s="1"/>
  <c r="AJ4" i="4"/>
  <c r="AJ5" i="4" s="1"/>
  <c r="AI4" i="4"/>
  <c r="AI5" i="4" s="1"/>
  <c r="AH4" i="4"/>
  <c r="AH5" i="4" s="1"/>
  <c r="AG4" i="4"/>
  <c r="AG5" i="4" s="1"/>
  <c r="AF4" i="4"/>
  <c r="AF5" i="4" s="1"/>
  <c r="AE4" i="4"/>
  <c r="AE5" i="4" s="1"/>
  <c r="AD4" i="4"/>
  <c r="AD5" i="4" s="1"/>
  <c r="AC4" i="4"/>
  <c r="AC5" i="4" s="1"/>
  <c r="AB4" i="4"/>
  <c r="AB5" i="4" s="1"/>
  <c r="AA4" i="4"/>
  <c r="AA5" i="4" s="1"/>
  <c r="Z4" i="4"/>
  <c r="Z5" i="4" s="1"/>
  <c r="Y4" i="4"/>
  <c r="Y5" i="4" s="1"/>
  <c r="X4" i="4"/>
  <c r="X5" i="4" s="1"/>
  <c r="W4" i="4"/>
  <c r="W5" i="4" s="1"/>
  <c r="V4" i="4"/>
  <c r="V5" i="4" s="1"/>
  <c r="U4" i="4"/>
  <c r="U5" i="4" s="1"/>
  <c r="T4" i="4"/>
  <c r="T5" i="4" s="1"/>
  <c r="S4" i="4"/>
  <c r="S5" i="4" s="1"/>
  <c r="R4" i="4"/>
  <c r="R5" i="4" s="1"/>
  <c r="Q4" i="4"/>
  <c r="Q5" i="4" s="1"/>
  <c r="P4" i="4"/>
  <c r="P5" i="4" s="1"/>
  <c r="O4" i="4"/>
  <c r="O5" i="4" s="1"/>
  <c r="N4" i="4"/>
  <c r="N5" i="4" s="1"/>
  <c r="M4" i="4"/>
  <c r="M5" i="4" s="1"/>
  <c r="L4" i="4"/>
  <c r="L5" i="4" s="1"/>
  <c r="K4" i="4"/>
  <c r="K5" i="4" s="1"/>
  <c r="J4" i="4"/>
  <c r="J5" i="4" s="1"/>
  <c r="I4" i="4"/>
  <c r="I5" i="4" s="1"/>
  <c r="H4" i="4"/>
  <c r="H5" i="4" s="1"/>
  <c r="G4" i="4"/>
  <c r="G5" i="4" s="1"/>
  <c r="F4" i="4"/>
  <c r="F5" i="4" s="1"/>
  <c r="E4" i="4"/>
  <c r="E5" i="4" s="1"/>
  <c r="D4" i="4"/>
  <c r="D5" i="4" s="1"/>
  <c r="E34" i="3"/>
  <c r="E3" i="3"/>
  <c r="E16" i="3" s="1"/>
  <c r="D34" i="3"/>
  <c r="D3" i="3"/>
  <c r="D16" i="3" s="1"/>
  <c r="C17" i="3"/>
  <c r="C34" i="3" s="1"/>
  <c r="C9" i="3"/>
  <c r="C16" i="3" s="1"/>
  <c r="B17" i="3"/>
  <c r="B34" i="3" s="1"/>
  <c r="B16" i="3"/>
  <c r="BQ24" i="10" l="1"/>
  <c r="BQ47" i="10" s="1"/>
  <c r="BP47" i="10"/>
  <c r="BQ48" i="10"/>
  <c r="CS17" i="1"/>
  <c r="Q6" i="1"/>
  <c r="DU6" i="1"/>
  <c r="DI6" i="1"/>
  <c r="CW6" i="1"/>
  <c r="CK6" i="1"/>
  <c r="BY6" i="1"/>
  <c r="BM6" i="1"/>
  <c r="BA6" i="1"/>
  <c r="AO6" i="1"/>
  <c r="AC6" i="1"/>
  <c r="DR3" i="1"/>
  <c r="U3" i="1"/>
  <c r="K6" i="1"/>
  <c r="CQ17" i="1"/>
  <c r="BS17" i="1"/>
  <c r="BG17" i="1"/>
  <c r="DX9" i="1"/>
  <c r="DL9" i="1"/>
  <c r="CZ9" i="1"/>
  <c r="CN9" i="1"/>
  <c r="CB9" i="1"/>
  <c r="J17" i="1"/>
  <c r="DH20" i="1"/>
  <c r="CJ20" i="1"/>
  <c r="BX20" i="1"/>
  <c r="BL20" i="1"/>
  <c r="AN20" i="1"/>
  <c r="P20" i="1"/>
  <c r="CI20" i="1"/>
  <c r="O20" i="1"/>
  <c r="CQ20" i="1"/>
  <c r="BG20" i="1"/>
  <c r="W20" i="1"/>
  <c r="DT6" i="1"/>
  <c r="BX6" i="1"/>
  <c r="BL6" i="1"/>
  <c r="AN6" i="1"/>
  <c r="DY20" i="1"/>
  <c r="DM20" i="1"/>
  <c r="DA20" i="1"/>
  <c r="CO20" i="1"/>
  <c r="CC20" i="1"/>
  <c r="BQ20" i="1"/>
  <c r="BE20" i="1"/>
  <c r="AS20" i="1"/>
  <c r="AG20" i="1"/>
  <c r="U20" i="1"/>
  <c r="K3" i="1"/>
  <c r="BQ6" i="1"/>
  <c r="AT17" i="1"/>
  <c r="Q3" i="1"/>
  <c r="DM6" i="1"/>
  <c r="BE6" i="1"/>
  <c r="J20" i="1"/>
  <c r="CB6" i="1"/>
  <c r="BP6" i="1"/>
  <c r="DK9" i="1"/>
  <c r="CM9" i="1"/>
  <c r="CO17" i="1"/>
  <c r="AG17" i="1"/>
  <c r="DY6" i="1"/>
  <c r="AS6" i="1"/>
  <c r="CD17" i="1"/>
  <c r="V17" i="1"/>
  <c r="DW9" i="1"/>
  <c r="CY9" i="1"/>
  <c r="CA9" i="1"/>
  <c r="DM17" i="1"/>
  <c r="DA17" i="1"/>
  <c r="CC17" i="1"/>
  <c r="BQ17" i="1"/>
  <c r="AS17" i="1"/>
  <c r="U17" i="1"/>
  <c r="BZ26" i="1"/>
  <c r="DV9" i="1"/>
  <c r="DJ9" i="1"/>
  <c r="CX9" i="1"/>
  <c r="BZ9" i="1"/>
  <c r="CH20" i="1"/>
  <c r="BF20" i="1"/>
  <c r="CG20" i="1"/>
  <c r="BU20" i="1"/>
  <c r="AN17" i="1"/>
  <c r="DS6" i="1"/>
  <c r="AM6" i="1"/>
  <c r="DX20" i="1"/>
  <c r="DL20" i="1"/>
  <c r="CZ20" i="1"/>
  <c r="CN20" i="1"/>
  <c r="CB20" i="1"/>
  <c r="BP20" i="1"/>
  <c r="BD20" i="1"/>
  <c r="AR20" i="1"/>
  <c r="AF20" i="1"/>
  <c r="T20" i="1"/>
  <c r="DS17" i="1"/>
  <c r="DG17" i="1"/>
  <c r="AY17" i="1"/>
  <c r="AM17" i="1"/>
  <c r="DR6" i="1"/>
  <c r="DF6" i="1"/>
  <c r="CT6" i="1"/>
  <c r="CH6" i="1"/>
  <c r="BV6" i="1"/>
  <c r="BJ6" i="1"/>
  <c r="AX6" i="1"/>
  <c r="Z6" i="1"/>
  <c r="N6" i="1"/>
  <c r="DW20" i="1"/>
  <c r="DK20" i="1"/>
  <c r="CY20" i="1"/>
  <c r="CM20" i="1"/>
  <c r="CA20" i="1"/>
  <c r="BO20" i="1"/>
  <c r="BC20" i="1"/>
  <c r="AQ20" i="1"/>
  <c r="AE20" i="1"/>
  <c r="S20" i="1"/>
  <c r="DU3" i="1"/>
  <c r="CC6" i="1"/>
  <c r="U6" i="1"/>
  <c r="DN17" i="1"/>
  <c r="DB17" i="1"/>
  <c r="CP17" i="1"/>
  <c r="BR17" i="1"/>
  <c r="BF17" i="1"/>
  <c r="AH17" i="1"/>
  <c r="DV20" i="1"/>
  <c r="DI20" i="1"/>
  <c r="AO20" i="1"/>
  <c r="DC6" i="1"/>
  <c r="DV3" i="1"/>
  <c r="DV16" i="1" s="1"/>
  <c r="CX3" i="1"/>
  <c r="K17" i="1"/>
  <c r="AK6" i="1"/>
  <c r="DO6" i="1"/>
  <c r="CQ6" i="1"/>
  <c r="CE6" i="1"/>
  <c r="BS6" i="1"/>
  <c r="AU6" i="1"/>
  <c r="AI6" i="1"/>
  <c r="W6" i="1"/>
  <c r="CT17" i="1"/>
  <c r="CP6" i="1"/>
  <c r="V6" i="1"/>
  <c r="DE17" i="1"/>
  <c r="DS3" i="1"/>
  <c r="CI3" i="1"/>
  <c r="BK3" i="1"/>
  <c r="AM3" i="1"/>
  <c r="O3" i="1"/>
  <c r="DC17" i="1"/>
  <c r="DN26" i="1"/>
  <c r="CH3" i="1"/>
  <c r="CH16" i="1" s="1"/>
  <c r="BY26" i="1"/>
  <c r="CU9" i="1"/>
  <c r="J3" i="1"/>
  <c r="DN3" i="1"/>
  <c r="DB3" i="1"/>
  <c r="CP3" i="1"/>
  <c r="CD3" i="1"/>
  <c r="BR3" i="1"/>
  <c r="BF3" i="1"/>
  <c r="AT3" i="1"/>
  <c r="AH3" i="1"/>
  <c r="V3" i="1"/>
  <c r="CJ26" i="1"/>
  <c r="BK26" i="1"/>
  <c r="DR17" i="1"/>
  <c r="DF17" i="1"/>
  <c r="CH17" i="1"/>
  <c r="BV17" i="1"/>
  <c r="AX17" i="1"/>
  <c r="AL17" i="1"/>
  <c r="Z17" i="1"/>
  <c r="N17" i="1"/>
  <c r="DQ6" i="1"/>
  <c r="DE6" i="1"/>
  <c r="CS6" i="1"/>
  <c r="CS16" i="1" s="1"/>
  <c r="CG6" i="1"/>
  <c r="BU6" i="1"/>
  <c r="BI6" i="1"/>
  <c r="AW6" i="1"/>
  <c r="Y6" i="1"/>
  <c r="M6" i="1"/>
  <c r="BS9" i="1"/>
  <c r="DJ20" i="1"/>
  <c r="CX20" i="1"/>
  <c r="CL20" i="1"/>
  <c r="BZ20" i="1"/>
  <c r="BN20" i="1"/>
  <c r="BB20" i="1"/>
  <c r="AP20" i="1"/>
  <c r="AD20" i="1"/>
  <c r="R20" i="1"/>
  <c r="BP17" i="1"/>
  <c r="BJ3" i="1"/>
  <c r="CV9" i="1"/>
  <c r="DY3" i="1"/>
  <c r="DY16" i="1" s="1"/>
  <c r="DM3" i="1"/>
  <c r="DA3" i="1"/>
  <c r="CO3" i="1"/>
  <c r="CC3" i="1"/>
  <c r="BQ3" i="1"/>
  <c r="BQ16" i="1" s="1"/>
  <c r="BE3" i="1"/>
  <c r="AS3" i="1"/>
  <c r="AG3" i="1"/>
  <c r="BJ26" i="1"/>
  <c r="AX26" i="1"/>
  <c r="AK17" i="1"/>
  <c r="Y17" i="1"/>
  <c r="DP6" i="1"/>
  <c r="DD6" i="1"/>
  <c r="CR6" i="1"/>
  <c r="CF6" i="1"/>
  <c r="BT6" i="1"/>
  <c r="BH6" i="1"/>
  <c r="AV6" i="1"/>
  <c r="AJ6" i="1"/>
  <c r="X6" i="1"/>
  <c r="L6" i="1"/>
  <c r="DU20" i="1"/>
  <c r="CW20" i="1"/>
  <c r="CK20" i="1"/>
  <c r="BY20" i="1"/>
  <c r="BM20" i="1"/>
  <c r="BA20" i="1"/>
  <c r="AC20" i="1"/>
  <c r="Q20" i="1"/>
  <c r="DM26" i="1"/>
  <c r="BR9" i="1"/>
  <c r="CT9" i="1"/>
  <c r="DY9" i="1"/>
  <c r="DN6" i="1"/>
  <c r="AT6" i="1"/>
  <c r="DM9" i="1"/>
  <c r="BQ9" i="1"/>
  <c r="CE17" i="1"/>
  <c r="AI17" i="1"/>
  <c r="W17" i="1"/>
  <c r="DW17" i="1"/>
  <c r="CY17" i="1"/>
  <c r="BO17" i="1"/>
  <c r="AQ17" i="1"/>
  <c r="S17" i="1"/>
  <c r="CB3" i="1"/>
  <c r="DH9" i="1"/>
  <c r="BX9" i="1"/>
  <c r="CJ6" i="1"/>
  <c r="AB6" i="1"/>
  <c r="CI9" i="1"/>
  <c r="DI17" i="1"/>
  <c r="BY17" i="1"/>
  <c r="BA17" i="1"/>
  <c r="AO17" i="1"/>
  <c r="AC17" i="1"/>
  <c r="L20" i="1"/>
  <c r="DO20" i="1"/>
  <c r="DC20" i="1"/>
  <c r="BS20" i="1"/>
  <c r="AU20" i="1"/>
  <c r="AI20" i="1"/>
  <c r="DE9" i="1"/>
  <c r="CV20" i="1"/>
  <c r="AB20" i="1"/>
  <c r="CA17" i="1"/>
  <c r="CZ3" i="1"/>
  <c r="BD3" i="1"/>
  <c r="M20" i="1"/>
  <c r="DH6" i="1"/>
  <c r="DG9" i="1"/>
  <c r="BW9" i="1"/>
  <c r="DU17" i="1"/>
  <c r="CW17" i="1"/>
  <c r="BM17" i="1"/>
  <c r="Q17" i="1"/>
  <c r="CU20" i="1"/>
  <c r="AA20" i="1"/>
  <c r="DQ3" i="1"/>
  <c r="DE3" i="1"/>
  <c r="CS3" i="1"/>
  <c r="CG3" i="1"/>
  <c r="BU3" i="1"/>
  <c r="BI3" i="1"/>
  <c r="AW3" i="1"/>
  <c r="AK3" i="1"/>
  <c r="Y3" i="1"/>
  <c r="AU26" i="1"/>
  <c r="AS26" i="1"/>
  <c r="CX26" i="1"/>
  <c r="CL26" i="1"/>
  <c r="AD26" i="1"/>
  <c r="R26" i="1"/>
  <c r="CO6" i="1"/>
  <c r="CT20" i="1"/>
  <c r="Z20" i="1"/>
  <c r="DK17" i="1"/>
  <c r="CM17" i="1"/>
  <c r="BC17" i="1"/>
  <c r="AE17" i="1"/>
  <c r="DT9" i="1"/>
  <c r="CJ9" i="1"/>
  <c r="CX16" i="1"/>
  <c r="CV6" i="1"/>
  <c r="AZ6" i="1"/>
  <c r="P6" i="1"/>
  <c r="DS9" i="1"/>
  <c r="CK17" i="1"/>
  <c r="AU3" i="1"/>
  <c r="AI3" i="1"/>
  <c r="W3" i="1"/>
  <c r="CK26" i="1"/>
  <c r="Q26" i="1"/>
  <c r="DX17" i="1"/>
  <c r="DL17" i="1"/>
  <c r="CZ17" i="1"/>
  <c r="CN17" i="1"/>
  <c r="CB17" i="1"/>
  <c r="BD17" i="1"/>
  <c r="AR17" i="1"/>
  <c r="AF17" i="1"/>
  <c r="T17" i="1"/>
  <c r="DI9" i="1"/>
  <c r="CW9" i="1"/>
  <c r="CI6" i="1"/>
  <c r="O6" i="1"/>
  <c r="DQ9" i="1"/>
  <c r="CS9" i="1"/>
  <c r="DI3" i="1"/>
  <c r="CW3" i="1"/>
  <c r="CK3" i="1"/>
  <c r="BY3" i="1"/>
  <c r="BM3" i="1"/>
  <c r="BA3" i="1"/>
  <c r="AO3" i="1"/>
  <c r="AC3" i="1"/>
  <c r="DO26" i="1"/>
  <c r="DC26" i="1"/>
  <c r="CE26" i="1"/>
  <c r="BG26" i="1"/>
  <c r="AI26" i="1"/>
  <c r="K26" i="1"/>
  <c r="DB26" i="1"/>
  <c r="CP26" i="1"/>
  <c r="CD26" i="1"/>
  <c r="BR26" i="1"/>
  <c r="BF26" i="1"/>
  <c r="BF34" i="1" s="1"/>
  <c r="AT26" i="1"/>
  <c r="AH26" i="1"/>
  <c r="V26" i="1"/>
  <c r="DT20" i="1"/>
  <c r="AZ20" i="1"/>
  <c r="J9" i="1"/>
  <c r="DH3" i="1"/>
  <c r="CV3" i="1"/>
  <c r="CJ3" i="1"/>
  <c r="BX3" i="1"/>
  <c r="AZ3" i="1"/>
  <c r="AN3" i="1"/>
  <c r="AB3" i="1"/>
  <c r="P3" i="1"/>
  <c r="DY26" i="1"/>
  <c r="DA26" i="1"/>
  <c r="CO26" i="1"/>
  <c r="CC26" i="1"/>
  <c r="BQ26" i="1"/>
  <c r="BE26" i="1"/>
  <c r="AG26" i="1"/>
  <c r="U26" i="1"/>
  <c r="DB6" i="1"/>
  <c r="BR6" i="1"/>
  <c r="BF6" i="1"/>
  <c r="AH6" i="1"/>
  <c r="DS20" i="1"/>
  <c r="DG20" i="1"/>
  <c r="BW20" i="1"/>
  <c r="BK20" i="1"/>
  <c r="AY20" i="1"/>
  <c r="AM20" i="1"/>
  <c r="P26" i="1"/>
  <c r="DG6" i="1"/>
  <c r="DR9" i="1"/>
  <c r="DT17" i="1"/>
  <c r="CV17" i="1"/>
  <c r="BX17" i="1"/>
  <c r="AZ17" i="1"/>
  <c r="AB17" i="1"/>
  <c r="P17" i="1"/>
  <c r="DN20" i="1"/>
  <c r="BR20" i="1"/>
  <c r="AH20" i="1"/>
  <c r="V20" i="1"/>
  <c r="BU9" i="1"/>
  <c r="DG3" i="1"/>
  <c r="CU3" i="1"/>
  <c r="BW3" i="1"/>
  <c r="AY3" i="1"/>
  <c r="AA3" i="1"/>
  <c r="DX26" i="1"/>
  <c r="DL26" i="1"/>
  <c r="CZ26" i="1"/>
  <c r="CN26" i="1"/>
  <c r="CB26" i="1"/>
  <c r="BP26" i="1"/>
  <c r="BD26" i="1"/>
  <c r="AR26" i="1"/>
  <c r="AF26" i="1"/>
  <c r="T26" i="1"/>
  <c r="DA6" i="1"/>
  <c r="AG6" i="1"/>
  <c r="DN9" i="1"/>
  <c r="DB9" i="1"/>
  <c r="CP9" i="1"/>
  <c r="CD9" i="1"/>
  <c r="DP17" i="1"/>
  <c r="DD17" i="1"/>
  <c r="CR17" i="1"/>
  <c r="CF17" i="1"/>
  <c r="BT17" i="1"/>
  <c r="BH17" i="1"/>
  <c r="AV17" i="1"/>
  <c r="AJ17" i="1"/>
  <c r="X17" i="1"/>
  <c r="L17" i="1"/>
  <c r="DR20" i="1"/>
  <c r="DF20" i="1"/>
  <c r="BV20" i="1"/>
  <c r="BJ20" i="1"/>
  <c r="AX20" i="1"/>
  <c r="AL20" i="1"/>
  <c r="N20" i="1"/>
  <c r="CU6" i="1"/>
  <c r="BW6" i="1"/>
  <c r="BK6" i="1"/>
  <c r="AY6" i="1"/>
  <c r="AA6" i="1"/>
  <c r="CE9" i="1"/>
  <c r="DF9" i="1"/>
  <c r="CH9" i="1"/>
  <c r="BV9" i="1"/>
  <c r="DH17" i="1"/>
  <c r="CJ17" i="1"/>
  <c r="BL17" i="1"/>
  <c r="K20" i="1"/>
  <c r="DB20" i="1"/>
  <c r="CP20" i="1"/>
  <c r="CD20" i="1"/>
  <c r="AT20" i="1"/>
  <c r="CG9" i="1"/>
  <c r="DF3" i="1"/>
  <c r="DF16" i="1" s="1"/>
  <c r="CT3" i="1"/>
  <c r="BV3" i="1"/>
  <c r="AX3" i="1"/>
  <c r="Z3" i="1"/>
  <c r="N3" i="1"/>
  <c r="DW26" i="1"/>
  <c r="DW34" i="1" s="1"/>
  <c r="DK26" i="1"/>
  <c r="CY26" i="1"/>
  <c r="CM26" i="1"/>
  <c r="CA26" i="1"/>
  <c r="BO26" i="1"/>
  <c r="BC26" i="1"/>
  <c r="AQ26" i="1"/>
  <c r="AE26" i="1"/>
  <c r="S26" i="1"/>
  <c r="DY17" i="1"/>
  <c r="BE17" i="1"/>
  <c r="DX6" i="1"/>
  <c r="DX16" i="1" s="1"/>
  <c r="DL6" i="1"/>
  <c r="CZ6" i="1"/>
  <c r="CN6" i="1"/>
  <c r="BD6" i="1"/>
  <c r="AR6" i="1"/>
  <c r="AF6" i="1"/>
  <c r="T6" i="1"/>
  <c r="CL9" i="1"/>
  <c r="DO17" i="1"/>
  <c r="AU17" i="1"/>
  <c r="BX26" i="1"/>
  <c r="DR26" i="1"/>
  <c r="DQ26" i="1"/>
  <c r="BI26" i="1"/>
  <c r="AW26" i="1"/>
  <c r="DP26" i="1"/>
  <c r="DD26" i="1"/>
  <c r="CF26" i="1"/>
  <c r="BT26" i="1"/>
  <c r="BH26" i="1"/>
  <c r="AV26" i="1"/>
  <c r="AJ26" i="1"/>
  <c r="X26" i="1"/>
  <c r="L26" i="1"/>
  <c r="DV17" i="1"/>
  <c r="BZ17" i="1"/>
  <c r="BN17" i="1"/>
  <c r="BB17" i="1"/>
  <c r="BL26" i="1"/>
  <c r="BW26" i="1"/>
  <c r="BV26" i="1"/>
  <c r="CR26" i="1"/>
  <c r="DJ3" i="1"/>
  <c r="CL3" i="1"/>
  <c r="BZ3" i="1"/>
  <c r="BZ16" i="1" s="1"/>
  <c r="BN3" i="1"/>
  <c r="BB3" i="1"/>
  <c r="AP3" i="1"/>
  <c r="AD3" i="1"/>
  <c r="R3" i="1"/>
  <c r="CQ26" i="1"/>
  <c r="BS26" i="1"/>
  <c r="W26" i="1"/>
  <c r="BV16" i="1"/>
  <c r="CX17" i="1"/>
  <c r="R17" i="1"/>
  <c r="DC9" i="1"/>
  <c r="BB26" i="1"/>
  <c r="CU17" i="1"/>
  <c r="CI17" i="1"/>
  <c r="BW17" i="1"/>
  <c r="BK17" i="1"/>
  <c r="AA17" i="1"/>
  <c r="O17" i="1"/>
  <c r="CE20" i="1"/>
  <c r="DJ17" i="1"/>
  <c r="AP17" i="1"/>
  <c r="M10" i="1"/>
  <c r="L9" i="1"/>
  <c r="DJ26" i="1"/>
  <c r="AP26" i="1"/>
  <c r="DP3" i="1"/>
  <c r="DD3" i="1"/>
  <c r="CR3" i="1"/>
  <c r="CF3" i="1"/>
  <c r="BT3" i="1"/>
  <c r="DU26" i="1"/>
  <c r="DI26" i="1"/>
  <c r="CW26" i="1"/>
  <c r="BM26" i="1"/>
  <c r="BA26" i="1"/>
  <c r="AO26" i="1"/>
  <c r="AC26" i="1"/>
  <c r="BJ17" i="1"/>
  <c r="AD17" i="1"/>
  <c r="DO9" i="1"/>
  <c r="DV26" i="1"/>
  <c r="BN26" i="1"/>
  <c r="DO3" i="1"/>
  <c r="DC3" i="1"/>
  <c r="CQ3" i="1"/>
  <c r="CE3" i="1"/>
  <c r="BS3" i="1"/>
  <c r="BG3" i="1"/>
  <c r="J26" i="1"/>
  <c r="DT26" i="1"/>
  <c r="DH26" i="1"/>
  <c r="CV26" i="1"/>
  <c r="AZ26" i="1"/>
  <c r="AN26" i="1"/>
  <c r="AB26" i="1"/>
  <c r="CQ9" i="1"/>
  <c r="DQ17" i="1"/>
  <c r="CG17" i="1"/>
  <c r="BU17" i="1"/>
  <c r="BI17" i="1"/>
  <c r="AW17" i="1"/>
  <c r="M17" i="1"/>
  <c r="DS26" i="1"/>
  <c r="DG26" i="1"/>
  <c r="CU26" i="1"/>
  <c r="CI26" i="1"/>
  <c r="AY26" i="1"/>
  <c r="AM26" i="1"/>
  <c r="AA26" i="1"/>
  <c r="O26" i="1"/>
  <c r="CL17" i="1"/>
  <c r="J6" i="1"/>
  <c r="DF26" i="1"/>
  <c r="CT26" i="1"/>
  <c r="CH26" i="1"/>
  <c r="AL26" i="1"/>
  <c r="Z26" i="1"/>
  <c r="N26" i="1"/>
  <c r="DA9" i="1"/>
  <c r="CO9" i="1"/>
  <c r="CC9" i="1"/>
  <c r="DQ20" i="1"/>
  <c r="DE20" i="1"/>
  <c r="CS20" i="1"/>
  <c r="CS34" i="1" s="1"/>
  <c r="BI20" i="1"/>
  <c r="AW20" i="1"/>
  <c r="AK20" i="1"/>
  <c r="Y20" i="1"/>
  <c r="K9" i="1"/>
  <c r="BP3" i="1"/>
  <c r="AR3" i="1"/>
  <c r="AF3" i="1"/>
  <c r="T3" i="1"/>
  <c r="DE26" i="1"/>
  <c r="CS26" i="1"/>
  <c r="CG26" i="1"/>
  <c r="BU26" i="1"/>
  <c r="AK26" i="1"/>
  <c r="Y26" i="1"/>
  <c r="M26" i="1"/>
  <c r="DW6" i="1"/>
  <c r="DW16" i="1" s="1"/>
  <c r="DK6" i="1"/>
  <c r="CY6" i="1"/>
  <c r="CY16" i="1" s="1"/>
  <c r="CM6" i="1"/>
  <c r="CA6" i="1"/>
  <c r="CA16" i="1" s="1"/>
  <c r="BO6" i="1"/>
  <c r="BC6" i="1"/>
  <c r="AQ6" i="1"/>
  <c r="AE6" i="1"/>
  <c r="S6" i="1"/>
  <c r="DU9" i="1"/>
  <c r="CK9" i="1"/>
  <c r="BY9" i="1"/>
  <c r="BH3" i="1"/>
  <c r="AV3" i="1"/>
  <c r="AJ3" i="1"/>
  <c r="X3" i="1"/>
  <c r="L3" i="1"/>
  <c r="DP9" i="1"/>
  <c r="DD9" i="1"/>
  <c r="CR9" i="1"/>
  <c r="CF9" i="1"/>
  <c r="BT9" i="1"/>
  <c r="DP20" i="1"/>
  <c r="DD20" i="1"/>
  <c r="CR20" i="1"/>
  <c r="CF20" i="1"/>
  <c r="BT20" i="1"/>
  <c r="BH20" i="1"/>
  <c r="AV20" i="1"/>
  <c r="AJ20" i="1"/>
  <c r="X20" i="1"/>
  <c r="I17" i="1"/>
  <c r="I16" i="1"/>
  <c r="BQ21" i="10" l="1"/>
  <c r="BQ49" i="10" s="1"/>
  <c r="DK16" i="1"/>
  <c r="DA34" i="1"/>
  <c r="BG34" i="1"/>
  <c r="CN16" i="1"/>
  <c r="DQ16" i="1"/>
  <c r="C48" i="1"/>
  <c r="C42" i="1"/>
  <c r="C41" i="1"/>
  <c r="C40" i="1"/>
  <c r="I34" i="1"/>
  <c r="C43" i="1" s="1"/>
  <c r="C44" i="1"/>
  <c r="DL16" i="1"/>
  <c r="AG34" i="1"/>
  <c r="U34" i="1"/>
  <c r="AR34" i="1"/>
  <c r="K16" i="1"/>
  <c r="CQ34" i="1"/>
  <c r="DN34" i="1"/>
  <c r="CB16" i="1"/>
  <c r="AN34" i="1"/>
  <c r="BP34" i="1"/>
  <c r="AM34" i="1"/>
  <c r="AY34" i="1"/>
  <c r="J34" i="1"/>
  <c r="DT16" i="1"/>
  <c r="CT16" i="1"/>
  <c r="DS16" i="1"/>
  <c r="BQ34" i="1"/>
  <c r="BQ35" i="1" s="1"/>
  <c r="CW16" i="1"/>
  <c r="DU16" i="1"/>
  <c r="CC34" i="1"/>
  <c r="DI16" i="1"/>
  <c r="DT34" i="1"/>
  <c r="CO34" i="1"/>
  <c r="CY34" i="1"/>
  <c r="CY35" i="1" s="1"/>
  <c r="AK34" i="1"/>
  <c r="BR16" i="1"/>
  <c r="BT34" i="1"/>
  <c r="CM16" i="1"/>
  <c r="AU34" i="1"/>
  <c r="CJ34" i="1"/>
  <c r="CF34" i="1"/>
  <c r="DR16" i="1"/>
  <c r="CM34" i="1"/>
  <c r="DM34" i="1"/>
  <c r="AS34" i="1"/>
  <c r="DJ16" i="1"/>
  <c r="BD34" i="1"/>
  <c r="AF34" i="1"/>
  <c r="DK34" i="1"/>
  <c r="DK35" i="1" s="1"/>
  <c r="DH34" i="1"/>
  <c r="BR34" i="1"/>
  <c r="CB34" i="1"/>
  <c r="BX16" i="1"/>
  <c r="BJ34" i="1"/>
  <c r="CP16" i="1"/>
  <c r="BU16" i="1"/>
  <c r="DG16" i="1"/>
  <c r="BZ34" i="1"/>
  <c r="BZ35" i="1" s="1"/>
  <c r="CK34" i="1"/>
  <c r="CK35" i="1" s="1"/>
  <c r="DM16" i="1"/>
  <c r="DD34" i="1"/>
  <c r="BY16" i="1"/>
  <c r="DV34" i="1"/>
  <c r="DV35" i="1" s="1"/>
  <c r="CW34" i="1"/>
  <c r="CW35" i="1" s="1"/>
  <c r="CK16" i="1"/>
  <c r="CP34" i="1"/>
  <c r="AZ34" i="1"/>
  <c r="DY34" i="1"/>
  <c r="V34" i="1"/>
  <c r="DC34" i="1"/>
  <c r="DX34" i="1"/>
  <c r="DX35" i="1" s="1"/>
  <c r="DE16" i="1"/>
  <c r="AQ34" i="1"/>
  <c r="AL34" i="1"/>
  <c r="DA16" i="1"/>
  <c r="DA35" i="1" s="1"/>
  <c r="AH34" i="1"/>
  <c r="DO34" i="1"/>
  <c r="Q34" i="1"/>
  <c r="BO34" i="1"/>
  <c r="AX34" i="1"/>
  <c r="CD16" i="1"/>
  <c r="R34" i="1"/>
  <c r="CL16" i="1"/>
  <c r="DW35" i="1"/>
  <c r="T34" i="1"/>
  <c r="AE34" i="1"/>
  <c r="DB34" i="1"/>
  <c r="BE34" i="1"/>
  <c r="BC34" i="1"/>
  <c r="CX34" i="1"/>
  <c r="CX35" i="1" s="1"/>
  <c r="N34" i="1"/>
  <c r="BY34" i="1"/>
  <c r="BY35" i="1" s="1"/>
  <c r="K34" i="1"/>
  <c r="K35" i="1" s="1"/>
  <c r="CR34" i="1"/>
  <c r="CR35" i="1" s="1"/>
  <c r="CH34" i="1"/>
  <c r="CH35" i="1" s="1"/>
  <c r="BS16" i="1"/>
  <c r="DB16" i="1"/>
  <c r="DI34" i="1"/>
  <c r="CT34" i="1"/>
  <c r="AD34" i="1"/>
  <c r="CI16" i="1"/>
  <c r="DP34" i="1"/>
  <c r="DE34" i="1"/>
  <c r="DF34" i="1"/>
  <c r="DF35" i="1" s="1"/>
  <c r="AI34" i="1"/>
  <c r="DC16" i="1"/>
  <c r="DU34" i="1"/>
  <c r="DU35" i="1" s="1"/>
  <c r="CC16" i="1"/>
  <c r="CI34" i="1"/>
  <c r="CA34" i="1"/>
  <c r="CA35" i="1" s="1"/>
  <c r="AT34" i="1"/>
  <c r="L34" i="1"/>
  <c r="P34" i="1"/>
  <c r="CZ34" i="1"/>
  <c r="CV16" i="1"/>
  <c r="CG16" i="1"/>
  <c r="DY35" i="1"/>
  <c r="AC34" i="1"/>
  <c r="AO34" i="1"/>
  <c r="DR34" i="1"/>
  <c r="J16" i="1"/>
  <c r="CN34" i="1"/>
  <c r="CL34" i="1"/>
  <c r="CV34" i="1"/>
  <c r="CU34" i="1"/>
  <c r="W34" i="1"/>
  <c r="BV34" i="1"/>
  <c r="BV35" i="1" s="1"/>
  <c r="CD34" i="1"/>
  <c r="DN16" i="1"/>
  <c r="DN35" i="1" s="1"/>
  <c r="AB34" i="1"/>
  <c r="DL34" i="1"/>
  <c r="DL35" i="1" s="1"/>
  <c r="S34" i="1"/>
  <c r="BA34" i="1"/>
  <c r="BK34" i="1"/>
  <c r="CO16" i="1"/>
  <c r="BW16" i="1"/>
  <c r="X34" i="1"/>
  <c r="CE16" i="1"/>
  <c r="CU16" i="1"/>
  <c r="AJ34" i="1"/>
  <c r="CQ16" i="1"/>
  <c r="CQ35" i="1" s="1"/>
  <c r="CF16" i="1"/>
  <c r="CF35" i="1" s="1"/>
  <c r="BM34" i="1"/>
  <c r="BW34" i="1"/>
  <c r="AV34" i="1"/>
  <c r="CZ16" i="1"/>
  <c r="BH34" i="1"/>
  <c r="DO16" i="1"/>
  <c r="CJ16" i="1"/>
  <c r="Z34" i="1"/>
  <c r="DG34" i="1"/>
  <c r="BS34" i="1"/>
  <c r="DO35" i="1"/>
  <c r="L16" i="1"/>
  <c r="L35" i="1" s="1"/>
  <c r="CS35" i="1"/>
  <c r="DS34" i="1"/>
  <c r="CE34" i="1"/>
  <c r="BL34" i="1"/>
  <c r="BX34" i="1"/>
  <c r="DH16" i="1"/>
  <c r="Y34" i="1"/>
  <c r="BU34" i="1"/>
  <c r="DJ34" i="1"/>
  <c r="M34" i="1"/>
  <c r="AW34" i="1"/>
  <c r="DP16" i="1"/>
  <c r="BI34" i="1"/>
  <c r="AP34" i="1"/>
  <c r="CG34" i="1"/>
  <c r="DD16" i="1"/>
  <c r="DQ34" i="1"/>
  <c r="DQ35" i="1" s="1"/>
  <c r="N10" i="1"/>
  <c r="M9" i="1"/>
  <c r="M16" i="1" s="1"/>
  <c r="CR16" i="1"/>
  <c r="O34" i="1"/>
  <c r="AA34" i="1"/>
  <c r="BN34" i="1"/>
  <c r="BB34" i="1"/>
  <c r="BT16" i="1"/>
  <c r="CO35" i="1" l="1"/>
  <c r="CB35" i="1"/>
  <c r="BX35" i="1"/>
  <c r="I35" i="1"/>
  <c r="CN35" i="1"/>
  <c r="DI35" i="1"/>
  <c r="BT35" i="1"/>
  <c r="DR35" i="1"/>
  <c r="CC35" i="1"/>
  <c r="DM35" i="1"/>
  <c r="DJ35" i="1"/>
  <c r="BS35" i="1"/>
  <c r="CM35" i="1"/>
  <c r="DT35" i="1"/>
  <c r="CJ35" i="1"/>
  <c r="DH35" i="1"/>
  <c r="BR35" i="1"/>
  <c r="DS35" i="1"/>
  <c r="J35" i="1"/>
  <c r="DC35" i="1"/>
  <c r="CV35" i="1"/>
  <c r="CL35" i="1"/>
  <c r="CP35" i="1"/>
  <c r="DP35" i="1"/>
  <c r="CT35" i="1"/>
  <c r="BU35" i="1"/>
  <c r="DB35" i="1"/>
  <c r="DE35" i="1"/>
  <c r="DG35" i="1"/>
  <c r="CU35" i="1"/>
  <c r="DD35" i="1"/>
  <c r="CG35" i="1"/>
  <c r="CI35" i="1"/>
  <c r="CZ35" i="1"/>
  <c r="CD35" i="1"/>
  <c r="M35" i="1"/>
  <c r="BW35" i="1"/>
  <c r="CE35" i="1"/>
  <c r="O10" i="1"/>
  <c r="N9" i="1"/>
  <c r="N16" i="1" s="1"/>
  <c r="N35" i="1" s="1"/>
  <c r="P10" i="1" l="1"/>
  <c r="O9" i="1"/>
  <c r="O16" i="1" s="1"/>
  <c r="O35" i="1" s="1"/>
  <c r="Q10" i="1" l="1"/>
  <c r="P9" i="1"/>
  <c r="P16" i="1" s="1"/>
  <c r="P35" i="1" s="1"/>
  <c r="R10" i="1" l="1"/>
  <c r="Q9" i="1"/>
  <c r="Q16" i="1" s="1"/>
  <c r="Q35" i="1" s="1"/>
  <c r="S10" i="1" l="1"/>
  <c r="R9" i="1"/>
  <c r="R16" i="1" s="1"/>
  <c r="R35" i="1" s="1"/>
  <c r="T10" i="1" l="1"/>
  <c r="S9" i="1"/>
  <c r="S16" i="1" s="1"/>
  <c r="S35" i="1" s="1"/>
  <c r="U10" i="1" l="1"/>
  <c r="T9" i="1"/>
  <c r="T16" i="1" s="1"/>
  <c r="T35" i="1" s="1"/>
  <c r="V10" i="1" l="1"/>
  <c r="U9" i="1"/>
  <c r="U16" i="1" s="1"/>
  <c r="U35" i="1" s="1"/>
  <c r="W10" i="1" l="1"/>
  <c r="V9" i="1"/>
  <c r="V16" i="1" s="1"/>
  <c r="V35" i="1" s="1"/>
  <c r="X10" i="1" l="1"/>
  <c r="W9" i="1"/>
  <c r="W16" i="1" s="1"/>
  <c r="W35" i="1" s="1"/>
  <c r="Y10" i="1" l="1"/>
  <c r="X9" i="1"/>
  <c r="X16" i="1" s="1"/>
  <c r="X35" i="1" s="1"/>
  <c r="Z10" i="1" l="1"/>
  <c r="Y9" i="1"/>
  <c r="Y16" i="1" s="1"/>
  <c r="Y35" i="1" s="1"/>
  <c r="AA10" i="1" l="1"/>
  <c r="Z9" i="1"/>
  <c r="Z16" i="1" s="1"/>
  <c r="Z35" i="1" s="1"/>
  <c r="AB10" i="1" l="1"/>
  <c r="AA9" i="1"/>
  <c r="AA16" i="1" s="1"/>
  <c r="AA35" i="1" s="1"/>
  <c r="AC10" i="1" l="1"/>
  <c r="AB9" i="1"/>
  <c r="AB16" i="1" s="1"/>
  <c r="AB35" i="1" s="1"/>
  <c r="AD10" i="1" l="1"/>
  <c r="AC9" i="1"/>
  <c r="AC16" i="1" s="1"/>
  <c r="AC35" i="1" s="1"/>
  <c r="AE10" i="1" l="1"/>
  <c r="AD9" i="1"/>
  <c r="AD16" i="1" s="1"/>
  <c r="AD35" i="1" s="1"/>
  <c r="AF10" i="1" l="1"/>
  <c r="AE9" i="1"/>
  <c r="AE16" i="1" s="1"/>
  <c r="AE35" i="1" s="1"/>
  <c r="AG10" i="1" l="1"/>
  <c r="AF9" i="1"/>
  <c r="AF16" i="1" s="1"/>
  <c r="AF35" i="1" s="1"/>
  <c r="AH10" i="1" l="1"/>
  <c r="AG9" i="1"/>
  <c r="AG16" i="1" s="1"/>
  <c r="AG35" i="1" s="1"/>
  <c r="AI10" i="1" l="1"/>
  <c r="AH9" i="1"/>
  <c r="AH16" i="1" s="1"/>
  <c r="AH35" i="1" s="1"/>
  <c r="AJ10" i="1" l="1"/>
  <c r="AI9" i="1"/>
  <c r="AI16" i="1" s="1"/>
  <c r="AI35" i="1" s="1"/>
  <c r="AK10" i="1" l="1"/>
  <c r="AJ9" i="1"/>
  <c r="AJ16" i="1" s="1"/>
  <c r="AJ35" i="1" s="1"/>
  <c r="AL10" i="1" l="1"/>
  <c r="AK9" i="1"/>
  <c r="AK16" i="1" s="1"/>
  <c r="AK35" i="1" s="1"/>
  <c r="AM10" i="1" l="1"/>
  <c r="AL9" i="1"/>
  <c r="AL16" i="1" s="1"/>
  <c r="AL35" i="1" s="1"/>
  <c r="AN10" i="1" l="1"/>
  <c r="AM9" i="1"/>
  <c r="AM16" i="1" s="1"/>
  <c r="AM35" i="1" s="1"/>
  <c r="AO10" i="1" l="1"/>
  <c r="AN9" i="1"/>
  <c r="AN16" i="1" s="1"/>
  <c r="AN35" i="1" s="1"/>
  <c r="AP10" i="1" l="1"/>
  <c r="AO9" i="1"/>
  <c r="AO16" i="1" s="1"/>
  <c r="AO35" i="1" s="1"/>
  <c r="AQ10" i="1" l="1"/>
  <c r="AP9" i="1"/>
  <c r="AP16" i="1" s="1"/>
  <c r="AP35" i="1" s="1"/>
  <c r="AR10" i="1" l="1"/>
  <c r="AQ9" i="1"/>
  <c r="AQ16" i="1" s="1"/>
  <c r="AQ35" i="1" s="1"/>
  <c r="AS10" i="1" l="1"/>
  <c r="AR9" i="1"/>
  <c r="AR16" i="1" s="1"/>
  <c r="AR35" i="1" s="1"/>
  <c r="AT10" i="1" l="1"/>
  <c r="AS9" i="1"/>
  <c r="AS16" i="1" s="1"/>
  <c r="AS35" i="1" s="1"/>
  <c r="AU10" i="1" l="1"/>
  <c r="AT9" i="1"/>
  <c r="AT16" i="1" s="1"/>
  <c r="AT35" i="1" s="1"/>
  <c r="AV10" i="1" l="1"/>
  <c r="AU9" i="1"/>
  <c r="AU16" i="1" s="1"/>
  <c r="AU35" i="1" s="1"/>
  <c r="AW10" i="1" l="1"/>
  <c r="AV9" i="1"/>
  <c r="AV16" i="1" s="1"/>
  <c r="AV35" i="1" s="1"/>
  <c r="AX10" i="1" l="1"/>
  <c r="AW9" i="1"/>
  <c r="AW16" i="1" s="1"/>
  <c r="AW35" i="1" s="1"/>
  <c r="AY10" i="1" l="1"/>
  <c r="AX9" i="1"/>
  <c r="AX16" i="1" s="1"/>
  <c r="AX35" i="1" s="1"/>
  <c r="AZ10" i="1" l="1"/>
  <c r="AY9" i="1"/>
  <c r="AY16" i="1" s="1"/>
  <c r="AY35" i="1" s="1"/>
  <c r="BA10" i="1" l="1"/>
  <c r="AZ9" i="1"/>
  <c r="AZ16" i="1" s="1"/>
  <c r="AZ35" i="1" s="1"/>
  <c r="BB10" i="1" l="1"/>
  <c r="BA9" i="1"/>
  <c r="BA16" i="1" s="1"/>
  <c r="BA35" i="1" s="1"/>
  <c r="BC10" i="1" l="1"/>
  <c r="BB9" i="1"/>
  <c r="BB16" i="1" s="1"/>
  <c r="BB35" i="1" s="1"/>
  <c r="BD10" i="1" l="1"/>
  <c r="BC9" i="1"/>
  <c r="BC16" i="1" s="1"/>
  <c r="BC35" i="1" s="1"/>
  <c r="BE10" i="1" l="1"/>
  <c r="BD9" i="1"/>
  <c r="BD16" i="1" s="1"/>
  <c r="BD35" i="1" s="1"/>
  <c r="BF10" i="1" l="1"/>
  <c r="BE9" i="1"/>
  <c r="BE16" i="1" s="1"/>
  <c r="BE35" i="1" s="1"/>
  <c r="BG10" i="1" l="1"/>
  <c r="BF9" i="1"/>
  <c r="BF16" i="1" s="1"/>
  <c r="BF35" i="1" s="1"/>
  <c r="BH10" i="1" l="1"/>
  <c r="BG9" i="1"/>
  <c r="BG16" i="1" s="1"/>
  <c r="BG35" i="1" s="1"/>
  <c r="BI10" i="1" l="1"/>
  <c r="BH9" i="1"/>
  <c r="BH16" i="1" s="1"/>
  <c r="BH35" i="1" s="1"/>
  <c r="BJ10" i="1" l="1"/>
  <c r="BI9" i="1"/>
  <c r="BI16" i="1" s="1"/>
  <c r="BI35" i="1" s="1"/>
  <c r="BK10" i="1" l="1"/>
  <c r="BJ9" i="1"/>
  <c r="BJ16" i="1" s="1"/>
  <c r="BJ35" i="1" s="1"/>
  <c r="BL10" i="1" l="1"/>
  <c r="BK9" i="1"/>
  <c r="BK16" i="1" s="1"/>
  <c r="BK35" i="1" s="1"/>
  <c r="BM10" i="1" l="1"/>
  <c r="BL9" i="1"/>
  <c r="BL16" i="1" s="1"/>
  <c r="BL35" i="1" s="1"/>
  <c r="BN10" i="1" l="1"/>
  <c r="BM9" i="1"/>
  <c r="BM16" i="1" s="1"/>
  <c r="BM35" i="1" s="1"/>
  <c r="BO10" i="1" l="1"/>
  <c r="BN9" i="1"/>
  <c r="BN16" i="1" s="1"/>
  <c r="BN35" i="1" s="1"/>
  <c r="BP10" i="1" l="1"/>
  <c r="BP9" i="1" s="1"/>
  <c r="BP16" i="1" s="1"/>
  <c r="BP35" i="1" s="1"/>
  <c r="BO9" i="1"/>
  <c r="BO16" i="1" s="1"/>
  <c r="BO35" i="1" s="1"/>
  <c r="CL43" i="10" l="1"/>
  <c r="CL46" i="10" s="1"/>
  <c r="BE43" i="10"/>
  <c r="BE46" i="10" s="1"/>
  <c r="CF43" i="10"/>
  <c r="CF46" i="10" s="1"/>
  <c r="Z43" i="10"/>
  <c r="Z46" i="10" s="1"/>
  <c r="DH43" i="10"/>
  <c r="DH46" i="10" s="1"/>
  <c r="AC43" i="10"/>
  <c r="AC46" i="10" s="1"/>
  <c r="CB43" i="10"/>
  <c r="CB46" i="10" s="1"/>
  <c r="AW43" i="10"/>
  <c r="AW46" i="10" s="1"/>
  <c r="DP43" i="10"/>
  <c r="DP46" i="10" s="1"/>
  <c r="CA43" i="10"/>
  <c r="CA46" i="10" s="1"/>
  <c r="AV43" i="10"/>
  <c r="AV46" i="10" s="1"/>
  <c r="AG43" i="10"/>
  <c r="AG46" i="10" s="1"/>
  <c r="CY43" i="10"/>
  <c r="CY46" i="10" s="1"/>
  <c r="BT43" i="10"/>
  <c r="BT46" i="10" s="1"/>
  <c r="AF43" i="10"/>
  <c r="AF46" i="10" s="1"/>
  <c r="CX43" i="10"/>
  <c r="CX46" i="10" s="1"/>
  <c r="DV43" i="10"/>
  <c r="DV46" i="10" s="1"/>
  <c r="CP43" i="10"/>
  <c r="CP46" i="10" s="1"/>
  <c r="BB43" i="10"/>
  <c r="BB46" i="10" s="1"/>
  <c r="DD43" i="10"/>
  <c r="DD46" i="10" s="1"/>
  <c r="CI43" i="10"/>
  <c r="CI46" i="10" s="1"/>
  <c r="BP43" i="10"/>
  <c r="BP46" i="10" s="1"/>
  <c r="BJ43" i="10"/>
  <c r="BJ46" i="10" s="1"/>
  <c r="CR43" i="10"/>
  <c r="CR46" i="10" s="1"/>
  <c r="BD43" i="10"/>
  <c r="BD46" i="10" s="1"/>
  <c r="DN43" i="10"/>
  <c r="DN46" i="10" s="1"/>
  <c r="BS43" i="10"/>
  <c r="BS46" i="10" s="1"/>
  <c r="AT43" i="10"/>
  <c r="AT46" i="10" s="1"/>
  <c r="AO43" i="10"/>
  <c r="AO46" i="10" s="1"/>
  <c r="DI43" i="10"/>
  <c r="DI46" i="10" s="1"/>
  <c r="BZ43" i="10"/>
  <c r="BZ46" i="10" s="1"/>
  <c r="AE43" i="10"/>
  <c r="AE46" i="10" s="1"/>
  <c r="AU43" i="10"/>
  <c r="AU46" i="10" s="1"/>
  <c r="CG43" i="10"/>
  <c r="CG46" i="10" s="1"/>
  <c r="CQ43" i="10"/>
  <c r="CQ46" i="10" s="1"/>
  <c r="AL43" i="10"/>
  <c r="AL46" i="10" s="1"/>
  <c r="X43" i="10"/>
  <c r="X46" i="10" s="1"/>
  <c r="BQ43" i="10"/>
  <c r="BQ46" i="10" s="1"/>
  <c r="DY43" i="10"/>
  <c r="DY46" i="10" s="1"/>
  <c r="BC43" i="10"/>
  <c r="BC46" i="10" s="1"/>
  <c r="DM43" i="10"/>
  <c r="DM46" i="10" s="1"/>
  <c r="CW43" i="10"/>
  <c r="CW46" i="10" s="1"/>
  <c r="CM43" i="10"/>
  <c r="CM46" i="10" s="1"/>
  <c r="AP43" i="10"/>
  <c r="AP46" i="10" s="1"/>
  <c r="DU43" i="10"/>
  <c r="DU46" i="10" s="1"/>
  <c r="BY43" i="10"/>
  <c r="BY46" i="10" s="1"/>
  <c r="BR43" i="10"/>
  <c r="BR46" i="10" s="1"/>
  <c r="AM43" i="10"/>
  <c r="AM46" i="10" s="1"/>
  <c r="CH43" i="10"/>
  <c r="CH46" i="10" s="1"/>
  <c r="CO43" i="10"/>
  <c r="CO46" i="10" s="1"/>
  <c r="AK43" i="10"/>
  <c r="AK46" i="10" s="1"/>
  <c r="AD43" i="10"/>
  <c r="AD46" i="10" s="1"/>
  <c r="AS43" i="10"/>
  <c r="AS46" i="10" s="1"/>
  <c r="DB43" i="10"/>
  <c r="DB46" i="10" s="1"/>
  <c r="BA43" i="10"/>
  <c r="BA46" i="10" s="1"/>
  <c r="DL43" i="10"/>
  <c r="DL46" i="10" s="1"/>
  <c r="W43" i="10"/>
  <c r="W46" i="10" s="1"/>
  <c r="BI43" i="10"/>
  <c r="BI46" i="10" s="1"/>
  <c r="DX43" i="10"/>
  <c r="DX46" i="10" s="1"/>
  <c r="DT43" i="10"/>
  <c r="DT46" i="10" s="1"/>
  <c r="BX43" i="10"/>
  <c r="BX46" i="10" s="1"/>
  <c r="CV43" i="10"/>
  <c r="CV46" i="10" s="1"/>
  <c r="BO43" i="10"/>
  <c r="BO46" i="10" s="1"/>
  <c r="AR43" i="10"/>
  <c r="AR46" i="10" s="1"/>
  <c r="CN43" i="10"/>
  <c r="CN46" i="10" s="1"/>
  <c r="AJ43" i="10"/>
  <c r="AJ46" i="10" s="1"/>
  <c r="BH43" i="10"/>
  <c r="BH46" i="10" s="1"/>
  <c r="CE43" i="10"/>
  <c r="CE46" i="10" s="1"/>
  <c r="BN43" i="10"/>
  <c r="BN46" i="10" s="1"/>
  <c r="AZ43" i="10"/>
  <c r="AZ46" i="10" s="1"/>
  <c r="DK43" i="10"/>
  <c r="DK46" i="10" s="1"/>
  <c r="V43" i="10"/>
  <c r="V46" i="10" s="1"/>
  <c r="CK43" i="10"/>
  <c r="CK46" i="10" s="1"/>
  <c r="CJ43" i="10"/>
  <c r="CJ46" i="10" s="1"/>
  <c r="DS43" i="10"/>
  <c r="DS46" i="10" s="1"/>
  <c r="BW43" i="10"/>
  <c r="BW46" i="10" s="1"/>
  <c r="CU43" i="10"/>
  <c r="CU46" i="10" s="1"/>
  <c r="DA43" i="10"/>
  <c r="DA46" i="10" s="1"/>
  <c r="Y43" i="10"/>
  <c r="Y46" i="10" s="1"/>
  <c r="CD43" i="10"/>
  <c r="CD46" i="10" s="1"/>
  <c r="AI43" i="10"/>
  <c r="AI46" i="10" s="1"/>
  <c r="BG43" i="10"/>
  <c r="BG46" i="10" s="1"/>
  <c r="DG43" i="10"/>
  <c r="DG46" i="10" s="1"/>
  <c r="DF43" i="10"/>
  <c r="DF46" i="10" s="1"/>
  <c r="AY43" i="10"/>
  <c r="AY46" i="10" s="1"/>
  <c r="DJ43" i="10"/>
  <c r="DJ46" i="10" s="1"/>
  <c r="AB43" i="10"/>
  <c r="AB46" i="10" s="1"/>
  <c r="DW43" i="10"/>
  <c r="DW46" i="10" s="1"/>
  <c r="BK43" i="10"/>
  <c r="BK46" i="10" s="1"/>
  <c r="DR43" i="10"/>
  <c r="DR46" i="10" s="1"/>
  <c r="BV43" i="10"/>
  <c r="BV46" i="10" s="1"/>
  <c r="DO43" i="10"/>
  <c r="DO46" i="10" s="1"/>
  <c r="AQ43" i="10"/>
  <c r="AQ46" i="10" s="1"/>
  <c r="DC43" i="10"/>
  <c r="DC46" i="10" s="1"/>
  <c r="CC43" i="10"/>
  <c r="CC46" i="10" s="1"/>
  <c r="AH43" i="10"/>
  <c r="AH46" i="10" s="1"/>
  <c r="CT43" i="10"/>
  <c r="CT46" i="10" s="1"/>
  <c r="BM43" i="10"/>
  <c r="BM46" i="10" s="1"/>
  <c r="AX43" i="10"/>
  <c r="AX46" i="10" s="1"/>
  <c r="CZ43" i="10"/>
  <c r="CZ46" i="10" s="1"/>
  <c r="BF43" i="10"/>
  <c r="BF46" i="10" s="1"/>
  <c r="AN43" i="10"/>
  <c r="AN46" i="10" s="1"/>
  <c r="BL43" i="10"/>
  <c r="BL46" i="10" s="1"/>
  <c r="CS43" i="10"/>
  <c r="CS46" i="10" s="1"/>
  <c r="DQ43" i="10"/>
  <c r="DQ46" i="10" s="1"/>
  <c r="BU43" i="10"/>
  <c r="BU46" i="10" s="1"/>
  <c r="AA43" i="10"/>
  <c r="AA46" i="10" s="1"/>
  <c r="DE43" i="10"/>
  <c r="DE46" i="10" s="1"/>
  <c r="CB59" i="10"/>
  <c r="CT59" i="10"/>
  <c r="AV59" i="10"/>
  <c r="W59" i="10"/>
  <c r="BP59" i="10"/>
  <c r="CO59" i="10"/>
  <c r="DO59" i="10"/>
  <c r="AY59" i="10"/>
  <c r="DL59" i="10"/>
  <c r="DT59" i="10"/>
  <c r="BO59" i="10"/>
  <c r="BO112" i="10" s="1"/>
  <c r="CL59" i="10"/>
  <c r="DQ59" i="10"/>
  <c r="AS59" i="10"/>
  <c r="CY59" i="10"/>
  <c r="X59" i="10"/>
  <c r="AE59" i="10"/>
  <c r="V59" i="10"/>
  <c r="CJ59" i="10"/>
  <c r="DV59" i="10"/>
  <c r="DC59" i="10"/>
  <c r="BT59" i="10"/>
  <c r="AH59" i="10"/>
  <c r="AU59" i="10"/>
  <c r="CG59" i="10"/>
  <c r="BE59" i="10"/>
  <c r="CX59" i="10"/>
  <c r="CX112" i="10" s="1"/>
  <c r="DX59" i="10"/>
  <c r="BS59" i="10"/>
  <c r="BW59" i="10"/>
  <c r="CZ59" i="10"/>
  <c r="BJ59" i="10"/>
  <c r="AB59" i="10"/>
  <c r="AB112" i="10" s="1"/>
  <c r="U59" i="10"/>
  <c r="DY59" i="10"/>
  <c r="DY112" i="10" s="1"/>
  <c r="CI59" i="10"/>
  <c r="DD59" i="10"/>
  <c r="DU59" i="10"/>
  <c r="BD59" i="10"/>
  <c r="AD59" i="10"/>
  <c r="CD59" i="10"/>
  <c r="BF59" i="10"/>
  <c r="CM59" i="10"/>
  <c r="CF59" i="10"/>
  <c r="BA59" i="10"/>
  <c r="BL59" i="10"/>
  <c r="DN59" i="10"/>
  <c r="CP59" i="10"/>
  <c r="CP112" i="10" s="1"/>
  <c r="AZ59" i="10"/>
  <c r="AZ112" i="10" s="1"/>
  <c r="Z59" i="10"/>
  <c r="DF59" i="10"/>
  <c r="BX59" i="10"/>
  <c r="AR59" i="10"/>
  <c r="CH59" i="10"/>
  <c r="DR59" i="10"/>
  <c r="CE59" i="10"/>
  <c r="DJ59" i="10"/>
  <c r="AO59" i="10"/>
  <c r="AM59" i="10"/>
  <c r="CR59" i="10"/>
  <c r="DM59" i="10"/>
  <c r="DM112" i="10" s="1"/>
  <c r="AI59" i="10"/>
  <c r="DB59" i="10"/>
  <c r="DH59" i="10"/>
  <c r="AX59" i="10"/>
  <c r="CA59" i="10"/>
  <c r="AF59" i="10"/>
  <c r="BI59" i="10"/>
  <c r="BM59" i="10"/>
  <c r="BN59" i="10"/>
  <c r="AC59" i="10"/>
  <c r="AC112" i="10" s="1"/>
  <c r="CN59" i="10"/>
  <c r="AP59" i="10"/>
  <c r="AG59" i="10"/>
  <c r="AG112" i="10" s="1"/>
  <c r="AL59" i="10"/>
  <c r="BY59" i="10"/>
  <c r="AA59" i="10"/>
  <c r="DS59" i="10"/>
  <c r="DS112" i="10" s="1"/>
  <c r="CK59" i="10"/>
  <c r="Y59" i="10"/>
  <c r="Y112" i="10" s="1"/>
  <c r="BZ59" i="10"/>
  <c r="CS59" i="10"/>
  <c r="CS112" i="10" s="1"/>
  <c r="CU59" i="10"/>
  <c r="BU59" i="10"/>
  <c r="BK59" i="10"/>
  <c r="DA59" i="10"/>
  <c r="BV59" i="10"/>
  <c r="CV59" i="10"/>
  <c r="AK59" i="10"/>
  <c r="DI59" i="10"/>
  <c r="DI112" i="10" s="1"/>
  <c r="CW59" i="10"/>
  <c r="CQ59" i="10"/>
  <c r="AT59" i="10"/>
  <c r="DE59" i="10"/>
  <c r="AJ59" i="10"/>
  <c r="BH59" i="10"/>
  <c r="BH112" i="10" s="1"/>
  <c r="BG59" i="10"/>
  <c r="AW59" i="10"/>
  <c r="BR59" i="10"/>
  <c r="DK59" i="10"/>
  <c r="AQ59" i="10"/>
  <c r="BC59" i="10"/>
  <c r="BC112" i="10" s="1"/>
  <c r="CC59" i="10"/>
  <c r="DP59" i="10"/>
  <c r="DW59" i="10"/>
  <c r="AN59" i="10"/>
  <c r="BB59" i="10"/>
  <c r="BQ59" i="10"/>
  <c r="DG59" i="10"/>
  <c r="DG112" i="10" s="1"/>
  <c r="CR112" i="10" l="1"/>
  <c r="DC112" i="10"/>
  <c r="BD112" i="10"/>
  <c r="BY112" i="10"/>
  <c r="AL112" i="10"/>
  <c r="CW112" i="10"/>
  <c r="CH112" i="10"/>
  <c r="AP112" i="10"/>
  <c r="BX112" i="10"/>
  <c r="DQ112" i="10"/>
  <c r="DF112" i="10"/>
  <c r="AN112" i="10"/>
  <c r="BN112" i="10"/>
  <c r="DW112" i="10"/>
  <c r="BI112" i="10"/>
  <c r="BU112" i="10"/>
  <c r="AF112" i="10"/>
  <c r="DX112" i="10"/>
  <c r="AY112" i="10"/>
  <c r="CU112" i="10"/>
  <c r="CA112" i="10"/>
  <c r="DN112" i="10"/>
  <c r="DO112" i="10"/>
  <c r="AX112" i="10"/>
  <c r="BL112" i="10"/>
  <c r="CO112" i="10"/>
  <c r="AD112" i="10"/>
  <c r="AM112" i="10"/>
  <c r="DV112" i="10"/>
  <c r="AJ112" i="10"/>
  <c r="AA112" i="10"/>
  <c r="AO112" i="10"/>
  <c r="DU112" i="10"/>
  <c r="CJ112" i="10"/>
  <c r="DE112" i="10"/>
  <c r="DJ112" i="10"/>
  <c r="DD112" i="10"/>
  <c r="V112" i="10"/>
  <c r="AT112" i="10"/>
  <c r="CE112" i="10"/>
  <c r="CI112" i="10"/>
  <c r="AE112" i="10"/>
  <c r="CQ112" i="10"/>
  <c r="DR112" i="10"/>
  <c r="X112" i="10"/>
  <c r="CY112" i="10"/>
  <c r="AR112" i="10"/>
  <c r="U112" i="10"/>
  <c r="AS112" i="10"/>
  <c r="CN112" i="10"/>
  <c r="BQ112" i="10"/>
  <c r="AK112" i="10"/>
  <c r="CL112" i="10"/>
  <c r="BB112" i="10"/>
  <c r="CV112" i="10"/>
  <c r="Z112" i="10"/>
  <c r="BJ112" i="10"/>
  <c r="BV112" i="10"/>
  <c r="CZ112" i="10"/>
  <c r="DA112" i="10"/>
  <c r="BM112" i="10"/>
  <c r="BW112" i="10"/>
  <c r="DT112" i="10"/>
  <c r="DP112" i="10"/>
  <c r="BK112" i="10"/>
  <c r="BS112" i="10"/>
  <c r="DL112" i="10"/>
  <c r="CC112" i="10"/>
  <c r="AQ112" i="10"/>
  <c r="DH112" i="10"/>
  <c r="BA112" i="10"/>
  <c r="BE112" i="10"/>
  <c r="BP112" i="10"/>
  <c r="DK112" i="10"/>
  <c r="BZ112" i="10"/>
  <c r="DB112" i="10"/>
  <c r="CF112" i="10"/>
  <c r="CG112" i="10"/>
  <c r="W112" i="10"/>
  <c r="BR112" i="10"/>
  <c r="AI112" i="10"/>
  <c r="CM112" i="10"/>
  <c r="AU112" i="10"/>
  <c r="AV112" i="10"/>
  <c r="AW112" i="10"/>
  <c r="BF112" i="10"/>
  <c r="AH112" i="10"/>
  <c r="CT112" i="10"/>
  <c r="BG112" i="10"/>
  <c r="CK112" i="10"/>
  <c r="CD112" i="10"/>
  <c r="BT112" i="10"/>
  <c r="CB112" i="10"/>
</calcChain>
</file>

<file path=xl/sharedStrings.xml><?xml version="1.0" encoding="utf-8"?>
<sst xmlns="http://schemas.openxmlformats.org/spreadsheetml/2006/main" count="1560" uniqueCount="281">
  <si>
    <t>ACTIF</t>
  </si>
  <si>
    <t>CAISSE, BANQUES CENTRALES</t>
  </si>
  <si>
    <t>- Caisse</t>
  </si>
  <si>
    <t>- Compte courant BDF</t>
  </si>
  <si>
    <t>CREANCES SUR LES ETS  DE CREDIT</t>
  </si>
  <si>
    <t>- A vue</t>
  </si>
  <si>
    <t>- A terme</t>
  </si>
  <si>
    <t>CREANCES SUR LA CLIENTELE</t>
  </si>
  <si>
    <t>- Créances commerciales</t>
  </si>
  <si>
    <t>- Autres concours à la clientèle</t>
  </si>
  <si>
    <t>- Comptes ordinaires débiteurs</t>
  </si>
  <si>
    <t>Investissements financiers</t>
  </si>
  <si>
    <t>Immobilisations corporelles et incorporelles</t>
  </si>
  <si>
    <t>Autres actifs</t>
  </si>
  <si>
    <t xml:space="preserve">Total actif </t>
  </si>
  <si>
    <t>Montant (en k€)</t>
  </si>
  <si>
    <t>Bilan</t>
  </si>
  <si>
    <t>Poste du bilan</t>
  </si>
  <si>
    <t>Date d’arrêté</t>
  </si>
  <si>
    <t>PASSIF</t>
  </si>
  <si>
    <t>DETTES ENVERS ETS  DE CREDIT</t>
  </si>
  <si>
    <t>CPTES CREDITEURS DE LA CLIENTELE</t>
  </si>
  <si>
    <t>Provisions pour risques et charges</t>
  </si>
  <si>
    <t>Capitaux propres</t>
  </si>
  <si>
    <t>FRBG</t>
  </si>
  <si>
    <t>Capital souscrit</t>
  </si>
  <si>
    <t>Prime d'émission</t>
  </si>
  <si>
    <t>Réserves</t>
  </si>
  <si>
    <t>Report à nouveau</t>
  </si>
  <si>
    <t>Résultat de l'exercice</t>
  </si>
  <si>
    <t>Dividende</t>
  </si>
  <si>
    <t>Total passif</t>
  </si>
  <si>
    <t xml:space="preserve">Financement LT </t>
  </si>
  <si>
    <t xml:space="preserve">*ETS : Etablissement </t>
  </si>
  <si>
    <t>*FRBG :  Fonds pour Risques Bancaires Généraux</t>
  </si>
  <si>
    <t>IMMOBILISATIONS</t>
  </si>
  <si>
    <t>AUTRES</t>
  </si>
  <si>
    <t>PROVISIONS</t>
  </si>
  <si>
    <t>FINANCEMENT</t>
  </si>
  <si>
    <t>TITRE D'INVESTISSEMENT</t>
  </si>
  <si>
    <t>FONDS PROPRES</t>
  </si>
  <si>
    <t>Catégories Bilan</t>
  </si>
  <si>
    <t>Loi d'écoulement</t>
  </si>
  <si>
    <t>Linéaire</t>
  </si>
  <si>
    <t>Durée moyenne (en mois)</t>
  </si>
  <si>
    <t>In fine</t>
  </si>
  <si>
    <t>Constant</t>
  </si>
  <si>
    <t>Ine fine</t>
  </si>
  <si>
    <t>90%-20%*t, t&lt;=4mois</t>
  </si>
  <si>
    <t>90%*exp(-20%*t), t&lt;=120 mois</t>
  </si>
  <si>
    <t>E n liquidité</t>
  </si>
  <si>
    <t>E n taux</t>
  </si>
  <si>
    <t>Taux d'intérèt moyen</t>
  </si>
  <si>
    <t xml:space="preserve">Autres passifs </t>
  </si>
  <si>
    <t>Realisée</t>
  </si>
  <si>
    <t>Prévision</t>
  </si>
  <si>
    <t>Type de scenarios</t>
  </si>
  <si>
    <t>Catégories</t>
  </si>
  <si>
    <t>scenarios</t>
  </si>
  <si>
    <t xml:space="preserve">Parallel </t>
  </si>
  <si>
    <t>Reglementaire _SOT MNI&amp;SOT EVE</t>
  </si>
  <si>
    <t>+200BPS</t>
  </si>
  <si>
    <t>-200BPS</t>
  </si>
  <si>
    <t>No Parallel</t>
  </si>
  <si>
    <t>Reglementaire _SOT EVE</t>
  </si>
  <si>
    <t>Short_up</t>
  </si>
  <si>
    <t>Short_down</t>
  </si>
  <si>
    <t>Steepener</t>
  </si>
  <si>
    <t>Flattener</t>
  </si>
  <si>
    <t>Maturité</t>
  </si>
  <si>
    <t>Zero Coupon</t>
  </si>
  <si>
    <t>Formule de l'interpolation linéaire</t>
  </si>
  <si>
    <t>1 mois</t>
  </si>
  <si>
    <t>3 mois</t>
  </si>
  <si>
    <t>6 mois</t>
  </si>
  <si>
    <t>9 mois</t>
  </si>
  <si>
    <t>1 an</t>
  </si>
  <si>
    <t>2 ans</t>
  </si>
  <si>
    <t>3 ans</t>
  </si>
  <si>
    <t>4 ans</t>
  </si>
  <si>
    <t>5 ans</t>
  </si>
  <si>
    <t>6 ans</t>
  </si>
  <si>
    <t>7 ans</t>
  </si>
  <si>
    <t>8 ans</t>
  </si>
  <si>
    <t>9 ans</t>
  </si>
  <si>
    <t>10 ans</t>
  </si>
  <si>
    <t>Actifs</t>
  </si>
  <si>
    <t>choc</t>
  </si>
  <si>
    <t>Choc</t>
  </si>
  <si>
    <t>Créances sur les éts de crédit</t>
  </si>
  <si>
    <t>Caisse, banques centrales</t>
  </si>
  <si>
    <t>Créances sur la clientèle</t>
  </si>
  <si>
    <t>Passifs</t>
  </si>
  <si>
    <t xml:space="preserve">Dettes envers  éts de crédit </t>
  </si>
  <si>
    <t>Comptes créditeurs de la clientèle</t>
  </si>
  <si>
    <t xml:space="preserve">Scenario 1 : événement idiosyncratique </t>
  </si>
  <si>
    <t xml:space="preserve">Scenario 2 : évènement d’ampleur systémique </t>
  </si>
  <si>
    <t>Scenario 3 : mixte (ou combiné)</t>
  </si>
  <si>
    <t>TRAVAIL A FAIRE</t>
  </si>
  <si>
    <t>plus precisement il faudrait :</t>
  </si>
  <si>
    <t xml:space="preserve">1- créer un interface utilisateur, qui permettra à l'ulisateur d'importer les inputs (les differents onglets du classeur), de faire le traitement de la donnée (les ecoulements et calcul des indicateurs) et de presenter les analyses (presenter l'analyse sur les différents indicateurs). Si possible permettre à l'utilisateur d'exporter les résultats (écoulements et analyses). </t>
  </si>
  <si>
    <t>Les metriques à calculer sont :</t>
  </si>
  <si>
    <t>1- analyse du bilan (analyse de la structure du bilan, analyse à priori de la liquidité et analyse à priori du financement)</t>
  </si>
  <si>
    <t>2- le gap de liquidité statique</t>
  </si>
  <si>
    <t xml:space="preserve">3 - le gap de liquidité dynamique </t>
  </si>
  <si>
    <t>6 - le gap de taux fixé</t>
  </si>
  <si>
    <t>7 - l'EVE à bilan statique</t>
  </si>
  <si>
    <t>9 - le SOT EVE et compoarer à 15% du Tier 1</t>
  </si>
  <si>
    <t>12- le SOT MNI et comparer à 5% du tier 1</t>
  </si>
  <si>
    <t>10- la MNI à bilan constant (presenter la MNI du stock, la MNI de la nouvelle production et la MNI total)</t>
  </si>
  <si>
    <t>EVALUATION DU TRAVAIL</t>
  </si>
  <si>
    <t>Compréhension du sujet</t>
  </si>
  <si>
    <t>Note</t>
  </si>
  <si>
    <t>critères</t>
  </si>
  <si>
    <t>Outil utilisé (VBA, python,…)</t>
  </si>
  <si>
    <t>Design de l'interface</t>
  </si>
  <si>
    <t>Ehaustivité et Présentation des analyses</t>
  </si>
  <si>
    <t>Presenation du projet + redaction de la procedure d'utilisation de l'outil</t>
  </si>
  <si>
    <t>Total</t>
  </si>
  <si>
    <r>
      <rPr>
        <b/>
        <u/>
        <sz val="11"/>
        <color rgb="FFFF0000"/>
        <rFont val="Aptos Narrow"/>
        <family val="2"/>
        <scheme val="minor"/>
      </rPr>
      <t>Objectif du projet</t>
    </r>
    <r>
      <rPr>
        <sz val="11"/>
        <color theme="1"/>
        <rFont val="Aptos Narrow"/>
        <family val="2"/>
        <scheme val="minor"/>
      </rPr>
      <t xml:space="preserve"> : Mettre en place un outil opérationnel permettant l’écoulement du bilan, le calcul automatisé des indicateurs de liquidité et de risque de taux, ainsi que la visualisation des analyses via un dashboard ergonomique et facilement exploitable.</t>
    </r>
  </si>
  <si>
    <t>NB :</t>
  </si>
  <si>
    <t>- il faudrait faire l'ecoulement par pas de temps mensuel mais pour les besoins de l'analyse il faudrait faire le regroupement ci dessous</t>
  </si>
  <si>
    <t>- les montant donnés sont en KEUR. Pour l'analyse il faudrait permet à l'utilisateur de les afficher en EUR (unité) ou KEUR (millier) ou MEUR (million) ou GEUR (milliard)</t>
  </si>
  <si>
    <t>4 - le gap de liquidité statique stressé pour les differents scenarios de liquidité (idiosyncratique, systémique, combiné)</t>
  </si>
  <si>
    <t>5 - le gap de liquidité dynamique stressé(idiosyncratique, systémique, combiné)</t>
  </si>
  <si>
    <t>8 - sensibilité de l'EVE pour les differents scenarios de taux reglémentaire</t>
  </si>
  <si>
    <t>11 - sensibilité de la MNI  pour les différents scenarios de taux reglémentaire</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</si>
  <si>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</si>
  <si>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</si>
  <si>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</si>
  <si>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</si>
  <si>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</si>
  <si>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</si>
  <si>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</si>
  <si>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</si>
  <si>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</si>
  <si>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</si>
  <si>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</si>
  <si>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</si>
  <si>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</si>
  <si>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</si>
  <si>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</si>
  <si>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</si>
  <si>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</si>
  <si>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</si>
  <si>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</si>
  <si>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</si>
  <si>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</si>
  <si>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</si>
  <si>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</si>
  <si>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</si>
  <si>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</si>
  <si>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</si>
  <si>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</si>
  <si>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</si>
  <si>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</si>
  <si>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</si>
  <si>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</si>
  <si>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</si>
  <si>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</si>
  <si>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</si>
  <si>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</si>
  <si>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</si>
  <si>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</si>
  <si>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</si>
  <si>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</si>
  <si>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</si>
  <si>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</si>
  <si>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</si>
  <si>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</si>
  <si>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</si>
  <si>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</si>
  <si>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</si>
  <si>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</si>
  <si>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</si>
  <si>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</si>
  <si>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</si>
  <si>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</si>
  <si>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</si>
  <si>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</si>
  <si>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</si>
  <si>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</si>
  <si>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</si>
  <si>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</si>
  <si>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</si>
  <si>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</si>
  <si>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</si>
  <si>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</si>
  <si>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</si>
  <si>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</si>
  <si>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</si>
  <si>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</si>
  <si>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</si>
  <si>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</si>
  <si>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</si>
  <si>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</si>
  <si>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</si>
  <si>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</si>
  <si>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</si>
  <si>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</si>
  <si>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</si>
  <si>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</si>
  <si>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</si>
  <si>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</si>
  <si>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</si>
  <si>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</si>
  <si>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</si>
  <si>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</si>
  <si>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</si>
  <si>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</si>
  <si>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</si>
  <si>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</si>
  <si>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</si>
  <si>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</si>
  <si>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</si>
  <si>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</si>
  <si>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</si>
  <si>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</si>
  <si>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</si>
  <si>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</si>
  <si>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</si>
  <si>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</si>
  <si>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</si>
  <si>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</si>
  <si>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</si>
  <si>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</si>
  <si>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</si>
  <si>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</si>
  <si>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</si>
  <si>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</si>
  <si>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</si>
  <si>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</si>
  <si>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</si>
  <si>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</si>
  <si>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</si>
  <si>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</si>
  <si>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</si>
  <si>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</si>
  <si>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</si>
  <si>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</si>
  <si>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</si>
  <si>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</si>
  <si>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</si>
  <si>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</si>
  <si>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</si>
  <si>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</si>
  <si>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</si>
  <si>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Gap de liquidité statique</t>
  </si>
  <si>
    <t>3) Analyse de la structure de la banque</t>
  </si>
  <si>
    <t>Ratio</t>
  </si>
  <si>
    <t>Valeurs</t>
  </si>
  <si>
    <t>s</t>
  </si>
  <si>
    <t>Analyse a priori de la liquidité</t>
  </si>
  <si>
    <t>HQLA/ Total actifs</t>
  </si>
  <si>
    <t>Analyse du financement</t>
  </si>
  <si>
    <t>CREANCES SUR LA CLIENTELE/Total Actifs</t>
  </si>
  <si>
    <t>CREANCES SUR LES ETS  DE CREDIT /Total Actifs</t>
  </si>
  <si>
    <t>Investissements financiers / Total Actifs</t>
  </si>
  <si>
    <t>CPTES CREDITEURS DE LA CLIENTELE/ Total Passifs</t>
  </si>
  <si>
    <t>DETTES ENVERS ETS  DE CREDIT/ Total Passifs</t>
  </si>
  <si>
    <t>CREANCES SUR LA CLIENTELE/CPTES CREDITEURS DE LA CLIENTELE</t>
  </si>
  <si>
    <t>HQLA/ CPTES CREDITEURS DE LA CLIENTELE</t>
  </si>
  <si>
    <t>CPTES CREDITEURS DE LA CLIENTELE_AV/ CPTES CREDITEURS DE LA CLIENTELE</t>
  </si>
  <si>
    <t>CPTES CREDITEURS DE LA CLIENTELE_AT/ TCPTES CREDITEURS DE LA CLIENTELE</t>
  </si>
  <si>
    <t>Gap de taux fixé</t>
  </si>
  <si>
    <t>Nouvelles productions 2026</t>
  </si>
  <si>
    <t>Nouvelles productions 2027</t>
  </si>
  <si>
    <t>Nouvelles productions 2028</t>
  </si>
  <si>
    <t>Nouvelles productions 2026=0</t>
  </si>
  <si>
    <t>Nouvelles productions 2027=0</t>
  </si>
  <si>
    <t>Nouvelles productions 2028=0</t>
  </si>
  <si>
    <t>Total nouvelle production actif-2026</t>
  </si>
  <si>
    <t>Total nouvelle production actif-2027</t>
  </si>
  <si>
    <t>Total nouvelle production actif-2028</t>
  </si>
  <si>
    <t>la nouvelle production 2028 Passif</t>
  </si>
  <si>
    <t>la nouvelle production 2027 Passif</t>
  </si>
  <si>
    <t>la nouvelle production 2026 Passif</t>
  </si>
  <si>
    <t>Gap de liquidité dynamique 2026</t>
  </si>
  <si>
    <t>Gap de liquidité dynamique 2027</t>
  </si>
  <si>
    <t>Gap de liquidité dynamique 2028</t>
  </si>
  <si>
    <t>Prévision stressé sénario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</si>
</sst>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 _€_-;\-* #,##0\ _€_-;_-* &quot;-&quot;\ _€_-;_-@_-"/>
    <numFmt numFmtId="165" formatCode="_-* #,##0.00\ _€_-;\-* #,##0.00\ _€_-;_-* &quot;-&quot;??\ _€_-;_-@_-"/>
    <numFmt numFmtId="166" formatCode="0.0%"/>
    <numFmt numFmtId="167" formatCode="0.000%"/>
    <numFmt numFmtId="168" formatCode="\+#,##0;\-#,##0"/>
    <numFmt numFmtId="169" formatCode="0.000"/>
    <numFmt numFmtId="170" formatCode="0.00000"/>
  </numFmts>
  <fonts count="23"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i/>
      <sz val="10"/>
      <color theme="1"/>
      <name val="Aptos Narrow"/>
      <family val="2"/>
      <scheme val="minor"/>
    </font>
    <font>
      <sz val="8"/>
      <name val="Aptos Narrow"/>
      <family val="2"/>
      <scheme val="minor"/>
    </font>
    <font>
      <b/>
      <sz val="11"/>
      <color rgb="FFFF0000"/>
      <name val="Aptos Narrow"/>
      <family val="2"/>
      <scheme val="minor"/>
    </font>
    <font>
      <b/>
      <sz val="11"/>
      <color theme="3" tint="0.499984740745262"/>
      <name val="Aptos Narrow"/>
      <family val="2"/>
      <scheme val="minor"/>
    </font>
    <font>
      <b/>
      <sz val="11"/>
      <color theme="3" tint="9.9978637043366805E-2"/>
      <name val="Aptos Narrow"/>
      <family val="2"/>
      <scheme val="minor"/>
    </font>
    <font>
      <b/>
      <sz val="11"/>
      <color rgb="FF000000"/>
      <name val="Times New Roman"/>
      <family val="1"/>
    </font>
    <font>
      <sz val="11"/>
      <color rgb="FF000000"/>
      <name val="Times New Roman"/>
      <family val="1"/>
    </font>
    <font>
      <b/>
      <sz val="10"/>
      <color theme="1"/>
      <name val="Aptos Narrow"/>
      <family val="2"/>
      <scheme val="minor"/>
    </font>
    <font>
      <b/>
      <sz val="10"/>
      <color theme="0"/>
      <name val="Arial"/>
      <family val="2"/>
    </font>
    <font>
      <b/>
      <sz val="9"/>
      <color theme="1"/>
      <name val="Aptos Narrow"/>
      <family val="2"/>
      <scheme val="minor"/>
    </font>
    <font>
      <b/>
      <sz val="10"/>
      <name val="Aptos Narrow"/>
      <family val="2"/>
      <scheme val="minor"/>
    </font>
    <font>
      <sz val="28"/>
      <color theme="1"/>
      <name val="Aptos Narrow"/>
      <family val="2"/>
      <scheme val="minor"/>
    </font>
    <font>
      <b/>
      <u/>
      <sz val="11"/>
      <color rgb="FFFF0000"/>
      <name val="Aptos Narrow"/>
      <family val="2"/>
      <scheme val="minor"/>
    </font>
    <font>
      <b/>
      <sz val="11"/>
      <color theme="0"/>
      <name val="Aptos Narrow"/>
      <family val="2"/>
      <scheme val="minor"/>
    </font>
    <font>
      <sz val="11"/>
      <name val="Aptos Narrow"/>
      <family val="2"/>
      <scheme val="minor"/>
    </font>
    <font>
      <b/>
      <sz val="11"/>
      <name val="Aptos Narrow"/>
      <family val="2"/>
      <scheme val="minor"/>
    </font>
    <font>
      <sz val="11"/>
      <color rgb="FF00B050"/>
      <name val="Aptos Narrow"/>
      <family val="2"/>
      <scheme val="minor"/>
    </font>
    <font>
      <sz val="11"/>
      <color rgb="FF00B050"/>
      <name val="Times New Roman"/>
      <family val="1"/>
    </font>
    <font>
      <b/>
      <sz val="10"/>
      <color rgb="FFFF0000"/>
      <name val="Aptos Narrow"/>
      <family val="2"/>
      <scheme val="minor"/>
    </font>
  </fonts>
  <fills count="16">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theme="6" tint="0.39997558519241921"/>
        <bgColor indexed="64"/>
      </patternFill>
    </fill>
    <fill>
      <patternFill patternType="solid">
        <fgColor rgb="FFD0CECE"/>
        <bgColor rgb="FF000000"/>
      </patternFill>
    </fill>
    <fill>
      <patternFill patternType="solid">
        <fgColor rgb="FFD0D0D0"/>
        <bgColor rgb="FF000000"/>
      </patternFill>
    </fill>
    <fill>
      <patternFill patternType="solid">
        <fgColor theme="4"/>
        <bgColor indexed="64"/>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8"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diagonalDown="1">
      <left style="thin">
        <color indexed="64"/>
      </left>
      <right style="thin">
        <color indexed="64"/>
      </right>
      <top style="thin">
        <color indexed="64"/>
      </top>
      <bottom/>
      <diagonal style="thin">
        <color indexed="64"/>
      </diagonal>
    </border>
    <border>
      <left style="thin">
        <color indexed="64"/>
      </left>
      <right/>
      <top style="thin">
        <color indexed="64"/>
      </top>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144">
    <xf numFmtId="0" fontId="0" fillId="0" borderId="0" xfId="0"/>
    <xf numFmtId="0" fontId="6" fillId="0" borderId="0" xfId="0" applyFont="1"/>
    <xf numFmtId="0" fontId="0" fillId="0" borderId="1" xfId="0" applyBorder="1"/>
    <xf numFmtId="14" fontId="0" fillId="0" borderId="1" xfId="0" applyNumberFormat="1" applyBorder="1"/>
    <xf numFmtId="0" fontId="3" fillId="0" borderId="1" xfId="0" applyFont="1" applyBorder="1"/>
    <xf numFmtId="164" fontId="3" fillId="0" borderId="1" xfId="0" applyNumberFormat="1" applyFont="1" applyBorder="1"/>
    <xf numFmtId="0" fontId="4" fillId="0" borderId="1" xfId="0" applyFont="1" applyBorder="1" applyAlignment="1">
      <alignment horizontal="left" indent="1"/>
    </xf>
    <xf numFmtId="164" fontId="0" fillId="0" borderId="1" xfId="0" applyNumberFormat="1" applyBorder="1"/>
    <xf numFmtId="0" fontId="6" fillId="0" borderId="1" xfId="0" applyFont="1" applyBorder="1"/>
    <xf numFmtId="164" fontId="6" fillId="0" borderId="1" xfId="0" applyNumberFormat="1" applyFont="1" applyBorder="1"/>
    <xf numFmtId="0" fontId="7" fillId="0" borderId="1" xfId="0" applyFont="1" applyBorder="1"/>
    <xf numFmtId="0" fontId="4" fillId="0" borderId="0" xfId="0" applyFont="1" applyAlignment="1">
      <alignment horizontal="left" indent="1"/>
    </xf>
    <xf numFmtId="0" fontId="7" fillId="0" borderId="2" xfId="0" applyFont="1" applyBorder="1"/>
    <xf numFmtId="164" fontId="3" fillId="0" borderId="2" xfId="0" applyNumberFormat="1" applyFont="1" applyBorder="1"/>
    <xf numFmtId="164" fontId="0" fillId="0" borderId="2" xfId="0" applyNumberFormat="1" applyBorder="1"/>
    <xf numFmtId="164" fontId="6" fillId="0" borderId="2" xfId="0" applyNumberFormat="1" applyFont="1" applyBorder="1"/>
    <xf numFmtId="166" fontId="0" fillId="0" borderId="3" xfId="1" applyNumberFormat="1" applyFont="1" applyBorder="1"/>
    <xf numFmtId="166" fontId="0" fillId="0" borderId="1" xfId="1" applyNumberFormat="1" applyFont="1" applyBorder="1"/>
    <xf numFmtId="14" fontId="7" fillId="0" borderId="2" xfId="0" applyNumberFormat="1" applyFont="1" applyBorder="1"/>
    <xf numFmtId="14" fontId="7" fillId="0" borderId="1" xfId="0" applyNumberFormat="1" applyFont="1" applyBorder="1"/>
    <xf numFmtId="0" fontId="3" fillId="3" borderId="1" xfId="0" applyFont="1" applyFill="1" applyBorder="1"/>
    <xf numFmtId="0" fontId="0" fillId="2" borderId="1" xfId="0" applyFill="1" applyBorder="1"/>
    <xf numFmtId="10" fontId="0" fillId="0" borderId="1" xfId="1" applyNumberFormat="1" applyFont="1" applyBorder="1"/>
    <xf numFmtId="0" fontId="0" fillId="0" borderId="1" xfId="0" quotePrefix="1" applyBorder="1"/>
    <xf numFmtId="167" fontId="0" fillId="0" borderId="1" xfId="1" applyNumberFormat="1" applyFont="1" applyBorder="1"/>
    <xf numFmtId="167" fontId="0" fillId="0" borderId="1" xfId="0" applyNumberFormat="1" applyBorder="1"/>
    <xf numFmtId="14" fontId="0" fillId="4" borderId="0" xfId="0" applyNumberFormat="1" applyFill="1"/>
    <xf numFmtId="0" fontId="9" fillId="5" borderId="4" xfId="0" applyFont="1" applyFill="1" applyBorder="1" applyAlignment="1">
      <alignment wrapText="1"/>
    </xf>
    <xf numFmtId="0" fontId="9" fillId="6" borderId="4" xfId="0" applyFont="1" applyFill="1" applyBorder="1" applyAlignment="1">
      <alignment wrapText="1"/>
    </xf>
    <xf numFmtId="10" fontId="10" fillId="0" borderId="4" xfId="0" applyNumberFormat="1" applyFont="1" applyBorder="1" applyAlignment="1">
      <alignment wrapText="1"/>
    </xf>
    <xf numFmtId="0" fontId="11" fillId="0" borderId="6" xfId="0" applyFont="1" applyBorder="1" applyAlignment="1">
      <alignment horizontal="center"/>
    </xf>
    <xf numFmtId="0" fontId="11" fillId="0" borderId="8" xfId="0" applyFont="1" applyBorder="1" applyAlignment="1">
      <alignment vertical="center"/>
    </xf>
    <xf numFmtId="168" fontId="12" fillId="7" borderId="9" xfId="2" applyNumberFormat="1" applyFont="1" applyFill="1" applyBorder="1" applyAlignment="1">
      <alignment horizontal="center" vertical="center" wrapText="1"/>
    </xf>
    <xf numFmtId="0" fontId="11" fillId="0" borderId="9" xfId="0" applyFont="1" applyBorder="1" applyAlignment="1">
      <alignment horizontal="left" vertical="center"/>
    </xf>
    <xf numFmtId="168" fontId="12" fillId="7" borderId="10" xfId="2" applyNumberFormat="1" applyFont="1" applyFill="1" applyBorder="1" applyAlignment="1">
      <alignment horizontal="center" vertical="center" wrapText="1"/>
    </xf>
    <xf numFmtId="2" fontId="13" fillId="0" borderId="11" xfId="0" applyNumberFormat="1" applyFont="1" applyBorder="1" applyAlignment="1">
      <alignment horizontal="left" indent="1"/>
    </xf>
    <xf numFmtId="9" fontId="14" fillId="8" borderId="12" xfId="1" applyFont="1" applyFill="1" applyBorder="1" applyAlignment="1">
      <alignment horizontal="center"/>
    </xf>
    <xf numFmtId="2" fontId="13" fillId="0" borderId="12" xfId="0" applyNumberFormat="1" applyFont="1" applyBorder="1" applyAlignment="1">
      <alignment horizontal="left" indent="1"/>
    </xf>
    <xf numFmtId="9" fontId="14" fillId="8" borderId="13" xfId="1" applyFont="1" applyFill="1" applyBorder="1" applyAlignment="1">
      <alignment horizontal="center"/>
    </xf>
    <xf numFmtId="0" fontId="11" fillId="0" borderId="11" xfId="0" applyFont="1" applyBorder="1" applyAlignment="1">
      <alignment vertical="center"/>
    </xf>
    <xf numFmtId="2" fontId="13" fillId="0" borderId="12" xfId="0" applyNumberFormat="1" applyFont="1" applyBorder="1"/>
    <xf numFmtId="2" fontId="13" fillId="0" borderId="14" xfId="0" applyNumberFormat="1" applyFont="1" applyBorder="1" applyAlignment="1">
      <alignment horizontal="left" indent="1"/>
    </xf>
    <xf numFmtId="9" fontId="14" fillId="8" borderId="15" xfId="1" applyFont="1" applyFill="1" applyBorder="1" applyAlignment="1">
      <alignment horizontal="center"/>
    </xf>
    <xf numFmtId="0" fontId="11" fillId="0" borderId="7" xfId="0" applyFont="1" applyBorder="1" applyAlignment="1">
      <alignment horizontal="center"/>
    </xf>
    <xf numFmtId="0" fontId="15" fillId="0" borderId="0" xfId="0" applyFont="1"/>
    <xf numFmtId="0" fontId="0" fillId="0" borderId="0" xfId="0" applyAlignment="1">
      <alignment wrapText="1"/>
    </xf>
    <xf numFmtId="0" fontId="0" fillId="0" borderId="0" xfId="0"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pplyAlignment="1">
      <alignment horizontal="center" vertical="center"/>
    </xf>
    <xf numFmtId="0" fontId="2" fillId="0" borderId="0" xfId="0" quotePrefix="1" applyFont="1"/>
    <xf numFmtId="0" fontId="6" fillId="0" borderId="1" xfId="0" applyFont="1" applyBorder="1" applyAlignment="1">
      <alignment horizontal="center" vertical="center"/>
    </xf>
    <xf numFmtId="0" fontId="3" fillId="2" borderId="1" xfId="0" applyFont="1" applyFill="1" applyBorder="1" applyAlignment="1">
      <alignment horizontal="center"/>
    </xf>
    <xf numFmtId="0" fontId="3" fillId="0" borderId="0" xfId="0" applyFont="1" applyAlignment="1">
      <alignment horizontal="center"/>
    </xf>
    <xf numFmtId="166" fontId="0" fillId="0" borderId="0" xfId="1" applyNumberFormat="1" applyFont="1" applyBorder="1"/>
    <xf numFmtId="1" fontId="0" fillId="0" borderId="0" xfId="0" applyNumberFormat="1" applyAlignment="1">
      <alignment horizontal="center"/>
    </xf>
    <xf numFmtId="1" fontId="18" fillId="0" borderId="0" xfId="0" applyNumberFormat="1" applyFont="1" applyAlignment="1">
      <alignment horizontal="center"/>
    </xf>
    <xf numFmtId="1" fontId="19" fillId="0" borderId="0" xfId="0" applyNumberFormat="1" applyFont="1" applyAlignment="1">
      <alignment horizontal="center"/>
    </xf>
    <xf numFmtId="1" fontId="3" fillId="0" borderId="0" xfId="0" applyNumberFormat="1" applyFont="1" applyAlignment="1">
      <alignment horizontal="center"/>
    </xf>
    <xf numFmtId="164" fontId="19" fillId="0" borderId="2" xfId="0" applyNumberFormat="1" applyFont="1" applyBorder="1"/>
    <xf numFmtId="0" fontId="18" fillId="8" borderId="0" xfId="0" applyFont="1" applyFill="1"/>
    <xf numFmtId="0" fontId="17" fillId="8" borderId="0" xfId="0" applyFont="1" applyFill="1" applyAlignment="1">
      <alignment horizontal="center"/>
    </xf>
    <xf numFmtId="164" fontId="2" fillId="0" borderId="0" xfId="0" applyNumberFormat="1" applyFont="1"/>
    <xf numFmtId="0" fontId="0" fillId="0" borderId="1" xfId="0" applyBorder="1" applyAlignment="1">
      <alignment horizontal="center"/>
    </xf>
    <xf numFmtId="164" fontId="0" fillId="0" borderId="0" xfId="0" applyNumberFormat="1"/>
    <xf numFmtId="0" fontId="0" fillId="9" borderId="1" xfId="0" applyFill="1" applyBorder="1" applyAlignment="1">
      <alignment horizontal="center"/>
    </xf>
    <xf numFmtId="10" fontId="0" fillId="0" borderId="1" xfId="1" applyNumberFormat="1" applyFont="1" applyBorder="1" applyAlignment="1">
      <alignment horizontal="center"/>
    </xf>
    <xf numFmtId="10" fontId="0" fillId="0" borderId="0" xfId="1" applyNumberFormat="1" applyFont="1" applyBorder="1" applyAlignment="1">
      <alignment horizontal="center"/>
    </xf>
    <xf numFmtId="167" fontId="0" fillId="0" borderId="1" xfId="1" applyNumberFormat="1" applyFont="1" applyBorder="1" applyAlignment="1">
      <alignment horizontal="center"/>
    </xf>
    <xf numFmtId="167" fontId="0" fillId="0" borderId="0" xfId="1" applyNumberFormat="1" applyFont="1" applyBorder="1" applyAlignment="1">
      <alignment horizontal="center"/>
    </xf>
    <xf numFmtId="0" fontId="0" fillId="9" borderId="1" xfId="0" applyFill="1" applyBorder="1"/>
    <xf numFmtId="0" fontId="0" fillId="0" borderId="16" xfId="0" applyBorder="1" applyAlignment="1">
      <alignment vertical="center" wrapText="1"/>
    </xf>
    <xf numFmtId="14" fontId="0" fillId="0" borderId="17" xfId="0" applyNumberFormat="1" applyBorder="1"/>
    <xf numFmtId="0" fontId="0" fillId="0" borderId="17" xfId="0" applyBorder="1"/>
    <xf numFmtId="0" fontId="6" fillId="0" borderId="17" xfId="0" applyFont="1" applyBorder="1"/>
    <xf numFmtId="166" fontId="0" fillId="0" borderId="18" xfId="1" applyNumberFormat="1" applyFont="1" applyBorder="1"/>
    <xf numFmtId="164" fontId="19" fillId="8" borderId="1" xfId="0" applyNumberFormat="1" applyFont="1" applyFill="1" applyBorder="1"/>
    <xf numFmtId="164" fontId="19" fillId="8" borderId="1" xfId="0" applyNumberFormat="1" applyFont="1" applyFill="1" applyBorder="1" applyAlignment="1">
      <alignment horizontal="center"/>
    </xf>
    <xf numFmtId="0" fontId="0" fillId="8" borderId="1" xfId="0" applyFill="1" applyBorder="1" applyAlignment="1">
      <alignment horizontal="center"/>
    </xf>
    <xf numFmtId="0" fontId="0" fillId="0" borderId="1" xfId="0" applyBorder="1" applyAlignment="1">
      <alignment horizontal="center" wrapText="1"/>
    </xf>
    <xf numFmtId="0" fontId="0" fillId="8" borderId="1" xfId="0" applyFill="1" applyBorder="1" applyAlignment="1">
      <alignment horizontal="center" wrapText="1"/>
    </xf>
    <xf numFmtId="10" fontId="0" fillId="0" borderId="1" xfId="1" applyNumberFormat="1" applyFont="1" applyBorder="1" applyAlignment="1">
      <alignment horizontal="center" vertical="center"/>
    </xf>
    <xf numFmtId="164" fontId="6" fillId="0" borderId="19" xfId="0" applyNumberFormat="1" applyFont="1" applyBorder="1" applyAlignment="1"/>
    <xf numFmtId="2" fontId="0" fillId="0" borderId="0" xfId="0" applyNumberFormat="1" applyAlignment="1">
      <alignment horizontal="center"/>
    </xf>
    <xf numFmtId="0" fontId="20" fillId="0" borderId="0" xfId="0" applyFont="1"/>
    <xf numFmtId="0" fontId="0" fillId="0" borderId="0" xfId="0" applyAlignment="1">
      <alignment horizontal="center" vertical="center"/>
    </xf>
    <xf numFmtId="10" fontId="0" fillId="0" borderId="0" xfId="0" applyNumberFormat="1"/>
    <xf numFmtId="0" fontId="9" fillId="5" borderId="0" xfId="0" applyFont="1" applyFill="1" applyBorder="1" applyAlignment="1">
      <alignment wrapText="1"/>
    </xf>
    <xf numFmtId="10" fontId="10" fillId="0" borderId="0" xfId="0" applyNumberFormat="1" applyFont="1" applyBorder="1" applyAlignment="1">
      <alignment wrapText="1"/>
    </xf>
    <xf numFmtId="10" fontId="0" fillId="0" borderId="0" xfId="1" applyNumberFormat="1" applyFont="1"/>
    <xf numFmtId="10" fontId="21" fillId="0" borderId="4" xfId="0" applyNumberFormat="1" applyFont="1" applyBorder="1" applyAlignment="1">
      <alignment wrapText="1"/>
    </xf>
    <xf numFmtId="169" fontId="0" fillId="0" borderId="0" xfId="0" applyNumberFormat="1" applyAlignment="1">
      <alignment horizontal="center"/>
    </xf>
    <xf numFmtId="0" fontId="3" fillId="11" borderId="0" xfId="0" applyFont="1" applyFill="1" applyAlignment="1">
      <alignment horizontal="center"/>
    </xf>
    <xf numFmtId="1" fontId="19" fillId="11" borderId="0" xfId="0" applyNumberFormat="1" applyFont="1" applyFill="1" applyAlignment="1">
      <alignment horizontal="center"/>
    </xf>
    <xf numFmtId="169" fontId="0" fillId="11" borderId="0" xfId="0" applyNumberFormat="1" applyFill="1" applyAlignment="1">
      <alignment horizontal="center"/>
    </xf>
    <xf numFmtId="170" fontId="0" fillId="11" borderId="0" xfId="0" applyNumberFormat="1" applyFill="1" applyAlignment="1">
      <alignment horizontal="center"/>
    </xf>
    <xf numFmtId="1" fontId="0" fillId="11" borderId="0" xfId="0" applyNumberFormat="1" applyFill="1" applyAlignment="1">
      <alignment horizontal="center"/>
    </xf>
    <xf numFmtId="1" fontId="3" fillId="11" borderId="0" xfId="0" applyNumberFormat="1" applyFont="1" applyFill="1" applyAlignment="1">
      <alignment horizontal="center"/>
    </xf>
    <xf numFmtId="1" fontId="18" fillId="11" borderId="0" xfId="0" applyNumberFormat="1" applyFont="1" applyFill="1" applyAlignment="1">
      <alignment horizontal="center"/>
    </xf>
    <xf numFmtId="0" fontId="0" fillId="11" borderId="0" xfId="0" applyFill="1"/>
    <xf numFmtId="0" fontId="3" fillId="10" borderId="0" xfId="0" applyFont="1" applyFill="1" applyAlignment="1">
      <alignment horizontal="center"/>
    </xf>
    <xf numFmtId="1" fontId="19" fillId="10" borderId="0" xfId="0" applyNumberFormat="1" applyFont="1" applyFill="1" applyAlignment="1">
      <alignment horizontal="center"/>
    </xf>
    <xf numFmtId="1" fontId="0" fillId="10" borderId="0" xfId="0" applyNumberFormat="1" applyFill="1" applyAlignment="1">
      <alignment horizontal="center"/>
    </xf>
    <xf numFmtId="1" fontId="3" fillId="10" borderId="0" xfId="0" applyNumberFormat="1" applyFont="1" applyFill="1" applyAlignment="1">
      <alignment horizontal="center"/>
    </xf>
    <xf numFmtId="1" fontId="18" fillId="10" borderId="0" xfId="0" applyNumberFormat="1" applyFont="1" applyFill="1" applyAlignment="1">
      <alignment horizontal="center"/>
    </xf>
    <xf numFmtId="0" fontId="0" fillId="10" borderId="0" xfId="0" applyFill="1"/>
    <xf numFmtId="0" fontId="3" fillId="12" borderId="0" xfId="0" applyFont="1" applyFill="1" applyAlignment="1">
      <alignment horizontal="center"/>
    </xf>
    <xf numFmtId="1" fontId="19" fillId="12" borderId="0" xfId="0" applyNumberFormat="1" applyFont="1" applyFill="1" applyAlignment="1">
      <alignment horizontal="center"/>
    </xf>
    <xf numFmtId="1" fontId="0" fillId="12" borderId="0" xfId="0" applyNumberFormat="1" applyFill="1" applyAlignment="1">
      <alignment horizontal="center"/>
    </xf>
    <xf numFmtId="1" fontId="3" fillId="12" borderId="0" xfId="0" applyNumberFormat="1" applyFont="1" applyFill="1" applyAlignment="1">
      <alignment horizontal="center"/>
    </xf>
    <xf numFmtId="1" fontId="18" fillId="12" borderId="0" xfId="0" applyNumberFormat="1" applyFont="1" applyFill="1" applyAlignment="1">
      <alignment horizontal="center"/>
    </xf>
    <xf numFmtId="0" fontId="0" fillId="12" borderId="0" xfId="0" applyFill="1"/>
    <xf numFmtId="0" fontId="19" fillId="8" borderId="1" xfId="0" applyFont="1" applyFill="1" applyBorder="1" applyAlignment="1">
      <alignment horizontal="center"/>
    </xf>
    <xf numFmtId="0" fontId="0" fillId="0" borderId="0" xfId="0" applyAlignment="1">
      <alignment horizontal="center" vertical="center"/>
    </xf>
    <xf numFmtId="0" fontId="0" fillId="0" borderId="16" xfId="0" applyBorder="1" applyAlignment="1">
      <alignment horizontal="center" vertical="center" wrapText="1"/>
    </xf>
    <xf numFmtId="0" fontId="8" fillId="0" borderId="1" xfId="0" applyFont="1" applyBorder="1" applyAlignment="1">
      <alignment horizontal="center"/>
    </xf>
    <xf numFmtId="0" fontId="0" fillId="0" borderId="5" xfId="0" applyBorder="1" applyAlignment="1">
      <alignment horizontal="center"/>
    </xf>
    <xf numFmtId="0" fontId="0" fillId="0" borderId="0" xfId="0" applyAlignment="1">
      <alignment horizontal="center"/>
    </xf>
    <xf numFmtId="0" fontId="11" fillId="0" borderId="6" xfId="0" applyFont="1" applyBorder="1" applyAlignment="1">
      <alignment horizontal="center"/>
    </xf>
    <xf numFmtId="170" fontId="0" fillId="13" borderId="0" xfId="0" applyNumberFormat="1" applyFill="1" applyAlignment="1">
      <alignment horizontal="center"/>
    </xf>
    <xf numFmtId="169" fontId="0" fillId="13" borderId="0" xfId="0" applyNumberFormat="1" applyFill="1" applyAlignment="1">
      <alignment horizontal="center"/>
    </xf>
    <xf numFmtId="0" fontId="4" fillId="13" borderId="1" xfId="0" applyFont="1" applyFill="1" applyBorder="1" applyAlignment="1">
      <alignment horizontal="left" indent="1"/>
    </xf>
    <xf numFmtId="0" fontId="4" fillId="14" borderId="1" xfId="0" applyFont="1" applyFill="1" applyBorder="1" applyAlignment="1">
      <alignment horizontal="left" indent="1"/>
    </xf>
    <xf numFmtId="1" fontId="0" fillId="14" borderId="0" xfId="0" applyNumberFormat="1" applyFill="1" applyAlignment="1">
      <alignment horizontal="center"/>
    </xf>
    <xf numFmtId="169" fontId="0" fillId="14" borderId="0" xfId="0" applyNumberFormat="1" applyFill="1" applyAlignment="1">
      <alignment horizontal="center"/>
    </xf>
    <xf numFmtId="0" fontId="4" fillId="15" borderId="1" xfId="0" applyFont="1" applyFill="1" applyBorder="1" applyAlignment="1">
      <alignment horizontal="left" indent="1"/>
    </xf>
    <xf numFmtId="169" fontId="0" fillId="15" borderId="0" xfId="0" applyNumberFormat="1" applyFill="1" applyAlignment="1">
      <alignment horizontal="center"/>
    </xf>
    <xf numFmtId="1" fontId="0" fillId="13" borderId="0" xfId="0" applyNumberFormat="1" applyFill="1" applyAlignment="1">
      <alignment horizontal="center"/>
    </xf>
    <xf numFmtId="1" fontId="0" fillId="15" borderId="0" xfId="0" applyNumberFormat="1" applyFill="1" applyAlignment="1">
      <alignment horizontal="center"/>
    </xf>
    <xf numFmtId="2" fontId="0" fillId="14" borderId="0" xfId="0" applyNumberFormat="1" applyFill="1" applyAlignment="1">
      <alignment horizontal="center"/>
    </xf>
    <xf numFmtId="2" fontId="0" fillId="12" borderId="0" xfId="0" applyNumberFormat="1" applyFill="1" applyAlignment="1">
      <alignment horizontal="center"/>
    </xf>
    <xf numFmtId="2" fontId="0" fillId="11" borderId="0" xfId="0" applyNumberFormat="1" applyFill="1" applyAlignment="1">
      <alignment horizontal="center"/>
    </xf>
    <xf numFmtId="2" fontId="0" fillId="13" borderId="0" xfId="0" applyNumberFormat="1" applyFill="1" applyAlignment="1">
      <alignment horizontal="center"/>
    </xf>
    <xf numFmtId="2" fontId="0" fillId="15" borderId="0" xfId="0" applyNumberFormat="1" applyFill="1" applyAlignment="1">
      <alignment horizontal="center"/>
    </xf>
    <xf numFmtId="2" fontId="0" fillId="10" borderId="0" xfId="0" applyNumberFormat="1" applyFill="1" applyAlignment="1">
      <alignment horizontal="center"/>
    </xf>
    <xf numFmtId="0" fontId="0" fillId="0" borderId="0" xfId="0" applyBorder="1"/>
    <xf numFmtId="0" fontId="22" fillId="8" borderId="1" xfId="0" applyFont="1" applyFill="1" applyBorder="1" applyAlignment="1">
      <alignment horizontal="left" indent="1"/>
    </xf>
    <xf numFmtId="166" fontId="0" fillId="0" borderId="17" xfId="1" applyNumberFormat="1" applyFont="1" applyBorder="1"/>
    <xf numFmtId="164" fontId="0" fillId="0" borderId="19" xfId="0" applyNumberFormat="1" applyBorder="1"/>
    <xf numFmtId="0" fontId="22" fillId="0" borderId="17" xfId="0" applyFont="1" applyBorder="1" applyAlignment="1">
      <alignment horizontal="left" indent="1"/>
    </xf>
    <xf numFmtId="0" fontId="19" fillId="8" borderId="0" xfId="0" applyFont="1" applyFill="1" applyAlignment="1">
      <alignment horizontal="center"/>
    </xf>
    <xf numFmtId="164" fontId="3" fillId="0" borderId="0" xfId="0" applyNumberFormat="1" applyFont="1"/>
    <xf numFmtId="0" fontId="3" fillId="14" borderId="16" xfId="0" applyFont="1" applyFill="1" applyBorder="1" applyAlignment="1">
      <alignment horizontal="center"/>
    </xf>
    <xf numFmtId="164" fontId="0" fillId="0" borderId="0" xfId="0" applyNumberFormat="1" applyFont="1"/>
  </cellXfs>
  <cellStyles count="3">
    <cellStyle name="Milliers 40" xfId="2" xr:uid="{23C3196F-310B-4D1C-BC2D-7B69C9199966}"/>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chemeClr val="tx1"/>
                </a:solidFill>
              </a:rPr>
              <a:t>Gap de liquidité statique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'Bilan au 31_12_2025_BAUL'!$I$1:$DY$1</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numCache>
            </c:numRef>
          </c:val>
          <c:smooth val="0"/>
          <c:extLst>
            <c:ext xmlns:c16="http://schemas.microsoft.com/office/drawing/2014/chart" uri="{C3380CC4-5D6E-409C-BE32-E72D297353CC}">
              <c16:uniqueId val="{00000000-D6D5-4B36-ADED-57E794425A5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'Bilan au 31_12_2025_BAUL'!$I$35:$DY$35</c:f>
              <c:numCache>
                <c:formatCode>_-* #\ ##0\ _€_-;\-* #\ ##0\ _€_-;_-* "-"\ _€_-;_-@_-</c:formatCode>
                <c:ptCount val="121"/>
                <c:pt idx="0">
                  <c:v>-5.5980000004637986E-2</c:v>
                </c:pt>
                <c:pt idx="1">
                  <c:v>76641.374777652934</c:v>
                </c:pt>
                <c:pt idx="2">
                  <c:v>80916.707410751085</c:v>
                </c:pt>
                <c:pt idx="3">
                  <c:v>85786.08758260592</c:v>
                </c:pt>
                <c:pt idx="4">
                  <c:v>91144.265021002444</c:v>
                </c:pt>
                <c:pt idx="5">
                  <c:v>97094.094629138068</c:v>
                </c:pt>
                <c:pt idx="6">
                  <c:v>103565.03694782875</c:v>
                </c:pt>
                <c:pt idx="7">
                  <c:v>107129.28005890665</c:v>
                </c:pt>
                <c:pt idx="8">
                  <c:v>110920.59758777273</c:v>
                </c:pt>
                <c:pt idx="9">
                  <c:v>114900.29306891843</c:v>
                </c:pt>
                <c:pt idx="10">
                  <c:v>119036.69114220316</c:v>
                </c:pt>
                <c:pt idx="11">
                  <c:v>118268.72343835418</c:v>
                </c:pt>
                <c:pt idx="12">
                  <c:v>126517.45877413964</c:v>
                </c:pt>
                <c:pt idx="13">
                  <c:v>125924.15161159872</c:v>
                </c:pt>
                <c:pt idx="14">
                  <c:v>125395.22415561271</c:v>
                </c:pt>
                <c:pt idx="15">
                  <c:v>124919.01049611295</c:v>
                </c:pt>
                <c:pt idx="16">
                  <c:v>124485.95941052026</c:v>
                </c:pt>
                <c:pt idx="17">
                  <c:v>124088.25103600383</c:v>
                </c:pt>
                <c:pt idx="18">
                  <c:v>123719.48302727149</c:v>
                </c:pt>
                <c:pt idx="19">
                  <c:v>123374.41360430115</c:v>
                </c:pt>
                <c:pt idx="20">
                  <c:v>123048.75117761675</c:v>
                </c:pt>
                <c:pt idx="21">
                  <c:v>122738.98210803227</c:v>
                </c:pt>
                <c:pt idx="22">
                  <c:v>122442.22968825756</c:v>
                </c:pt>
                <c:pt idx="23">
                  <c:v>122156.13868680256</c:v>
                </c:pt>
                <c:pt idx="24">
                  <c:v>49673.680820521244</c:v>
                </c:pt>
                <c:pt idx="25">
                  <c:v>49403.47736207673</c:v>
                </c:pt>
                <c:pt idx="26">
                  <c:v>49139.135776293137</c:v>
                </c:pt>
                <c:pt idx="27">
                  <c:v>48879.597842388517</c:v>
                </c:pt>
                <c:pt idx="28">
                  <c:v>48623.997180051803</c:v>
                </c:pt>
                <c:pt idx="29">
                  <c:v>48371.624474736127</c:v>
                </c:pt>
                <c:pt idx="30">
                  <c:v>48121.899006537373</c:v>
                </c:pt>
                <c:pt idx="31">
                  <c:v>47874.345340011598</c:v>
                </c:pt>
                <c:pt idx="32">
                  <c:v>47628.574239412155</c:v>
                </c:pt>
                <c:pt idx="33">
                  <c:v>47384.267043407606</c:v>
                </c:pt>
                <c:pt idx="34">
                  <c:v>47141.162872183049</c:v>
                </c:pt>
                <c:pt idx="35">
                  <c:v>46899.048153500895</c:v>
                </c:pt>
                <c:pt idx="36">
                  <c:v>46657.748047364956</c:v>
                </c:pt>
                <c:pt idx="37">
                  <c:v>46417.11942512956</c:v>
                </c:pt>
                <c:pt idx="38">
                  <c:v>46177.045121280506</c:v>
                </c:pt>
                <c:pt idx="39">
                  <c:v>45937.429227191722</c:v>
                </c:pt>
                <c:pt idx="40">
                  <c:v>45698.193237979343</c:v>
                </c:pt>
                <c:pt idx="41">
                  <c:v>45459.272897813062</c:v>
                </c:pt>
                <c:pt idx="42">
                  <c:v>45220.615617075593</c:v>
                </c:pt>
                <c:pt idx="43">
                  <c:v>44982.17835771227</c:v>
                </c:pt>
                <c:pt idx="44">
                  <c:v>44743.925901901821</c:v>
                </c:pt>
                <c:pt idx="45">
                  <c:v>44505.829434564352</c:v>
                </c:pt>
                <c:pt idx="46">
                  <c:v>44267.865382817159</c:v>
                </c:pt>
                <c:pt idx="47">
                  <c:v>44030.014465802029</c:v>
                </c:pt>
                <c:pt idx="48">
                  <c:v>43792.260916749779</c:v>
                </c:pt>
                <c:pt idx="49">
                  <c:v>43554.591846060961</c:v>
                </c:pt>
                <c:pt idx="50">
                  <c:v>43316.996719840718</c:v>
                </c:pt>
                <c:pt idx="51">
                  <c:v>43079.466932959585</c:v>
                </c:pt>
                <c:pt idx="52">
                  <c:v>42841.995459505502</c:v>
                </c:pt>
                <c:pt idx="53">
                  <c:v>42604.57656659848</c:v>
                </c:pt>
                <c:pt idx="54">
                  <c:v>42367.205580082191</c:v>
                </c:pt>
                <c:pt idx="55">
                  <c:v>42129.878692688711</c:v>
                </c:pt>
                <c:pt idx="56">
                  <c:v>41892.592806977547</c:v>
                </c:pt>
                <c:pt idx="57">
                  <c:v>41655.345406745131</c:v>
                </c:pt>
                <c:pt idx="58">
                  <c:v>41418.134451744307</c:v>
                </c:pt>
                <c:pt idx="59">
                  <c:v>41180.958291488168</c:v>
                </c:pt>
                <c:pt idx="60">
                  <c:v>14771.85059467893</c:v>
                </c:pt>
                <c:pt idx="61">
                  <c:v>14527.33124946518</c:v>
                </c:pt>
                <c:pt idx="62">
                  <c:v>14282.816263090488</c:v>
                </c:pt>
                <c:pt idx="63">
                  <c:v>14038.304845431379</c:v>
                </c:pt>
                <c:pt idx="64">
                  <c:v>13793.796349589471</c:v>
                </c:pt>
                <c:pt idx="65">
                  <c:v>13549.290245929151</c:v>
                </c:pt>
                <c:pt idx="66">
                  <c:v>13304.786100821479</c:v>
                </c:pt>
                <c:pt idx="67">
                  <c:v>13060.283559241076</c:v>
                </c:pt>
                <c:pt idx="68">
                  <c:v>12815.782330517774</c:v>
                </c:pt>
                <c:pt idx="69">
                  <c:v>12571.282176670946</c:v>
                </c:pt>
                <c:pt idx="70">
                  <c:v>12326.782902858546</c:v>
                </c:pt>
                <c:pt idx="71">
                  <c:v>12082.284349557396</c:v>
                </c:pt>
                <c:pt idx="72">
                  <c:v>11707.786386160968</c:v>
                </c:pt>
                <c:pt idx="73">
                  <c:v>11463.288905737669</c:v>
                </c:pt>
                <c:pt idx="74">
                  <c:v>11218.791820739334</c:v>
                </c:pt>
                <c:pt idx="75">
                  <c:v>10974.295059487571</c:v>
                </c:pt>
                <c:pt idx="76">
                  <c:v>10729.798563297081</c:v>
                </c:pt>
                <c:pt idx="77">
                  <c:v>10485.302284120411</c:v>
                </c:pt>
                <c:pt idx="78">
                  <c:v>10240.806182619628</c:v>
                </c:pt>
                <c:pt idx="79">
                  <c:v>9996.3102265875586</c:v>
                </c:pt>
                <c:pt idx="80">
                  <c:v>9751.8143896551956</c:v>
                </c:pt>
                <c:pt idx="81">
                  <c:v>9507.3186502334283</c:v>
                </c:pt>
                <c:pt idx="82">
                  <c:v>9262.8229906465822</c:v>
                </c:pt>
                <c:pt idx="83">
                  <c:v>9018.3273964230448</c:v>
                </c:pt>
                <c:pt idx="84">
                  <c:v>8801.8318557144521</c:v>
                </c:pt>
                <c:pt idx="85">
                  <c:v>8557.3363588201955</c:v>
                </c:pt>
                <c:pt idx="86">
                  <c:v>8312.8408977980835</c:v>
                </c:pt>
                <c:pt idx="87">
                  <c:v>8068.3454661455962</c:v>
                </c:pt>
                <c:pt idx="88">
                  <c:v>7823.850058538922</c:v>
                </c:pt>
                <c:pt idx="89">
                  <c:v>7579.3546706193029</c:v>
                </c:pt>
                <c:pt idx="90">
                  <c:v>7334.8592988180744</c:v>
                </c:pt>
                <c:pt idx="91">
                  <c:v>7090.3639402134695</c:v>
                </c:pt>
                <c:pt idx="92">
                  <c:v>6845.8685924133479</c:v>
                </c:pt>
                <c:pt idx="93">
                  <c:v>6601.3732534591863</c:v>
                </c:pt>
                <c:pt idx="94">
                  <c:v>6356.8779217474848</c:v>
                </c:pt>
                <c:pt idx="95">
                  <c:v>6112.3825959654096</c:v>
                </c:pt>
                <c:pt idx="96">
                  <c:v>5867.8872750381006</c:v>
                </c:pt>
                <c:pt idx="97">
                  <c:v>5623.391958085539</c:v>
                </c:pt>
                <c:pt idx="98">
                  <c:v>5378.8966443872241</c:v>
                </c:pt>
                <c:pt idx="99">
                  <c:v>5134.4013333532621</c:v>
                </c:pt>
                <c:pt idx="100">
                  <c:v>4889.9060245006858</c:v>
                </c:pt>
                <c:pt idx="101">
                  <c:v>4645.4107174340807</c:v>
                </c:pt>
                <c:pt idx="102">
                  <c:v>4400.9154118297029</c:v>
                </c:pt>
                <c:pt idx="103">
                  <c:v>4156.4201074224957</c:v>
                </c:pt>
                <c:pt idx="104">
                  <c:v>3911.9248039954468</c:v>
                </c:pt>
                <c:pt idx="105">
                  <c:v>3667.4295013708879</c:v>
                </c:pt>
                <c:pt idx="106">
                  <c:v>3422.9341994033498</c:v>
                </c:pt>
                <c:pt idx="107">
                  <c:v>3178.4388979737346</c:v>
                </c:pt>
                <c:pt idx="108">
                  <c:v>2933.943596984534</c:v>
                </c:pt>
                <c:pt idx="109">
                  <c:v>2689.448296355914</c:v>
                </c:pt>
                <c:pt idx="110">
                  <c:v>2444.9529960225127</c:v>
                </c:pt>
                <c:pt idx="111">
                  <c:v>2200.457695930817</c:v>
                </c:pt>
                <c:pt idx="112">
                  <c:v>1955.9623960370111</c:v>
                </c:pt>
                <c:pt idx="113">
                  <c:v>1711.4670963052254</c:v>
                </c:pt>
                <c:pt idx="114">
                  <c:v>1466.9717967060897</c:v>
                </c:pt>
                <c:pt idx="115">
                  <c:v>1222.4764972155585</c:v>
                </c:pt>
                <c:pt idx="116">
                  <c:v>977.98119781394587</c:v>
                </c:pt>
                <c:pt idx="117">
                  <c:v>733.48589848513348</c:v>
                </c:pt>
                <c:pt idx="118">
                  <c:v>488.99059921592431</c:v>
                </c:pt>
                <c:pt idx="119">
                  <c:v>244.49529999551467</c:v>
                </c:pt>
                <c:pt idx="120">
                  <c:v>8.1505851700822597E-7</c:v>
                </c:pt>
              </c:numCache>
            </c:numRef>
          </c:val>
          <c:smooth val="0"/>
          <c:extLst>
            <c:ext xmlns:c16="http://schemas.microsoft.com/office/drawing/2014/chart" uri="{C3380CC4-5D6E-409C-BE32-E72D297353CC}">
              <c16:uniqueId val="{00000001-D6D5-4B36-ADED-57E794425A5C}"/>
            </c:ext>
          </c:extLst>
        </c:ser>
        <c:dLbls>
          <c:showLegendKey val="0"/>
          <c:showVal val="0"/>
          <c:showCatName val="0"/>
          <c:showSerName val="0"/>
          <c:showPercent val="0"/>
          <c:showBubbleSize val="0"/>
        </c:dLbls>
        <c:marker val="1"/>
        <c:smooth val="0"/>
        <c:axId val="1736165952"/>
        <c:axId val="1736179392"/>
      </c:lineChart>
      <c:catAx>
        <c:axId val="17361659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6179392"/>
        <c:crosses val="autoZero"/>
        <c:auto val="1"/>
        <c:lblAlgn val="ctr"/>
        <c:lblOffset val="100"/>
        <c:noMultiLvlLbl val="0"/>
      </c:catAx>
      <c:valAx>
        <c:axId val="173617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3616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solidFill>
                  <a:sysClr val="windowText" lastClr="000000"/>
                </a:solidFill>
              </a:rPr>
              <a:t>Gap de taux fixé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'Bilan au 31_12_2025_BAU T'!$I$1:$DY$1</c:f>
              <c:numCache>
                <c:formatCode>General</c:formatCode>
                <c:ptCount val="1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numCache>
            </c:numRef>
          </c:val>
          <c:smooth val="0"/>
          <c:extLst>
            <c:ext xmlns:c16="http://schemas.microsoft.com/office/drawing/2014/chart" uri="{C3380CC4-5D6E-409C-BE32-E72D297353CC}">
              <c16:uniqueId val="{00000000-ACC3-4B24-97E2-F7F61A8974AC}"/>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'Bilan au 31_12_2025_BAU T'!$J$35:$DY$35</c:f>
              <c:numCache>
                <c:formatCode>_-* #\ ##0\ _€_-;\-* #\ ##0\ _€_-;_-* "-"\ _€_-;_-@_-</c:formatCode>
                <c:ptCount val="120"/>
                <c:pt idx="0">
                  <c:v>83310.273974002281</c:v>
                </c:pt>
                <c:pt idx="1">
                  <c:v>90957.154461761107</c:v>
                </c:pt>
                <c:pt idx="2">
                  <c:v>98617.256927707858</c:v>
                </c:pt>
                <c:pt idx="3">
                  <c:v>104400.41691158485</c:v>
                </c:pt>
                <c:pt idx="4">
                  <c:v>112087.07004870177</c:v>
                </c:pt>
                <c:pt idx="5">
                  <c:v>119787.05207019282</c:v>
                </c:pt>
                <c:pt idx="6">
                  <c:v>124319.35313660781</c:v>
                </c:pt>
                <c:pt idx="7">
                  <c:v>128865.05483817094</c:v>
                </c:pt>
                <c:pt idx="8">
                  <c:v>133424.19319503961</c:v>
                </c:pt>
                <c:pt idx="9">
                  <c:v>137996.8043242314</c:v>
                </c:pt>
                <c:pt idx="10">
                  <c:v>137547.78301804839</c:v>
                </c:pt>
                <c:pt idx="11">
                  <c:v>146019.45493208707</c:v>
                </c:pt>
                <c:pt idx="12">
                  <c:v>145570.47815604872</c:v>
                </c:pt>
                <c:pt idx="13">
                  <c:v>145121.5237799967</c:v>
                </c:pt>
                <c:pt idx="14">
                  <c:v>144672.59189435796</c:v>
                </c:pt>
                <c:pt idx="15">
                  <c:v>144223.68258992446</c:v>
                </c:pt>
                <c:pt idx="16">
                  <c:v>143774.79595785475</c:v>
                </c:pt>
                <c:pt idx="17">
                  <c:v>143325.93208967528</c:v>
                </c:pt>
                <c:pt idx="18">
                  <c:v>142877.09107728204</c:v>
                </c:pt>
                <c:pt idx="19">
                  <c:v>142428.27301294202</c:v>
                </c:pt>
                <c:pt idx="20">
                  <c:v>141979.47798929465</c:v>
                </c:pt>
                <c:pt idx="21">
                  <c:v>141530.70609935338</c:v>
                </c:pt>
                <c:pt idx="22">
                  <c:v>141081.95743650704</c:v>
                </c:pt>
                <c:pt idx="23">
                  <c:v>68428.132094521585</c:v>
                </c:pt>
                <c:pt idx="24">
                  <c:v>67979.430167541461</c:v>
                </c:pt>
                <c:pt idx="25">
                  <c:v>67530.751750091134</c:v>
                </c:pt>
                <c:pt idx="26">
                  <c:v>67082.096937076669</c:v>
                </c:pt>
                <c:pt idx="27">
                  <c:v>66633.465823787294</c:v>
                </c:pt>
                <c:pt idx="28">
                  <c:v>66184.85850589686</c:v>
                </c:pt>
                <c:pt idx="29">
                  <c:v>65736.275079465486</c:v>
                </c:pt>
                <c:pt idx="30">
                  <c:v>65287.715640941075</c:v>
                </c:pt>
                <c:pt idx="31">
                  <c:v>64839.180287160852</c:v>
                </c:pt>
                <c:pt idx="32">
                  <c:v>64390.669115352997</c:v>
                </c:pt>
                <c:pt idx="33">
                  <c:v>63942.182223138188</c:v>
                </c:pt>
                <c:pt idx="34">
                  <c:v>63493.719708531171</c:v>
                </c:pt>
                <c:pt idx="35">
                  <c:v>63045.281669942364</c:v>
                </c:pt>
                <c:pt idx="36">
                  <c:v>62596.868206179519</c:v>
                </c:pt>
                <c:pt idx="37">
                  <c:v>62148.479416449198</c:v>
                </c:pt>
                <c:pt idx="38">
                  <c:v>61700.115400358474</c:v>
                </c:pt>
                <c:pt idx="39">
                  <c:v>61251.776257916536</c:v>
                </c:pt>
                <c:pt idx="40">
                  <c:v>60803.462089536311</c:v>
                </c:pt>
                <c:pt idx="41">
                  <c:v>60355.172996036061</c:v>
                </c:pt>
                <c:pt idx="42">
                  <c:v>59906.909078641045</c:v>
                </c:pt>
                <c:pt idx="43">
                  <c:v>59458.670438985195</c:v>
                </c:pt>
                <c:pt idx="44">
                  <c:v>59010.457179112673</c:v>
                </c:pt>
                <c:pt idx="45">
                  <c:v>58562.269401479629</c:v>
                </c:pt>
                <c:pt idx="46">
                  <c:v>58114.1072089558</c:v>
                </c:pt>
                <c:pt idx="47">
                  <c:v>57665.970704826221</c:v>
                </c:pt>
                <c:pt idx="48">
                  <c:v>57217.859992792852</c:v>
                </c:pt>
                <c:pt idx="49">
                  <c:v>56769.775176976327</c:v>
                </c:pt>
                <c:pt idx="50">
                  <c:v>56321.716361917548</c:v>
                </c:pt>
                <c:pt idx="51">
                  <c:v>55873.683652579515</c:v>
                </c:pt>
                <c:pt idx="52">
                  <c:v>55425.677154348887</c:v>
                </c:pt>
                <c:pt idx="53">
                  <c:v>54977.696973037797</c:v>
                </c:pt>
                <c:pt idx="54">
                  <c:v>54529.743214885522</c:v>
                </c:pt>
                <c:pt idx="55">
                  <c:v>54081.815986560228</c:v>
                </c:pt>
                <c:pt idx="56">
                  <c:v>53633.9153951607</c:v>
                </c:pt>
                <c:pt idx="57">
                  <c:v>53186.041548218032</c:v>
                </c:pt>
                <c:pt idx="58">
                  <c:v>52738.194553697438</c:v>
                </c:pt>
                <c:pt idx="59">
                  <c:v>26158.99638</c:v>
                </c:pt>
                <c:pt idx="60">
                  <c:v>25704.470821666666</c:v>
                </c:pt>
                <c:pt idx="61">
                  <c:v>25249.945263333335</c:v>
                </c:pt>
                <c:pt idx="62">
                  <c:v>24795.419704999997</c:v>
                </c:pt>
                <c:pt idx="63">
                  <c:v>24340.894146666669</c:v>
                </c:pt>
                <c:pt idx="64">
                  <c:v>23886.368588333331</c:v>
                </c:pt>
                <c:pt idx="65">
                  <c:v>23431.843030000004</c:v>
                </c:pt>
                <c:pt idx="66">
                  <c:v>22977.317471666662</c:v>
                </c:pt>
                <c:pt idx="67">
                  <c:v>22522.791913333334</c:v>
                </c:pt>
                <c:pt idx="68">
                  <c:v>22068.266355</c:v>
                </c:pt>
                <c:pt idx="69">
                  <c:v>21613.740796666669</c:v>
                </c:pt>
                <c:pt idx="70">
                  <c:v>21159.215238333334</c:v>
                </c:pt>
                <c:pt idx="71">
                  <c:v>20574.689679999999</c:v>
                </c:pt>
                <c:pt idx="72">
                  <c:v>20120.164121666665</c:v>
                </c:pt>
                <c:pt idx="73">
                  <c:v>19665.638563333334</c:v>
                </c:pt>
                <c:pt idx="74">
                  <c:v>19211.113004999999</c:v>
                </c:pt>
                <c:pt idx="75">
                  <c:v>18756.587446666665</c:v>
                </c:pt>
                <c:pt idx="76">
                  <c:v>18302.061888333337</c:v>
                </c:pt>
                <c:pt idx="77">
                  <c:v>17847.536329999999</c:v>
                </c:pt>
                <c:pt idx="78">
                  <c:v>17393.010771666668</c:v>
                </c:pt>
                <c:pt idx="79">
                  <c:v>16938.48521333333</c:v>
                </c:pt>
                <c:pt idx="80">
                  <c:v>16483.959655000002</c:v>
                </c:pt>
                <c:pt idx="81">
                  <c:v>16029.434096666666</c:v>
                </c:pt>
                <c:pt idx="82">
                  <c:v>15574.908538333337</c:v>
                </c:pt>
                <c:pt idx="83">
                  <c:v>15148.382980000002</c:v>
                </c:pt>
                <c:pt idx="84">
                  <c:v>14693.857421666668</c:v>
                </c:pt>
                <c:pt idx="85">
                  <c:v>14239.331863333335</c:v>
                </c:pt>
                <c:pt idx="86">
                  <c:v>13784.806305000002</c:v>
                </c:pt>
                <c:pt idx="87">
                  <c:v>13330.280746666667</c:v>
                </c:pt>
                <c:pt idx="88">
                  <c:v>12875.755188333334</c:v>
                </c:pt>
                <c:pt idx="89">
                  <c:v>12421.229630000002</c:v>
                </c:pt>
                <c:pt idx="90">
                  <c:v>11966.704071666667</c:v>
                </c:pt>
                <c:pt idx="91">
                  <c:v>11512.178513333336</c:v>
                </c:pt>
                <c:pt idx="92">
                  <c:v>11057.652955000001</c:v>
                </c:pt>
                <c:pt idx="93">
                  <c:v>10603.127396666667</c:v>
                </c:pt>
                <c:pt idx="94">
                  <c:v>10148.601838333334</c:v>
                </c:pt>
                <c:pt idx="95">
                  <c:v>9694.0762799999993</c:v>
                </c:pt>
                <c:pt idx="96">
                  <c:v>9239.5507216666683</c:v>
                </c:pt>
                <c:pt idx="97">
                  <c:v>8785.0251633333319</c:v>
                </c:pt>
                <c:pt idx="98">
                  <c:v>8330.4996050000009</c:v>
                </c:pt>
                <c:pt idx="99">
                  <c:v>7875.9740466666644</c:v>
                </c:pt>
                <c:pt idx="100">
                  <c:v>7421.4484883333325</c:v>
                </c:pt>
                <c:pt idx="101">
                  <c:v>6966.9229300000006</c:v>
                </c:pt>
                <c:pt idx="102">
                  <c:v>6512.3973716666669</c:v>
                </c:pt>
                <c:pt idx="103">
                  <c:v>6057.8718133333332</c:v>
                </c:pt>
                <c:pt idx="104">
                  <c:v>5603.3462550000004</c:v>
                </c:pt>
                <c:pt idx="105">
                  <c:v>5148.8206966666676</c:v>
                </c:pt>
                <c:pt idx="106">
                  <c:v>4694.2951383333339</c:v>
                </c:pt>
                <c:pt idx="107">
                  <c:v>4239.7695800000001</c:v>
                </c:pt>
                <c:pt idx="108">
                  <c:v>3785.2440216666664</c:v>
                </c:pt>
                <c:pt idx="109">
                  <c:v>3330.7184633333327</c:v>
                </c:pt>
                <c:pt idx="110">
                  <c:v>2876.1929050000003</c:v>
                </c:pt>
                <c:pt idx="111">
                  <c:v>2421.6673466666666</c:v>
                </c:pt>
                <c:pt idx="112">
                  <c:v>1967.1417883333338</c:v>
                </c:pt>
                <c:pt idx="113">
                  <c:v>1512.6162300000001</c:v>
                </c:pt>
                <c:pt idx="114">
                  <c:v>1058.0906716666661</c:v>
                </c:pt>
                <c:pt idx="115">
                  <c:v>603.56511333333333</c:v>
                </c:pt>
                <c:pt idx="116">
                  <c:v>149.03955500000006</c:v>
                </c:pt>
                <c:pt idx="117">
                  <c:v>-305.4860033333332</c:v>
                </c:pt>
                <c:pt idx="118">
                  <c:v>-760.01156166666669</c:v>
                </c:pt>
                <c:pt idx="119">
                  <c:v>0</c:v>
                </c:pt>
              </c:numCache>
            </c:numRef>
          </c:val>
          <c:smooth val="0"/>
          <c:extLst>
            <c:ext xmlns:c16="http://schemas.microsoft.com/office/drawing/2014/chart" uri="{C3380CC4-5D6E-409C-BE32-E72D297353CC}">
              <c16:uniqueId val="{00000001-ACC3-4B24-97E2-F7F61A8974AC}"/>
            </c:ext>
          </c:extLst>
        </c:ser>
        <c:dLbls>
          <c:showLegendKey val="0"/>
          <c:showVal val="0"/>
          <c:showCatName val="0"/>
          <c:showSerName val="0"/>
          <c:showPercent val="0"/>
          <c:showBubbleSize val="0"/>
        </c:dLbls>
        <c:marker val="1"/>
        <c:smooth val="0"/>
        <c:axId val="30525552"/>
        <c:axId val="30528432"/>
      </c:lineChart>
      <c:catAx>
        <c:axId val="30525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0528432"/>
        <c:crosses val="autoZero"/>
        <c:auto val="1"/>
        <c:lblAlgn val="ctr"/>
        <c:lblOffset val="100"/>
        <c:noMultiLvlLbl val="0"/>
      </c:catAx>
      <c:valAx>
        <c:axId val="3052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0525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7</xdr:col>
      <xdr:colOff>625730</xdr:colOff>
      <xdr:row>31</xdr:row>
      <xdr:rowOff>137267</xdr:rowOff>
    </xdr:to>
    <xdr:pic>
      <xdr:nvPicPr>
        <xdr:cNvPr id="2" name="Image 1">
          <a:extLst>
            <a:ext uri="{FF2B5EF4-FFF2-40B4-BE49-F238E27FC236}">
              <a16:creationId xmlns:a16="http://schemas.microsoft.com/office/drawing/2014/main" id="{D004CD05-E8A5-A6FC-3C6B-07F4D264797D}"/>
            </a:ext>
          </a:extLst>
        </xdr:cNvPr>
        <xdr:cNvPicPr>
          <a:picLocks noChangeAspect="1"/>
        </xdr:cNvPicPr>
      </xdr:nvPicPr>
      <xdr:blipFill>
        <a:blip xmlns:r="http://schemas.openxmlformats.org/officeDocument/2006/relationships" r:embed="rId1"/>
        <a:stretch>
          <a:fillRect/>
        </a:stretch>
      </xdr:blipFill>
      <xdr:spPr>
        <a:xfrm>
          <a:off x="0" y="7048500"/>
          <a:ext cx="10265030" cy="1234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914400</xdr:colOff>
      <xdr:row>38</xdr:row>
      <xdr:rowOff>156210</xdr:rowOff>
    </xdr:from>
    <xdr:to>
      <xdr:col>9</xdr:col>
      <xdr:colOff>22860</xdr:colOff>
      <xdr:row>53</xdr:row>
      <xdr:rowOff>156210</xdr:rowOff>
    </xdr:to>
    <xdr:graphicFrame macro="">
      <xdr:nvGraphicFramePr>
        <xdr:cNvPr id="3" name="Graphique 2">
          <a:extLst>
            <a:ext uri="{FF2B5EF4-FFF2-40B4-BE49-F238E27FC236}">
              <a16:creationId xmlns:a16="http://schemas.microsoft.com/office/drawing/2014/main" id="{417F02BE-5925-D05E-ECA5-5000C2C21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45726</xdr:colOff>
      <xdr:row>35</xdr:row>
      <xdr:rowOff>148590</xdr:rowOff>
    </xdr:from>
    <xdr:to>
      <xdr:col>8</xdr:col>
      <xdr:colOff>807726</xdr:colOff>
      <xdr:row>50</xdr:row>
      <xdr:rowOff>148590</xdr:rowOff>
    </xdr:to>
    <xdr:graphicFrame macro="">
      <xdr:nvGraphicFramePr>
        <xdr:cNvPr id="3" name="Graphique 2">
          <a:extLst>
            <a:ext uri="{FF2B5EF4-FFF2-40B4-BE49-F238E27FC236}">
              <a16:creationId xmlns:a16="http://schemas.microsoft.com/office/drawing/2014/main" id="{107B8526-9A11-D709-7578-FCED05549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188596</xdr:colOff>
      <xdr:row>18</xdr:row>
      <xdr:rowOff>85725</xdr:rowOff>
    </xdr:from>
    <xdr:to>
      <xdr:col>2</xdr:col>
      <xdr:colOff>334259</xdr:colOff>
      <xdr:row>20</xdr:row>
      <xdr:rowOff>125490</xdr:rowOff>
    </xdr:to>
    <xdr:pic>
      <xdr:nvPicPr>
        <xdr:cNvPr id="2" name="Image 1">
          <a:extLst>
            <a:ext uri="{FF2B5EF4-FFF2-40B4-BE49-F238E27FC236}">
              <a16:creationId xmlns:a16="http://schemas.microsoft.com/office/drawing/2014/main" id="{50E40E18-1CC0-48E7-A28D-D9914CDEB5F9}"/>
            </a:ext>
          </a:extLst>
        </xdr:cNvPr>
        <xdr:cNvPicPr>
          <a:picLocks noChangeAspect="1"/>
        </xdr:cNvPicPr>
      </xdr:nvPicPr>
      <xdr:blipFill>
        <a:blip xmlns:r="http://schemas.openxmlformats.org/officeDocument/2006/relationships" r:embed="rId1"/>
        <a:stretch>
          <a:fillRect/>
        </a:stretch>
      </xdr:blipFill>
      <xdr:spPr>
        <a:xfrm>
          <a:off x="188596" y="3674745"/>
          <a:ext cx="1730623" cy="4055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5D88-262C-4197-848E-062806AFB5A5}">
  <dimension ref="A2:H33"/>
  <sheetViews>
    <sheetView showGridLines="0" tabSelected="1" topLeftCell="A2" zoomScale="79" zoomScaleNormal="79" workbookViewId="0">
      <selection activeCell="H9" sqref="G3:H9"/>
    </sheetView>
  </sheetViews>
  <sheetFormatPr baseColWidth="10" defaultRowHeight="14.25" x14ac:dyDescent="0.45"/>
  <cols>
    <col min="1" max="1" width="64.33203125" customWidth="1"/>
    <col min="7" max="7" width="18.46484375" customWidth="1"/>
  </cols>
  <sheetData>
    <row r="2" spans="1:8" ht="37.15" x14ac:dyDescent="1.1499999999999999">
      <c r="A2" s="44" t="s">
        <v>98</v>
      </c>
      <c r="G2" s="44" t="s">
        <v>110</v>
      </c>
    </row>
    <row r="3" spans="1:8" x14ac:dyDescent="0.45">
      <c r="G3" s="47" t="s">
        <v>113</v>
      </c>
      <c r="H3" s="47" t="s">
        <v>112</v>
      </c>
    </row>
    <row r="4" spans="1:8" ht="57" x14ac:dyDescent="0.45">
      <c r="A4" s="45" t="s">
        <v>119</v>
      </c>
      <c r="G4" s="48" t="s">
        <v>111</v>
      </c>
      <c r="H4" s="51">
        <v>4</v>
      </c>
    </row>
    <row r="5" spans="1:8" ht="28.5" x14ac:dyDescent="0.45">
      <c r="G5" s="48" t="s">
        <v>114</v>
      </c>
      <c r="H5" s="51">
        <v>3</v>
      </c>
    </row>
    <row r="6" spans="1:8" x14ac:dyDescent="0.45">
      <c r="A6" s="1" t="s">
        <v>99</v>
      </c>
      <c r="G6" s="47" t="s">
        <v>115</v>
      </c>
      <c r="H6" s="51">
        <v>3</v>
      </c>
    </row>
    <row r="7" spans="1:8" ht="71.25" x14ac:dyDescent="0.45">
      <c r="A7" s="46" t="s">
        <v>100</v>
      </c>
      <c r="G7" s="48" t="s">
        <v>116</v>
      </c>
      <c r="H7" s="51">
        <v>7</v>
      </c>
    </row>
    <row r="8" spans="1:8" ht="57" x14ac:dyDescent="0.45">
      <c r="G8" s="48" t="s">
        <v>117</v>
      </c>
      <c r="H8" s="51">
        <v>3</v>
      </c>
    </row>
    <row r="9" spans="1:8" x14ac:dyDescent="0.45">
      <c r="A9" s="1" t="s">
        <v>101</v>
      </c>
      <c r="G9" s="48" t="s">
        <v>118</v>
      </c>
      <c r="H9" s="49">
        <v>20</v>
      </c>
    </row>
    <row r="10" spans="1:8" x14ac:dyDescent="0.45">
      <c r="A10" s="84" t="s">
        <v>102</v>
      </c>
    </row>
    <row r="11" spans="1:8" x14ac:dyDescent="0.45">
      <c r="A11" s="84" t="s">
        <v>103</v>
      </c>
    </row>
    <row r="12" spans="1:8" x14ac:dyDescent="0.45">
      <c r="A12" t="s">
        <v>104</v>
      </c>
    </row>
    <row r="13" spans="1:8" x14ac:dyDescent="0.45">
      <c r="A13" t="s">
        <v>123</v>
      </c>
    </row>
    <row r="14" spans="1:8" x14ac:dyDescent="0.45">
      <c r="A14" t="s">
        <v>124</v>
      </c>
    </row>
    <row r="15" spans="1:8" x14ac:dyDescent="0.45">
      <c r="A15" s="84" t="s">
        <v>105</v>
      </c>
    </row>
    <row r="16" spans="1:8" x14ac:dyDescent="0.45">
      <c r="A16" t="s">
        <v>106</v>
      </c>
    </row>
    <row r="17" spans="1:1" x14ac:dyDescent="0.45">
      <c r="A17" t="s">
        <v>125</v>
      </c>
    </row>
    <row r="18" spans="1:1" x14ac:dyDescent="0.45">
      <c r="A18" t="s">
        <v>107</v>
      </c>
    </row>
    <row r="19" spans="1:1" x14ac:dyDescent="0.45">
      <c r="A19" t="s">
        <v>109</v>
      </c>
    </row>
    <row r="20" spans="1:1" x14ac:dyDescent="0.45">
      <c r="A20" t="s">
        <v>126</v>
      </c>
    </row>
    <row r="21" spans="1:1" x14ac:dyDescent="0.45">
      <c r="A21" t="s">
        <v>108</v>
      </c>
    </row>
    <row r="23" spans="1:1" x14ac:dyDescent="0.45">
      <c r="A23" s="1" t="s">
        <v>120</v>
      </c>
    </row>
    <row r="24" spans="1:1" x14ac:dyDescent="0.45">
      <c r="A24" s="50" t="s">
        <v>121</v>
      </c>
    </row>
    <row r="33" spans="1:1" x14ac:dyDescent="0.45">
      <c r="A33" s="50" t="s">
        <v>122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1645-5278-4658-8837-523FC2823B27}">
  <dimension ref="A1:DY59"/>
  <sheetViews>
    <sheetView workbookViewId="0">
      <pane xSplit="9" ySplit="1" topLeftCell="Q2" activePane="bottomRight" state="frozen"/>
      <selection pane="topRight" activeCell="J1" sqref="J1"/>
      <selection pane="bottomLeft" activeCell="A2" sqref="A2"/>
      <selection pane="bottomRight" activeCell="F7" sqref="F7"/>
    </sheetView>
  </sheetViews>
  <sheetFormatPr baseColWidth="10" defaultRowHeight="14.25" x14ac:dyDescent="0.45"/>
  <cols>
    <col min="1" max="1" width="11.86328125" bestFit="1" customWidth="1"/>
    <col min="2" max="2" width="37.86328125" bestFit="1" customWidth="1"/>
    <col min="3" max="3" width="38.53125" bestFit="1" customWidth="1"/>
    <col min="4" max="4" width="18.19921875" bestFit="1" customWidth="1"/>
    <col min="5" max="5" width="26.1328125" bestFit="1" customWidth="1"/>
    <col min="6" max="6" width="22.1328125" bestFit="1" customWidth="1"/>
    <col min="7" max="7" width="18.19921875" hidden="1" customWidth="1"/>
    <col min="8" max="8" width="22.1328125" hidden="1" customWidth="1"/>
    <col min="9" max="9" width="13.19921875" bestFit="1" customWidth="1"/>
    <col min="10" max="10" width="14.86328125" bestFit="1" customWidth="1"/>
  </cols>
  <sheetData>
    <row r="1" spans="1:129" x14ac:dyDescent="0.45">
      <c r="E1" s="115" t="s">
        <v>50</v>
      </c>
      <c r="F1" s="115"/>
      <c r="G1" s="115" t="s">
        <v>51</v>
      </c>
      <c r="H1" s="115"/>
      <c r="I1" s="53">
        <v>0</v>
      </c>
      <c r="J1" s="53">
        <v>1</v>
      </c>
      <c r="K1" s="53">
        <v>2</v>
      </c>
      <c r="L1" s="53">
        <v>3</v>
      </c>
      <c r="M1" s="53">
        <v>4</v>
      </c>
      <c r="N1" s="53">
        <v>5</v>
      </c>
      <c r="O1" s="53">
        <v>6</v>
      </c>
      <c r="P1" s="53">
        <v>7</v>
      </c>
      <c r="Q1" s="53">
        <v>8</v>
      </c>
      <c r="R1" s="53">
        <v>9</v>
      </c>
      <c r="S1" s="53">
        <v>10</v>
      </c>
      <c r="T1" s="53">
        <v>11</v>
      </c>
      <c r="U1" s="53">
        <v>12</v>
      </c>
      <c r="V1" s="53">
        <v>13</v>
      </c>
      <c r="W1" s="53">
        <v>14</v>
      </c>
      <c r="X1" s="53">
        <v>15</v>
      </c>
      <c r="Y1" s="53">
        <v>16</v>
      </c>
      <c r="Z1" s="53">
        <v>17</v>
      </c>
      <c r="AA1" s="53">
        <v>18</v>
      </c>
      <c r="AB1" s="53">
        <v>19</v>
      </c>
      <c r="AC1" s="53">
        <v>20</v>
      </c>
      <c r="AD1" s="53">
        <v>21</v>
      </c>
      <c r="AE1" s="53">
        <v>22</v>
      </c>
      <c r="AF1" s="53">
        <v>23</v>
      </c>
      <c r="AG1" s="53">
        <v>24</v>
      </c>
      <c r="AH1" s="53">
        <v>25</v>
      </c>
      <c r="AI1" s="53">
        <v>26</v>
      </c>
      <c r="AJ1" s="53">
        <v>27</v>
      </c>
      <c r="AK1" s="53">
        <v>28</v>
      </c>
      <c r="AL1" s="53">
        <v>29</v>
      </c>
      <c r="AM1" s="53">
        <v>30</v>
      </c>
      <c r="AN1" s="53">
        <v>31</v>
      </c>
      <c r="AO1" s="53">
        <v>32</v>
      </c>
      <c r="AP1" s="53">
        <v>33</v>
      </c>
      <c r="AQ1" s="53">
        <v>34</v>
      </c>
      <c r="AR1" s="53">
        <v>35</v>
      </c>
      <c r="AS1" s="53">
        <v>36</v>
      </c>
      <c r="AT1" s="53">
        <v>37</v>
      </c>
      <c r="AU1" s="53">
        <v>38</v>
      </c>
      <c r="AV1" s="53">
        <v>39</v>
      </c>
      <c r="AW1" s="53">
        <v>40</v>
      </c>
      <c r="AX1" s="53">
        <v>41</v>
      </c>
      <c r="AY1" s="53">
        <v>42</v>
      </c>
      <c r="AZ1" s="53">
        <v>43</v>
      </c>
      <c r="BA1" s="53">
        <v>44</v>
      </c>
      <c r="BB1" s="53">
        <v>45</v>
      </c>
      <c r="BC1" s="53">
        <v>46</v>
      </c>
      <c r="BD1" s="53">
        <v>47</v>
      </c>
      <c r="BE1" s="53">
        <v>48</v>
      </c>
      <c r="BF1" s="53">
        <v>49</v>
      </c>
      <c r="BG1" s="53">
        <v>50</v>
      </c>
      <c r="BH1" s="53">
        <v>51</v>
      </c>
      <c r="BI1" s="53">
        <v>52</v>
      </c>
      <c r="BJ1" s="53">
        <v>53</v>
      </c>
      <c r="BK1" s="53">
        <v>54</v>
      </c>
      <c r="BL1" s="53">
        <v>55</v>
      </c>
      <c r="BM1" s="53">
        <v>56</v>
      </c>
      <c r="BN1" s="53">
        <v>57</v>
      </c>
      <c r="BO1" s="53">
        <v>58</v>
      </c>
      <c r="BP1" s="53">
        <v>59</v>
      </c>
      <c r="BQ1" s="53">
        <v>60</v>
      </c>
      <c r="BR1" s="53">
        <v>61</v>
      </c>
      <c r="BS1" s="53">
        <v>62</v>
      </c>
      <c r="BT1" s="53">
        <v>63</v>
      </c>
      <c r="BU1" s="53">
        <v>64</v>
      </c>
      <c r="BV1" s="53">
        <v>65</v>
      </c>
      <c r="BW1" s="53">
        <v>66</v>
      </c>
      <c r="BX1" s="53">
        <v>67</v>
      </c>
      <c r="BY1" s="53">
        <v>68</v>
      </c>
      <c r="BZ1" s="53">
        <v>69</v>
      </c>
      <c r="CA1" s="53">
        <v>70</v>
      </c>
      <c r="CB1" s="53">
        <v>71</v>
      </c>
      <c r="CC1" s="53">
        <v>72</v>
      </c>
      <c r="CD1" s="53">
        <v>73</v>
      </c>
      <c r="CE1" s="53">
        <v>74</v>
      </c>
      <c r="CF1" s="53">
        <v>75</v>
      </c>
      <c r="CG1" s="53">
        <v>76</v>
      </c>
      <c r="CH1" s="53">
        <v>77</v>
      </c>
      <c r="CI1" s="53">
        <v>78</v>
      </c>
      <c r="CJ1" s="53">
        <v>79</v>
      </c>
      <c r="CK1" s="53">
        <v>80</v>
      </c>
      <c r="CL1" s="53">
        <v>81</v>
      </c>
      <c r="CM1" s="53">
        <v>82</v>
      </c>
      <c r="CN1" s="53">
        <v>83</v>
      </c>
      <c r="CO1" s="53">
        <v>84</v>
      </c>
      <c r="CP1" s="53">
        <v>85</v>
      </c>
      <c r="CQ1" s="53">
        <v>86</v>
      </c>
      <c r="CR1" s="53">
        <v>87</v>
      </c>
      <c r="CS1" s="53">
        <v>88</v>
      </c>
      <c r="CT1" s="53">
        <v>89</v>
      </c>
      <c r="CU1" s="53">
        <v>90</v>
      </c>
      <c r="CV1" s="53">
        <v>91</v>
      </c>
      <c r="CW1" s="53">
        <v>92</v>
      </c>
      <c r="CX1" s="53">
        <v>93</v>
      </c>
      <c r="CY1" s="53">
        <v>94</v>
      </c>
      <c r="CZ1" s="53">
        <v>95</v>
      </c>
      <c r="DA1" s="53">
        <v>96</v>
      </c>
      <c r="DB1" s="53">
        <v>97</v>
      </c>
      <c r="DC1" s="53">
        <v>98</v>
      </c>
      <c r="DD1" s="53">
        <v>99</v>
      </c>
      <c r="DE1" s="53">
        <v>100</v>
      </c>
      <c r="DF1" s="53">
        <v>101</v>
      </c>
      <c r="DG1" s="53">
        <v>102</v>
      </c>
      <c r="DH1" s="53">
        <v>103</v>
      </c>
      <c r="DI1" s="53">
        <v>104</v>
      </c>
      <c r="DJ1" s="53">
        <v>105</v>
      </c>
      <c r="DK1" s="53">
        <v>106</v>
      </c>
      <c r="DL1" s="53">
        <v>107</v>
      </c>
      <c r="DM1" s="53">
        <v>108</v>
      </c>
      <c r="DN1" s="53">
        <v>109</v>
      </c>
      <c r="DO1" s="53">
        <v>110</v>
      </c>
      <c r="DP1" s="53">
        <v>111</v>
      </c>
      <c r="DQ1" s="53">
        <v>112</v>
      </c>
      <c r="DR1" s="53">
        <v>113</v>
      </c>
      <c r="DS1" s="53">
        <v>114</v>
      </c>
      <c r="DT1" s="53">
        <v>115</v>
      </c>
      <c r="DU1" s="53">
        <v>116</v>
      </c>
      <c r="DV1" s="53">
        <v>117</v>
      </c>
      <c r="DW1" s="53">
        <v>118</v>
      </c>
      <c r="DX1" s="53">
        <v>119</v>
      </c>
      <c r="DY1" s="53">
        <v>120</v>
      </c>
    </row>
    <row r="2" spans="1:129" x14ac:dyDescent="0.45">
      <c r="A2" s="10" t="s">
        <v>18</v>
      </c>
      <c r="B2" s="10" t="s">
        <v>16</v>
      </c>
      <c r="C2" s="10" t="s">
        <v>17</v>
      </c>
      <c r="D2" s="10" t="s">
        <v>52</v>
      </c>
      <c r="E2" s="10" t="s">
        <v>42</v>
      </c>
      <c r="F2" s="10" t="s">
        <v>44</v>
      </c>
      <c r="G2" s="10" t="s">
        <v>42</v>
      </c>
      <c r="H2" s="10" t="s">
        <v>44</v>
      </c>
      <c r="I2" s="12" t="s">
        <v>15</v>
      </c>
      <c r="J2" s="53" t="s">
        <v>127</v>
      </c>
      <c r="K2" s="53" t="s">
        <v>128</v>
      </c>
      <c r="L2" s="53" t="s">
        <v>129</v>
      </c>
      <c r="M2" s="53" t="s">
        <v>130</v>
      </c>
      <c r="N2" s="53" t="s">
        <v>131</v>
      </c>
      <c r="O2" s="53" t="s">
        <v>132</v>
      </c>
      <c r="P2" s="53" t="s">
        <v>133</v>
      </c>
      <c r="Q2" s="53" t="s">
        <v>134</v>
      </c>
      <c r="R2" s="53" t="s">
        <v>135</v>
      </c>
      <c r="S2" s="53" t="s">
        <v>136</v>
      </c>
      <c r="T2" s="53" t="s">
        <v>137</v>
      </c>
      <c r="U2" s="53" t="s">
        <v>138</v>
      </c>
      <c r="V2" s="53" t="s">
        <v>139</v>
      </c>
      <c r="W2" s="53" t="s">
        <v>140</v>
      </c>
      <c r="X2" s="53" t="s">
        <v>141</v>
      </c>
      <c r="Y2" s="53" t="s">
        <v>142</v>
      </c>
      <c r="Z2" s="53" t="s">
        <v>143</v>
      </c>
      <c r="AA2" s="53" t="s">
        <v>144</v>
      </c>
      <c r="AB2" s="53" t="s">
        <v>145</v>
      </c>
      <c r="AC2" s="53" t="s">
        <v>146</v>
      </c>
      <c r="AD2" s="53" t="s">
        <v>147</v>
      </c>
      <c r="AE2" s="53" t="s">
        <v>148</v>
      </c>
      <c r="AF2" s="53" t="s">
        <v>149</v>
      </c>
      <c r="AG2" s="53" t="s">
        <v>150</v>
      </c>
      <c r="AH2" s="53" t="s">
        <v>151</v>
      </c>
      <c r="AI2" s="53" t="s">
        <v>152</v>
      </c>
      <c r="AJ2" s="53" t="s">
        <v>153</v>
      </c>
      <c r="AK2" s="53" t="s">
        <v>154</v>
      </c>
      <c r="AL2" s="53" t="s">
        <v>155</v>
      </c>
      <c r="AM2" s="53" t="s">
        <v>156</v>
      </c>
      <c r="AN2" s="53" t="s">
        <v>157</v>
      </c>
      <c r="AO2" s="53" t="s">
        <v>158</v>
      </c>
      <c r="AP2" s="53" t="s">
        <v>159</v>
      </c>
      <c r="AQ2" s="53" t="s">
        <v>160</v>
      </c>
      <c r="AR2" s="53" t="s">
        <v>161</v>
      </c>
      <c r="AS2" s="53" t="s">
        <v>162</v>
      </c>
      <c r="AT2" s="53" t="s">
        <v>163</v>
      </c>
      <c r="AU2" s="53" t="s">
        <v>164</v>
      </c>
      <c r="AV2" s="53" t="s">
        <v>165</v>
      </c>
      <c r="AW2" s="53" t="s">
        <v>166</v>
      </c>
      <c r="AX2" s="53" t="s">
        <v>167</v>
      </c>
      <c r="AY2" s="53" t="s">
        <v>168</v>
      </c>
      <c r="AZ2" s="53" t="s">
        <v>169</v>
      </c>
      <c r="BA2" s="53" t="s">
        <v>170</v>
      </c>
      <c r="BB2" s="53" t="s">
        <v>171</v>
      </c>
      <c r="BC2" s="53" t="s">
        <v>172</v>
      </c>
      <c r="BD2" s="53" t="s">
        <v>173</v>
      </c>
      <c r="BE2" s="53" t="s">
        <v>174</v>
      </c>
      <c r="BF2" s="53" t="s">
        <v>175</v>
      </c>
      <c r="BG2" s="53" t="s">
        <v>176</v>
      </c>
      <c r="BH2" s="53" t="s">
        <v>177</v>
      </c>
      <c r="BI2" s="53" t="s">
        <v>178</v>
      </c>
      <c r="BJ2" s="53" t="s">
        <v>179</v>
      </c>
      <c r="BK2" s="53" t="s">
        <v>180</v>
      </c>
      <c r="BL2" s="53" t="s">
        <v>181</v>
      </c>
      <c r="BM2" s="53" t="s">
        <v>182</v>
      </c>
      <c r="BN2" s="53" t="s">
        <v>183</v>
      </c>
      <c r="BO2" s="53" t="s">
        <v>184</v>
      </c>
      <c r="BP2" s="53" t="s">
        <v>185</v>
      </c>
      <c r="BQ2" s="53" t="s">
        <v>186</v>
      </c>
      <c r="BR2" s="53" t="s">
        <v>187</v>
      </c>
      <c r="BS2" s="53" t="s">
        <v>188</v>
      </c>
      <c r="BT2" s="53" t="s">
        <v>189</v>
      </c>
      <c r="BU2" s="53" t="s">
        <v>190</v>
      </c>
      <c r="BV2" s="53" t="s">
        <v>191</v>
      </c>
      <c r="BW2" s="53" t="s">
        <v>192</v>
      </c>
      <c r="BX2" s="53" t="s">
        <v>193</v>
      </c>
      <c r="BY2" s="53" t="s">
        <v>194</v>
      </c>
      <c r="BZ2" s="53" t="s">
        <v>195</v>
      </c>
      <c r="CA2" s="53" t="s">
        <v>196</v>
      </c>
      <c r="CB2" s="53" t="s">
        <v>197</v>
      </c>
      <c r="CC2" s="53" t="s">
        <v>198</v>
      </c>
      <c r="CD2" s="53" t="s">
        <v>199</v>
      </c>
      <c r="CE2" s="53" t="s">
        <v>200</v>
      </c>
      <c r="CF2" s="53" t="s">
        <v>201</v>
      </c>
      <c r="CG2" s="53" t="s">
        <v>202</v>
      </c>
      <c r="CH2" s="53" t="s">
        <v>203</v>
      </c>
      <c r="CI2" s="53" t="s">
        <v>204</v>
      </c>
      <c r="CJ2" s="53" t="s">
        <v>205</v>
      </c>
      <c r="CK2" s="53" t="s">
        <v>206</v>
      </c>
      <c r="CL2" s="53" t="s">
        <v>207</v>
      </c>
      <c r="CM2" s="53" t="s">
        <v>208</v>
      </c>
      <c r="CN2" s="53" t="s">
        <v>209</v>
      </c>
      <c r="CO2" s="53" t="s">
        <v>210</v>
      </c>
      <c r="CP2" s="53" t="s">
        <v>211</v>
      </c>
      <c r="CQ2" s="53" t="s">
        <v>212</v>
      </c>
      <c r="CR2" s="53" t="s">
        <v>213</v>
      </c>
      <c r="CS2" s="53" t="s">
        <v>214</v>
      </c>
      <c r="CT2" s="53" t="s">
        <v>215</v>
      </c>
      <c r="CU2" s="53" t="s">
        <v>216</v>
      </c>
      <c r="CV2" s="53" t="s">
        <v>217</v>
      </c>
      <c r="CW2" s="53" t="s">
        <v>218</v>
      </c>
      <c r="CX2" s="53" t="s">
        <v>219</v>
      </c>
      <c r="CY2" s="53" t="s">
        <v>220</v>
      </c>
      <c r="CZ2" s="53" t="s">
        <v>221</v>
      </c>
      <c r="DA2" s="53" t="s">
        <v>222</v>
      </c>
      <c r="DB2" s="53" t="s">
        <v>223</v>
      </c>
      <c r="DC2" s="53" t="s">
        <v>224</v>
      </c>
      <c r="DD2" s="53" t="s">
        <v>225</v>
      </c>
      <c r="DE2" s="53" t="s">
        <v>226</v>
      </c>
      <c r="DF2" s="53" t="s">
        <v>227</v>
      </c>
      <c r="DG2" s="53" t="s">
        <v>228</v>
      </c>
      <c r="DH2" s="53" t="s">
        <v>229</v>
      </c>
      <c r="DI2" s="53" t="s">
        <v>230</v>
      </c>
      <c r="DJ2" s="53" t="s">
        <v>231</v>
      </c>
      <c r="DK2" s="53" t="s">
        <v>232</v>
      </c>
      <c r="DL2" s="53" t="s">
        <v>233</v>
      </c>
      <c r="DM2" s="53" t="s">
        <v>234</v>
      </c>
      <c r="DN2" s="53" t="s">
        <v>235</v>
      </c>
      <c r="DO2" s="53" t="s">
        <v>236</v>
      </c>
      <c r="DP2" s="53" t="s">
        <v>237</v>
      </c>
      <c r="DQ2" s="53" t="s">
        <v>238</v>
      </c>
      <c r="DR2" s="53" t="s">
        <v>239</v>
      </c>
      <c r="DS2" s="53" t="s">
        <v>240</v>
      </c>
      <c r="DT2" s="53" t="s">
        <v>241</v>
      </c>
      <c r="DU2" s="53" t="s">
        <v>242</v>
      </c>
      <c r="DV2" s="53" t="s">
        <v>243</v>
      </c>
      <c r="DW2" s="53" t="s">
        <v>244</v>
      </c>
      <c r="DX2" s="53" t="s">
        <v>245</v>
      </c>
      <c r="DY2" s="53" t="s">
        <v>246</v>
      </c>
    </row>
    <row r="3" spans="1:129" x14ac:dyDescent="0.45">
      <c r="A3" s="3">
        <v>46022</v>
      </c>
      <c r="B3" s="2" t="s">
        <v>0</v>
      </c>
      <c r="C3" s="4" t="s">
        <v>1</v>
      </c>
      <c r="D3" s="16"/>
      <c r="E3" s="54"/>
      <c r="F3" s="54"/>
      <c r="G3" s="54"/>
      <c r="H3" s="54"/>
      <c r="I3" s="13">
        <v>1255.1239800000001</v>
      </c>
      <c r="J3" s="57">
        <f>SUM(J4:J5)</f>
        <v>1244.3263896666667</v>
      </c>
      <c r="K3" s="57">
        <f t="shared" ref="K3:BV3" si="0">SUM(K4:K5)</f>
        <v>1233.5287993333332</v>
      </c>
      <c r="L3" s="57">
        <f t="shared" si="0"/>
        <v>1222.731209</v>
      </c>
      <c r="M3" s="57">
        <f t="shared" si="0"/>
        <v>1211.9336186666667</v>
      </c>
      <c r="N3" s="57">
        <f t="shared" si="0"/>
        <v>1201.1360283333333</v>
      </c>
      <c r="O3" s="57">
        <f t="shared" si="0"/>
        <v>1190.338438</v>
      </c>
      <c r="P3" s="57">
        <f t="shared" si="0"/>
        <v>1179.5408476666667</v>
      </c>
      <c r="Q3" s="57">
        <f t="shared" si="0"/>
        <v>1168.7432573333335</v>
      </c>
      <c r="R3" s="57">
        <f t="shared" si="0"/>
        <v>1157.9456670000002</v>
      </c>
      <c r="S3" s="57">
        <f t="shared" si="0"/>
        <v>1147.1480766666666</v>
      </c>
      <c r="T3" s="57">
        <f t="shared" si="0"/>
        <v>1136.3504863333333</v>
      </c>
      <c r="U3" s="57">
        <f t="shared" si="0"/>
        <v>1125.5528960000001</v>
      </c>
      <c r="V3" s="57">
        <f t="shared" si="0"/>
        <v>1114.7553056666668</v>
      </c>
      <c r="W3" s="57">
        <f t="shared" si="0"/>
        <v>1103.9577153333335</v>
      </c>
      <c r="X3" s="57">
        <f t="shared" si="0"/>
        <v>1093.1601249999999</v>
      </c>
      <c r="Y3" s="57">
        <f t="shared" si="0"/>
        <v>1082.3625346666665</v>
      </c>
      <c r="Z3" s="57">
        <f t="shared" si="0"/>
        <v>1071.5649443333334</v>
      </c>
      <c r="AA3" s="57">
        <f t="shared" si="0"/>
        <v>1060.7673540000001</v>
      </c>
      <c r="AB3" s="57">
        <f t="shared" si="0"/>
        <v>1049.9697636666667</v>
      </c>
      <c r="AC3" s="57">
        <f t="shared" si="0"/>
        <v>1039.1721733333334</v>
      </c>
      <c r="AD3" s="57">
        <f t="shared" si="0"/>
        <v>1028.374583</v>
      </c>
      <c r="AE3" s="57">
        <f t="shared" si="0"/>
        <v>1017.5769926666668</v>
      </c>
      <c r="AF3" s="57">
        <f t="shared" si="0"/>
        <v>1006.7794023333333</v>
      </c>
      <c r="AG3" s="57">
        <f t="shared" si="0"/>
        <v>995.98181199999999</v>
      </c>
      <c r="AH3" s="57">
        <f t="shared" si="0"/>
        <v>985.18422166666664</v>
      </c>
      <c r="AI3" s="57">
        <f t="shared" si="0"/>
        <v>974.3866313333333</v>
      </c>
      <c r="AJ3" s="57">
        <f t="shared" si="0"/>
        <v>963.58904100000007</v>
      </c>
      <c r="AK3" s="57">
        <f t="shared" si="0"/>
        <v>952.79145066666672</v>
      </c>
      <c r="AL3" s="57">
        <f t="shared" si="0"/>
        <v>941.99386033333337</v>
      </c>
      <c r="AM3" s="57">
        <f t="shared" si="0"/>
        <v>931.19627000000003</v>
      </c>
      <c r="AN3" s="57">
        <f t="shared" si="0"/>
        <v>920.39867966666668</v>
      </c>
      <c r="AO3" s="57">
        <f t="shared" si="0"/>
        <v>909.60108933333333</v>
      </c>
      <c r="AP3" s="57">
        <f t="shared" si="0"/>
        <v>898.80349899999999</v>
      </c>
      <c r="AQ3" s="57">
        <f t="shared" si="0"/>
        <v>888.00590866666676</v>
      </c>
      <c r="AR3" s="57">
        <f t="shared" si="0"/>
        <v>877.20831833333341</v>
      </c>
      <c r="AS3" s="57">
        <f t="shared" si="0"/>
        <v>866.41072800000006</v>
      </c>
      <c r="AT3" s="57">
        <f t="shared" si="0"/>
        <v>855.61313766666672</v>
      </c>
      <c r="AU3" s="57">
        <f t="shared" si="0"/>
        <v>844.81554733333326</v>
      </c>
      <c r="AV3" s="57">
        <f t="shared" si="0"/>
        <v>834.01795700000002</v>
      </c>
      <c r="AW3" s="57">
        <f t="shared" si="0"/>
        <v>823.22036666666656</v>
      </c>
      <c r="AX3" s="57">
        <f t="shared" si="0"/>
        <v>812.42277633333333</v>
      </c>
      <c r="AY3" s="57">
        <f t="shared" si="0"/>
        <v>801.62518599999999</v>
      </c>
      <c r="AZ3" s="57">
        <f t="shared" si="0"/>
        <v>790.82759566666675</v>
      </c>
      <c r="BA3" s="57">
        <f t="shared" si="0"/>
        <v>780.03000533333329</v>
      </c>
      <c r="BB3" s="57">
        <f t="shared" si="0"/>
        <v>769.23241499999995</v>
      </c>
      <c r="BC3" s="57">
        <f t="shared" si="0"/>
        <v>758.43482466666671</v>
      </c>
      <c r="BD3" s="57">
        <f t="shared" si="0"/>
        <v>747.63723433333325</v>
      </c>
      <c r="BE3" s="57">
        <f t="shared" si="0"/>
        <v>736.83964400000002</v>
      </c>
      <c r="BF3" s="57">
        <f t="shared" si="0"/>
        <v>726.04205366666667</v>
      </c>
      <c r="BG3" s="57">
        <f t="shared" si="0"/>
        <v>715.24446333333344</v>
      </c>
      <c r="BH3" s="57">
        <f t="shared" si="0"/>
        <v>704.44687299999998</v>
      </c>
      <c r="BI3" s="57">
        <f t="shared" si="0"/>
        <v>693.64928266666675</v>
      </c>
      <c r="BJ3" s="57">
        <f t="shared" si="0"/>
        <v>682.85169233333329</v>
      </c>
      <c r="BK3" s="57">
        <f t="shared" si="0"/>
        <v>672.05410199999994</v>
      </c>
      <c r="BL3" s="57">
        <f t="shared" si="0"/>
        <v>661.2565116666666</v>
      </c>
      <c r="BM3" s="57">
        <f t="shared" si="0"/>
        <v>650.45892133333325</v>
      </c>
      <c r="BN3" s="57">
        <f t="shared" si="0"/>
        <v>639.66133100000002</v>
      </c>
      <c r="BO3" s="57">
        <f t="shared" si="0"/>
        <v>628.86374066666667</v>
      </c>
      <c r="BP3" s="57">
        <f t="shared" si="0"/>
        <v>618.06615033333333</v>
      </c>
      <c r="BQ3" s="57">
        <f t="shared" si="0"/>
        <v>607.26855999999998</v>
      </c>
      <c r="BR3" s="57">
        <f t="shared" si="0"/>
        <v>597.14741733333324</v>
      </c>
      <c r="BS3" s="57">
        <f t="shared" si="0"/>
        <v>587.02627466666661</v>
      </c>
      <c r="BT3" s="57">
        <f t="shared" si="0"/>
        <v>576.90513199999998</v>
      </c>
      <c r="BU3" s="57">
        <f t="shared" si="0"/>
        <v>566.78398933333335</v>
      </c>
      <c r="BV3" s="57">
        <f t="shared" si="0"/>
        <v>556.66284666666661</v>
      </c>
      <c r="BW3" s="57">
        <f t="shared" ref="BW3:DY3" si="1">SUM(BW4:BW5)</f>
        <v>546.54170399999998</v>
      </c>
      <c r="BX3" s="57">
        <f t="shared" si="1"/>
        <v>536.42056133333335</v>
      </c>
      <c r="BY3" s="57">
        <f t="shared" si="1"/>
        <v>526.29941866666661</v>
      </c>
      <c r="BZ3" s="57">
        <f t="shared" si="1"/>
        <v>516.17827599999998</v>
      </c>
      <c r="CA3" s="57">
        <f t="shared" si="1"/>
        <v>506.05713333333335</v>
      </c>
      <c r="CB3" s="57">
        <f t="shared" si="1"/>
        <v>495.93599066666667</v>
      </c>
      <c r="CC3" s="57">
        <f t="shared" si="1"/>
        <v>485.81484799999998</v>
      </c>
      <c r="CD3" s="57">
        <f t="shared" si="1"/>
        <v>475.6937053333333</v>
      </c>
      <c r="CE3" s="57">
        <f t="shared" si="1"/>
        <v>465.57256266666667</v>
      </c>
      <c r="CF3" s="57">
        <f t="shared" si="1"/>
        <v>455.45141999999998</v>
      </c>
      <c r="CG3" s="57">
        <f t="shared" si="1"/>
        <v>445.3302773333333</v>
      </c>
      <c r="CH3" s="57">
        <f t="shared" si="1"/>
        <v>435.20913466666667</v>
      </c>
      <c r="CI3" s="57">
        <f t="shared" si="1"/>
        <v>425.08799199999999</v>
      </c>
      <c r="CJ3" s="57">
        <f t="shared" si="1"/>
        <v>414.9668493333333</v>
      </c>
      <c r="CK3" s="57">
        <f t="shared" si="1"/>
        <v>404.84570666666662</v>
      </c>
      <c r="CL3" s="57">
        <f t="shared" si="1"/>
        <v>394.72456399999999</v>
      </c>
      <c r="CM3" s="57">
        <f t="shared" si="1"/>
        <v>384.6034213333333</v>
      </c>
      <c r="CN3" s="57">
        <f t="shared" si="1"/>
        <v>374.48227866666667</v>
      </c>
      <c r="CO3" s="57">
        <f t="shared" si="1"/>
        <v>364.36113599999999</v>
      </c>
      <c r="CP3" s="57">
        <f t="shared" si="1"/>
        <v>354.23999333333336</v>
      </c>
      <c r="CQ3" s="57">
        <f t="shared" si="1"/>
        <v>344.11885066666667</v>
      </c>
      <c r="CR3" s="57">
        <f t="shared" si="1"/>
        <v>333.99770799999999</v>
      </c>
      <c r="CS3" s="57">
        <f t="shared" si="1"/>
        <v>323.8765653333333</v>
      </c>
      <c r="CT3" s="57">
        <f t="shared" si="1"/>
        <v>313.75542266666668</v>
      </c>
      <c r="CU3" s="57">
        <f t="shared" si="1"/>
        <v>303.63427999999999</v>
      </c>
      <c r="CV3" s="57">
        <f t="shared" si="1"/>
        <v>293.5131373333333</v>
      </c>
      <c r="CW3" s="57">
        <f t="shared" si="1"/>
        <v>283.39199466666668</v>
      </c>
      <c r="CX3" s="57">
        <f t="shared" si="1"/>
        <v>273.27085199999999</v>
      </c>
      <c r="CY3" s="57">
        <f t="shared" si="1"/>
        <v>263.14970933333331</v>
      </c>
      <c r="CZ3" s="57">
        <f t="shared" si="1"/>
        <v>253.02856666666668</v>
      </c>
      <c r="DA3" s="57">
        <f t="shared" si="1"/>
        <v>242.90742399999999</v>
      </c>
      <c r="DB3" s="57">
        <f t="shared" si="1"/>
        <v>232.78628133333333</v>
      </c>
      <c r="DC3" s="57">
        <f t="shared" si="1"/>
        <v>222.66513866666665</v>
      </c>
      <c r="DD3" s="57">
        <f t="shared" si="1"/>
        <v>212.54399599999999</v>
      </c>
      <c r="DE3" s="57">
        <f t="shared" si="1"/>
        <v>202.42285333333331</v>
      </c>
      <c r="DF3" s="57">
        <f t="shared" si="1"/>
        <v>192.30171066666665</v>
      </c>
      <c r="DG3" s="57">
        <f t="shared" si="1"/>
        <v>182.18056799999999</v>
      </c>
      <c r="DH3" s="57">
        <f t="shared" si="1"/>
        <v>172.05942533333334</v>
      </c>
      <c r="DI3" s="57">
        <f t="shared" si="1"/>
        <v>161.93828266666665</v>
      </c>
      <c r="DJ3" s="57">
        <f t="shared" si="1"/>
        <v>151.81713999999999</v>
      </c>
      <c r="DK3" s="57">
        <f t="shared" si="1"/>
        <v>141.69599733333334</v>
      </c>
      <c r="DL3" s="57">
        <f t="shared" si="1"/>
        <v>131.57485466666665</v>
      </c>
      <c r="DM3" s="57">
        <f t="shared" si="1"/>
        <v>121.453712</v>
      </c>
      <c r="DN3" s="57">
        <f t="shared" si="1"/>
        <v>111.33256933333332</v>
      </c>
      <c r="DO3" s="57">
        <f t="shared" si="1"/>
        <v>101.21142666666665</v>
      </c>
      <c r="DP3" s="57">
        <f t="shared" si="1"/>
        <v>91.090283999999997</v>
      </c>
      <c r="DQ3" s="57">
        <f t="shared" si="1"/>
        <v>80.969141333333326</v>
      </c>
      <c r="DR3" s="57">
        <f t="shared" si="1"/>
        <v>70.847998666666669</v>
      </c>
      <c r="DS3" s="57">
        <f t="shared" si="1"/>
        <v>60.726855999999998</v>
      </c>
      <c r="DT3" s="57">
        <f t="shared" si="1"/>
        <v>50.605713333333327</v>
      </c>
      <c r="DU3" s="57">
        <f t="shared" si="1"/>
        <v>40.484570666666663</v>
      </c>
      <c r="DV3" s="57">
        <f t="shared" si="1"/>
        <v>30.363427999999999</v>
      </c>
      <c r="DW3" s="57">
        <f t="shared" si="1"/>
        <v>20.242285333333331</v>
      </c>
      <c r="DX3" s="57">
        <f t="shared" si="1"/>
        <v>10.121142666666666</v>
      </c>
      <c r="DY3" s="57">
        <f t="shared" si="1"/>
        <v>0</v>
      </c>
    </row>
    <row r="4" spans="1:129" x14ac:dyDescent="0.45">
      <c r="A4" s="3">
        <v>46022</v>
      </c>
      <c r="B4" s="2" t="s">
        <v>0</v>
      </c>
      <c r="C4" s="6" t="s">
        <v>2</v>
      </c>
      <c r="D4" s="17">
        <v>0</v>
      </c>
      <c r="E4" s="2" t="s">
        <v>43</v>
      </c>
      <c r="F4" s="2">
        <v>60</v>
      </c>
      <c r="G4" s="2" t="s">
        <v>45</v>
      </c>
      <c r="H4" s="2">
        <v>60</v>
      </c>
      <c r="I4" s="14">
        <v>40.586860000000115</v>
      </c>
      <c r="J4" s="55">
        <f>IF(J$1&lt;$F4,$I4*(($F4-J$1)/$F4),0)</f>
        <v>39.910412333333447</v>
      </c>
      <c r="K4" s="55">
        <f t="shared" ref="K4:BV5" si="2">IF(K$1&lt;$F4,$I4*(($F4-K$1)/$F4),0)</f>
        <v>39.233964666666779</v>
      </c>
      <c r="L4" s="55">
        <f t="shared" si="2"/>
        <v>38.557517000000111</v>
      </c>
      <c r="M4" s="55">
        <f t="shared" si="2"/>
        <v>37.881069333333443</v>
      </c>
      <c r="N4" s="55">
        <f t="shared" si="2"/>
        <v>37.204621666666768</v>
      </c>
      <c r="O4" s="55">
        <f t="shared" si="2"/>
        <v>36.528174000000107</v>
      </c>
      <c r="P4" s="55">
        <f t="shared" si="2"/>
        <v>35.851726333333431</v>
      </c>
      <c r="Q4" s="55">
        <f t="shared" si="2"/>
        <v>35.17527866666677</v>
      </c>
      <c r="R4" s="55">
        <f t="shared" si="2"/>
        <v>34.498831000000095</v>
      </c>
      <c r="S4" s="55">
        <f t="shared" si="2"/>
        <v>33.822383333333434</v>
      </c>
      <c r="T4" s="55">
        <f t="shared" si="2"/>
        <v>33.145935666666759</v>
      </c>
      <c r="U4" s="55">
        <f t="shared" si="2"/>
        <v>32.469488000000091</v>
      </c>
      <c r="V4" s="55">
        <f t="shared" si="2"/>
        <v>31.793040333333423</v>
      </c>
      <c r="W4" s="55">
        <f t="shared" si="2"/>
        <v>31.116592666666758</v>
      </c>
      <c r="X4" s="55">
        <f t="shared" si="2"/>
        <v>30.440145000000086</v>
      </c>
      <c r="Y4" s="55">
        <f t="shared" si="2"/>
        <v>29.763697333333415</v>
      </c>
      <c r="Z4" s="55">
        <f t="shared" si="2"/>
        <v>29.08724966666675</v>
      </c>
      <c r="AA4" s="55">
        <f t="shared" si="2"/>
        <v>28.410802000000078</v>
      </c>
      <c r="AB4" s="55">
        <f t="shared" si="2"/>
        <v>27.734354333333414</v>
      </c>
      <c r="AC4" s="55">
        <f t="shared" si="2"/>
        <v>27.057906666666742</v>
      </c>
      <c r="AD4" s="55">
        <f t="shared" si="2"/>
        <v>26.381459000000074</v>
      </c>
      <c r="AE4" s="55">
        <f t="shared" si="2"/>
        <v>25.705011333333406</v>
      </c>
      <c r="AF4" s="55">
        <f t="shared" si="2"/>
        <v>25.028563666666738</v>
      </c>
      <c r="AG4" s="55">
        <f t="shared" si="2"/>
        <v>24.35211600000007</v>
      </c>
      <c r="AH4" s="55">
        <f t="shared" si="2"/>
        <v>23.675668333333402</v>
      </c>
      <c r="AI4" s="55">
        <f t="shared" si="2"/>
        <v>22.99922066666673</v>
      </c>
      <c r="AJ4" s="55">
        <f t="shared" si="2"/>
        <v>22.322773000000065</v>
      </c>
      <c r="AK4" s="55">
        <f t="shared" si="2"/>
        <v>21.646325333333394</v>
      </c>
      <c r="AL4" s="55">
        <f t="shared" si="2"/>
        <v>20.969877666666729</v>
      </c>
      <c r="AM4" s="55">
        <f t="shared" si="2"/>
        <v>20.293430000000058</v>
      </c>
      <c r="AN4" s="55">
        <f t="shared" si="2"/>
        <v>19.616982333333389</v>
      </c>
      <c r="AO4" s="55">
        <f t="shared" si="2"/>
        <v>18.940534666666721</v>
      </c>
      <c r="AP4" s="55">
        <f t="shared" si="2"/>
        <v>18.264087000000053</v>
      </c>
      <c r="AQ4" s="55">
        <f t="shared" si="2"/>
        <v>17.587639333333385</v>
      </c>
      <c r="AR4" s="55">
        <f t="shared" si="2"/>
        <v>16.911191666666717</v>
      </c>
      <c r="AS4" s="55">
        <f t="shared" si="2"/>
        <v>16.234744000000045</v>
      </c>
      <c r="AT4" s="55">
        <f t="shared" si="2"/>
        <v>15.558296333333379</v>
      </c>
      <c r="AU4" s="55">
        <f t="shared" si="2"/>
        <v>14.881848666666707</v>
      </c>
      <c r="AV4" s="55">
        <f t="shared" si="2"/>
        <v>14.205401000000039</v>
      </c>
      <c r="AW4" s="55">
        <f t="shared" si="2"/>
        <v>13.528953333333371</v>
      </c>
      <c r="AX4" s="55">
        <f t="shared" si="2"/>
        <v>12.852505666666703</v>
      </c>
      <c r="AY4" s="55">
        <f t="shared" si="2"/>
        <v>12.176058000000035</v>
      </c>
      <c r="AZ4" s="55">
        <f t="shared" si="2"/>
        <v>11.499610333333365</v>
      </c>
      <c r="BA4" s="55">
        <f t="shared" si="2"/>
        <v>10.823162666666697</v>
      </c>
      <c r="BB4" s="55">
        <f t="shared" si="2"/>
        <v>10.146715000000029</v>
      </c>
      <c r="BC4" s="55">
        <f t="shared" si="2"/>
        <v>9.4702673333333607</v>
      </c>
      <c r="BD4" s="55">
        <f t="shared" si="2"/>
        <v>8.7938196666666926</v>
      </c>
      <c r="BE4" s="55">
        <f t="shared" si="2"/>
        <v>8.1173720000000227</v>
      </c>
      <c r="BF4" s="55">
        <f t="shared" si="2"/>
        <v>7.4409243333333537</v>
      </c>
      <c r="BG4" s="55">
        <f t="shared" si="2"/>
        <v>6.7644766666666856</v>
      </c>
      <c r="BH4" s="55">
        <f t="shared" si="2"/>
        <v>6.0880290000000175</v>
      </c>
      <c r="BI4" s="55">
        <f t="shared" si="2"/>
        <v>5.4115813333333485</v>
      </c>
      <c r="BJ4" s="55">
        <f t="shared" si="2"/>
        <v>4.7351336666666803</v>
      </c>
      <c r="BK4" s="55">
        <f t="shared" si="2"/>
        <v>4.0586860000000113</v>
      </c>
      <c r="BL4" s="55">
        <f t="shared" si="2"/>
        <v>3.3822383333333428</v>
      </c>
      <c r="BM4" s="55">
        <f t="shared" si="2"/>
        <v>2.7057906666666742</v>
      </c>
      <c r="BN4" s="55">
        <f t="shared" si="2"/>
        <v>2.0293430000000057</v>
      </c>
      <c r="BO4" s="55">
        <f t="shared" si="2"/>
        <v>1.3528953333333371</v>
      </c>
      <c r="BP4" s="55">
        <f t="shared" si="2"/>
        <v>0.67644766666666856</v>
      </c>
      <c r="BQ4" s="55">
        <f t="shared" si="2"/>
        <v>0</v>
      </c>
      <c r="BR4" s="55">
        <f t="shared" si="2"/>
        <v>0</v>
      </c>
      <c r="BS4" s="55">
        <f t="shared" si="2"/>
        <v>0</v>
      </c>
      <c r="BT4" s="55">
        <f t="shared" si="2"/>
        <v>0</v>
      </c>
      <c r="BU4" s="55">
        <f t="shared" si="2"/>
        <v>0</v>
      </c>
      <c r="BV4" s="55">
        <f t="shared" si="2"/>
        <v>0</v>
      </c>
      <c r="BW4" s="55">
        <f t="shared" ref="BW4:DY5" si="3">IF(BW$1&lt;$F4,$I4*(($F4-BW$1)/$F4),0)</f>
        <v>0</v>
      </c>
      <c r="BX4" s="55">
        <f t="shared" si="3"/>
        <v>0</v>
      </c>
      <c r="BY4" s="55">
        <f t="shared" si="3"/>
        <v>0</v>
      </c>
      <c r="BZ4" s="55">
        <f t="shared" si="3"/>
        <v>0</v>
      </c>
      <c r="CA4" s="55">
        <f t="shared" si="3"/>
        <v>0</v>
      </c>
      <c r="CB4" s="55">
        <f t="shared" si="3"/>
        <v>0</v>
      </c>
      <c r="CC4" s="55">
        <f t="shared" si="3"/>
        <v>0</v>
      </c>
      <c r="CD4" s="55">
        <f t="shared" si="3"/>
        <v>0</v>
      </c>
      <c r="CE4" s="55">
        <f t="shared" si="3"/>
        <v>0</v>
      </c>
      <c r="CF4" s="55">
        <f t="shared" si="3"/>
        <v>0</v>
      </c>
      <c r="CG4" s="55">
        <f t="shared" si="3"/>
        <v>0</v>
      </c>
      <c r="CH4" s="55">
        <f t="shared" si="3"/>
        <v>0</v>
      </c>
      <c r="CI4" s="55">
        <f t="shared" si="3"/>
        <v>0</v>
      </c>
      <c r="CJ4" s="55">
        <f t="shared" si="3"/>
        <v>0</v>
      </c>
      <c r="CK4" s="55">
        <f t="shared" si="3"/>
        <v>0</v>
      </c>
      <c r="CL4" s="55">
        <f t="shared" si="3"/>
        <v>0</v>
      </c>
      <c r="CM4" s="55">
        <f t="shared" si="3"/>
        <v>0</v>
      </c>
      <c r="CN4" s="55">
        <f t="shared" si="3"/>
        <v>0</v>
      </c>
      <c r="CO4" s="55">
        <f t="shared" si="3"/>
        <v>0</v>
      </c>
      <c r="CP4" s="55">
        <f t="shared" si="3"/>
        <v>0</v>
      </c>
      <c r="CQ4" s="55">
        <f t="shared" si="3"/>
        <v>0</v>
      </c>
      <c r="CR4" s="55">
        <f t="shared" si="3"/>
        <v>0</v>
      </c>
      <c r="CS4" s="55">
        <f t="shared" si="3"/>
        <v>0</v>
      </c>
      <c r="CT4" s="55">
        <f t="shared" si="3"/>
        <v>0</v>
      </c>
      <c r="CU4" s="55">
        <f t="shared" si="3"/>
        <v>0</v>
      </c>
      <c r="CV4" s="55">
        <f t="shared" si="3"/>
        <v>0</v>
      </c>
      <c r="CW4" s="55">
        <f t="shared" si="3"/>
        <v>0</v>
      </c>
      <c r="CX4" s="55">
        <f t="shared" si="3"/>
        <v>0</v>
      </c>
      <c r="CY4" s="55">
        <f t="shared" si="3"/>
        <v>0</v>
      </c>
      <c r="CZ4" s="55">
        <f t="shared" si="3"/>
        <v>0</v>
      </c>
      <c r="DA4" s="55">
        <f t="shared" si="3"/>
        <v>0</v>
      </c>
      <c r="DB4" s="55">
        <f t="shared" si="3"/>
        <v>0</v>
      </c>
      <c r="DC4" s="55">
        <f t="shared" si="3"/>
        <v>0</v>
      </c>
      <c r="DD4" s="55">
        <f t="shared" si="3"/>
        <v>0</v>
      </c>
      <c r="DE4" s="55">
        <f t="shared" si="3"/>
        <v>0</v>
      </c>
      <c r="DF4" s="55">
        <f t="shared" si="3"/>
        <v>0</v>
      </c>
      <c r="DG4" s="55">
        <f t="shared" si="3"/>
        <v>0</v>
      </c>
      <c r="DH4" s="55">
        <f t="shared" si="3"/>
        <v>0</v>
      </c>
      <c r="DI4" s="55">
        <f t="shared" si="3"/>
        <v>0</v>
      </c>
      <c r="DJ4" s="55">
        <f t="shared" si="3"/>
        <v>0</v>
      </c>
      <c r="DK4" s="55">
        <f t="shared" si="3"/>
        <v>0</v>
      </c>
      <c r="DL4" s="55">
        <f t="shared" si="3"/>
        <v>0</v>
      </c>
      <c r="DM4" s="55">
        <f t="shared" si="3"/>
        <v>0</v>
      </c>
      <c r="DN4" s="55">
        <f t="shared" si="3"/>
        <v>0</v>
      </c>
      <c r="DO4" s="55">
        <f t="shared" si="3"/>
        <v>0</v>
      </c>
      <c r="DP4" s="55">
        <f t="shared" si="3"/>
        <v>0</v>
      </c>
      <c r="DQ4" s="55">
        <f t="shared" si="3"/>
        <v>0</v>
      </c>
      <c r="DR4" s="55">
        <f t="shared" si="3"/>
        <v>0</v>
      </c>
      <c r="DS4" s="55">
        <f t="shared" si="3"/>
        <v>0</v>
      </c>
      <c r="DT4" s="55">
        <f t="shared" si="3"/>
        <v>0</v>
      </c>
      <c r="DU4" s="55">
        <f t="shared" si="3"/>
        <v>0</v>
      </c>
      <c r="DV4" s="55">
        <f t="shared" si="3"/>
        <v>0</v>
      </c>
      <c r="DW4" s="55">
        <f t="shared" si="3"/>
        <v>0</v>
      </c>
      <c r="DX4" s="55">
        <f t="shared" si="3"/>
        <v>0</v>
      </c>
      <c r="DY4" s="55">
        <f t="shared" si="3"/>
        <v>0</v>
      </c>
    </row>
    <row r="5" spans="1:129" x14ac:dyDescent="0.45">
      <c r="A5" s="3">
        <v>46022</v>
      </c>
      <c r="B5" s="2" t="s">
        <v>0</v>
      </c>
      <c r="C5" s="6" t="s">
        <v>3</v>
      </c>
      <c r="D5" s="17">
        <v>4.05726874893458E-4</v>
      </c>
      <c r="E5" s="2" t="s">
        <v>43</v>
      </c>
      <c r="F5" s="2">
        <v>120</v>
      </c>
      <c r="G5" s="2" t="s">
        <v>47</v>
      </c>
      <c r="H5" s="2">
        <v>120</v>
      </c>
      <c r="I5" s="14">
        <v>1214.53712</v>
      </c>
      <c r="J5" s="55">
        <f>IF(J$1&lt;$F5,$I5*(($F5-J$1)/$F5),0)</f>
        <v>1204.4159773333333</v>
      </c>
      <c r="K5" s="55">
        <f t="shared" si="2"/>
        <v>1194.2948346666665</v>
      </c>
      <c r="L5" s="55">
        <f t="shared" si="2"/>
        <v>1184.1736919999998</v>
      </c>
      <c r="M5" s="55">
        <f t="shared" si="2"/>
        <v>1174.0525493333332</v>
      </c>
      <c r="N5" s="55">
        <f t="shared" si="2"/>
        <v>1163.9314066666666</v>
      </c>
      <c r="O5" s="55">
        <f t="shared" si="2"/>
        <v>1153.810264</v>
      </c>
      <c r="P5" s="55">
        <f t="shared" si="2"/>
        <v>1143.6891213333333</v>
      </c>
      <c r="Q5" s="55">
        <f t="shared" si="2"/>
        <v>1133.5679786666667</v>
      </c>
      <c r="R5" s="55">
        <f t="shared" si="2"/>
        <v>1123.4468360000001</v>
      </c>
      <c r="S5" s="55">
        <f t="shared" si="2"/>
        <v>1113.3256933333332</v>
      </c>
      <c r="T5" s="55">
        <f t="shared" si="2"/>
        <v>1103.2045506666666</v>
      </c>
      <c r="U5" s="55">
        <f t="shared" si="2"/>
        <v>1093.083408</v>
      </c>
      <c r="V5" s="55">
        <f t="shared" si="2"/>
        <v>1082.9622653333333</v>
      </c>
      <c r="W5" s="55">
        <f t="shared" si="2"/>
        <v>1072.8411226666667</v>
      </c>
      <c r="X5" s="55">
        <f t="shared" si="2"/>
        <v>1062.7199799999999</v>
      </c>
      <c r="Y5" s="55">
        <f t="shared" si="2"/>
        <v>1052.5988373333332</v>
      </c>
      <c r="Z5" s="55">
        <f t="shared" si="2"/>
        <v>1042.4776946666666</v>
      </c>
      <c r="AA5" s="55">
        <f t="shared" si="2"/>
        <v>1032.356552</v>
      </c>
      <c r="AB5" s="55">
        <f t="shared" si="2"/>
        <v>1022.2354093333333</v>
      </c>
      <c r="AC5" s="55">
        <f t="shared" si="2"/>
        <v>1012.1142666666667</v>
      </c>
      <c r="AD5" s="55">
        <f t="shared" si="2"/>
        <v>1001.993124</v>
      </c>
      <c r="AE5" s="55">
        <f t="shared" si="2"/>
        <v>991.87198133333334</v>
      </c>
      <c r="AF5" s="55">
        <f t="shared" si="2"/>
        <v>981.7508386666666</v>
      </c>
      <c r="AG5" s="55">
        <f t="shared" si="2"/>
        <v>971.62969599999997</v>
      </c>
      <c r="AH5" s="55">
        <f t="shared" si="2"/>
        <v>961.50855333333323</v>
      </c>
      <c r="AI5" s="55">
        <f t="shared" si="2"/>
        <v>951.3874106666666</v>
      </c>
      <c r="AJ5" s="55">
        <f t="shared" si="2"/>
        <v>941.26626799999997</v>
      </c>
      <c r="AK5" s="55">
        <f t="shared" si="2"/>
        <v>931.14512533333334</v>
      </c>
      <c r="AL5" s="55">
        <f t="shared" si="2"/>
        <v>921.0239826666666</v>
      </c>
      <c r="AM5" s="55">
        <f t="shared" si="2"/>
        <v>910.90283999999997</v>
      </c>
      <c r="AN5" s="55">
        <f t="shared" si="2"/>
        <v>900.78169733333334</v>
      </c>
      <c r="AO5" s="55">
        <f t="shared" si="2"/>
        <v>890.6605546666666</v>
      </c>
      <c r="AP5" s="55">
        <f t="shared" si="2"/>
        <v>880.53941199999997</v>
      </c>
      <c r="AQ5" s="55">
        <f t="shared" si="2"/>
        <v>870.41826933333334</v>
      </c>
      <c r="AR5" s="55">
        <f t="shared" si="2"/>
        <v>860.29712666666671</v>
      </c>
      <c r="AS5" s="55">
        <f t="shared" si="2"/>
        <v>850.17598399999997</v>
      </c>
      <c r="AT5" s="55">
        <f t="shared" si="2"/>
        <v>840.05484133333334</v>
      </c>
      <c r="AU5" s="55">
        <f t="shared" si="2"/>
        <v>829.9336986666666</v>
      </c>
      <c r="AV5" s="55">
        <f t="shared" si="2"/>
        <v>819.81255599999997</v>
      </c>
      <c r="AW5" s="55">
        <f t="shared" si="2"/>
        <v>809.69141333333323</v>
      </c>
      <c r="AX5" s="55">
        <f t="shared" si="2"/>
        <v>799.5702706666666</v>
      </c>
      <c r="AY5" s="55">
        <f t="shared" si="2"/>
        <v>789.44912799999997</v>
      </c>
      <c r="AZ5" s="55">
        <f t="shared" si="2"/>
        <v>779.32798533333334</v>
      </c>
      <c r="BA5" s="55">
        <f t="shared" si="2"/>
        <v>769.2068426666666</v>
      </c>
      <c r="BB5" s="55">
        <f t="shared" si="2"/>
        <v>759.08569999999997</v>
      </c>
      <c r="BC5" s="55">
        <f t="shared" si="2"/>
        <v>748.96455733333335</v>
      </c>
      <c r="BD5" s="55">
        <f t="shared" si="2"/>
        <v>738.8434146666666</v>
      </c>
      <c r="BE5" s="55">
        <f t="shared" si="2"/>
        <v>728.72227199999998</v>
      </c>
      <c r="BF5" s="55">
        <f t="shared" si="2"/>
        <v>718.60112933333335</v>
      </c>
      <c r="BG5" s="55">
        <f t="shared" si="2"/>
        <v>708.47998666666672</v>
      </c>
      <c r="BH5" s="55">
        <f t="shared" si="2"/>
        <v>698.35884399999998</v>
      </c>
      <c r="BI5" s="55">
        <f t="shared" si="2"/>
        <v>688.23770133333335</v>
      </c>
      <c r="BJ5" s="55">
        <f t="shared" si="2"/>
        <v>678.11655866666661</v>
      </c>
      <c r="BK5" s="55">
        <f t="shared" si="2"/>
        <v>667.99541599999998</v>
      </c>
      <c r="BL5" s="55">
        <f t="shared" si="2"/>
        <v>657.87427333333324</v>
      </c>
      <c r="BM5" s="55">
        <f t="shared" si="2"/>
        <v>647.75313066666661</v>
      </c>
      <c r="BN5" s="55">
        <f t="shared" si="2"/>
        <v>637.63198799999998</v>
      </c>
      <c r="BO5" s="55">
        <f t="shared" si="2"/>
        <v>627.51084533333335</v>
      </c>
      <c r="BP5" s="55">
        <f t="shared" si="2"/>
        <v>617.38970266666661</v>
      </c>
      <c r="BQ5" s="55">
        <f t="shared" si="2"/>
        <v>607.26855999999998</v>
      </c>
      <c r="BR5" s="55">
        <f t="shared" si="2"/>
        <v>597.14741733333324</v>
      </c>
      <c r="BS5" s="55">
        <f t="shared" si="2"/>
        <v>587.02627466666661</v>
      </c>
      <c r="BT5" s="55">
        <f t="shared" si="2"/>
        <v>576.90513199999998</v>
      </c>
      <c r="BU5" s="55">
        <f t="shared" si="2"/>
        <v>566.78398933333335</v>
      </c>
      <c r="BV5" s="55">
        <f t="shared" si="2"/>
        <v>556.66284666666661</v>
      </c>
      <c r="BW5" s="55">
        <f t="shared" si="3"/>
        <v>546.54170399999998</v>
      </c>
      <c r="BX5" s="55">
        <f t="shared" si="3"/>
        <v>536.42056133333335</v>
      </c>
      <c r="BY5" s="55">
        <f t="shared" si="3"/>
        <v>526.29941866666661</v>
      </c>
      <c r="BZ5" s="55">
        <f t="shared" si="3"/>
        <v>516.17827599999998</v>
      </c>
      <c r="CA5" s="55">
        <f t="shared" si="3"/>
        <v>506.05713333333335</v>
      </c>
      <c r="CB5" s="55">
        <f t="shared" si="3"/>
        <v>495.93599066666667</v>
      </c>
      <c r="CC5" s="55">
        <f t="shared" si="3"/>
        <v>485.81484799999998</v>
      </c>
      <c r="CD5" s="55">
        <f t="shared" si="3"/>
        <v>475.6937053333333</v>
      </c>
      <c r="CE5" s="55">
        <f t="shared" si="3"/>
        <v>465.57256266666667</v>
      </c>
      <c r="CF5" s="55">
        <f t="shared" si="3"/>
        <v>455.45141999999998</v>
      </c>
      <c r="CG5" s="55">
        <f t="shared" si="3"/>
        <v>445.3302773333333</v>
      </c>
      <c r="CH5" s="55">
        <f t="shared" si="3"/>
        <v>435.20913466666667</v>
      </c>
      <c r="CI5" s="55">
        <f t="shared" si="3"/>
        <v>425.08799199999999</v>
      </c>
      <c r="CJ5" s="55">
        <f t="shared" si="3"/>
        <v>414.9668493333333</v>
      </c>
      <c r="CK5" s="55">
        <f t="shared" si="3"/>
        <v>404.84570666666662</v>
      </c>
      <c r="CL5" s="55">
        <f t="shared" si="3"/>
        <v>394.72456399999999</v>
      </c>
      <c r="CM5" s="55">
        <f t="shared" si="3"/>
        <v>384.6034213333333</v>
      </c>
      <c r="CN5" s="55">
        <f t="shared" si="3"/>
        <v>374.48227866666667</v>
      </c>
      <c r="CO5" s="55">
        <f t="shared" si="3"/>
        <v>364.36113599999999</v>
      </c>
      <c r="CP5" s="55">
        <f t="shared" si="3"/>
        <v>354.23999333333336</v>
      </c>
      <c r="CQ5" s="55">
        <f t="shared" si="3"/>
        <v>344.11885066666667</v>
      </c>
      <c r="CR5" s="55">
        <f t="shared" si="3"/>
        <v>333.99770799999999</v>
      </c>
      <c r="CS5" s="55">
        <f t="shared" si="3"/>
        <v>323.8765653333333</v>
      </c>
      <c r="CT5" s="55">
        <f t="shared" si="3"/>
        <v>313.75542266666668</v>
      </c>
      <c r="CU5" s="55">
        <f t="shared" si="3"/>
        <v>303.63427999999999</v>
      </c>
      <c r="CV5" s="55">
        <f t="shared" si="3"/>
        <v>293.5131373333333</v>
      </c>
      <c r="CW5" s="55">
        <f t="shared" si="3"/>
        <v>283.39199466666668</v>
      </c>
      <c r="CX5" s="55">
        <f t="shared" si="3"/>
        <v>273.27085199999999</v>
      </c>
      <c r="CY5" s="55">
        <f t="shared" si="3"/>
        <v>263.14970933333331</v>
      </c>
      <c r="CZ5" s="55">
        <f t="shared" si="3"/>
        <v>253.02856666666668</v>
      </c>
      <c r="DA5" s="55">
        <f t="shared" si="3"/>
        <v>242.90742399999999</v>
      </c>
      <c r="DB5" s="55">
        <f t="shared" si="3"/>
        <v>232.78628133333333</v>
      </c>
      <c r="DC5" s="55">
        <f t="shared" si="3"/>
        <v>222.66513866666665</v>
      </c>
      <c r="DD5" s="55">
        <f t="shared" si="3"/>
        <v>212.54399599999999</v>
      </c>
      <c r="DE5" s="55">
        <f t="shared" si="3"/>
        <v>202.42285333333331</v>
      </c>
      <c r="DF5" s="55">
        <f t="shared" si="3"/>
        <v>192.30171066666665</v>
      </c>
      <c r="DG5" s="55">
        <f t="shared" si="3"/>
        <v>182.18056799999999</v>
      </c>
      <c r="DH5" s="55">
        <f t="shared" si="3"/>
        <v>172.05942533333334</v>
      </c>
      <c r="DI5" s="55">
        <f t="shared" si="3"/>
        <v>161.93828266666665</v>
      </c>
      <c r="DJ5" s="55">
        <f t="shared" si="3"/>
        <v>151.81713999999999</v>
      </c>
      <c r="DK5" s="55">
        <f t="shared" si="3"/>
        <v>141.69599733333334</v>
      </c>
      <c r="DL5" s="55">
        <f t="shared" si="3"/>
        <v>131.57485466666665</v>
      </c>
      <c r="DM5" s="55">
        <f t="shared" si="3"/>
        <v>121.453712</v>
      </c>
      <c r="DN5" s="55">
        <f t="shared" si="3"/>
        <v>111.33256933333332</v>
      </c>
      <c r="DO5" s="55">
        <f t="shared" si="3"/>
        <v>101.21142666666665</v>
      </c>
      <c r="DP5" s="55">
        <f t="shared" si="3"/>
        <v>91.090283999999997</v>
      </c>
      <c r="DQ5" s="55">
        <f t="shared" si="3"/>
        <v>80.969141333333326</v>
      </c>
      <c r="DR5" s="55">
        <f t="shared" si="3"/>
        <v>70.847998666666669</v>
      </c>
      <c r="DS5" s="55">
        <f t="shared" si="3"/>
        <v>60.726855999999998</v>
      </c>
      <c r="DT5" s="55">
        <f t="shared" si="3"/>
        <v>50.605713333333327</v>
      </c>
      <c r="DU5" s="55">
        <f t="shared" si="3"/>
        <v>40.484570666666663</v>
      </c>
      <c r="DV5" s="55">
        <f t="shared" si="3"/>
        <v>30.363427999999999</v>
      </c>
      <c r="DW5" s="55">
        <f t="shared" si="3"/>
        <v>20.242285333333331</v>
      </c>
      <c r="DX5" s="55">
        <f t="shared" si="3"/>
        <v>10.121142666666666</v>
      </c>
      <c r="DY5" s="55">
        <f t="shared" si="3"/>
        <v>0</v>
      </c>
    </row>
    <row r="6" spans="1:129" x14ac:dyDescent="0.45">
      <c r="A6" s="3">
        <v>46022</v>
      </c>
      <c r="B6" s="2" t="s">
        <v>0</v>
      </c>
      <c r="C6" s="4" t="s">
        <v>4</v>
      </c>
      <c r="D6" s="16"/>
      <c r="E6" s="54"/>
      <c r="F6" s="54"/>
      <c r="G6" s="54"/>
      <c r="H6" s="54"/>
      <c r="I6" s="13">
        <v>28006.945</v>
      </c>
      <c r="J6" s="58">
        <f>SUM(J7:J8)</f>
        <v>24825.899333333335</v>
      </c>
      <c r="K6" s="58">
        <f t="shared" ref="K6:BV6" si="4">SUM(K7:K8)</f>
        <v>21644.85366666667</v>
      </c>
      <c r="L6" s="58">
        <f t="shared" si="4"/>
        <v>18463.808000000001</v>
      </c>
      <c r="M6" s="58">
        <f t="shared" si="4"/>
        <v>15282.762333333334</v>
      </c>
      <c r="N6" s="58">
        <f t="shared" si="4"/>
        <v>12101.716666666667</v>
      </c>
      <c r="O6" s="58">
        <f t="shared" si="4"/>
        <v>8920.6710000000003</v>
      </c>
      <c r="P6" s="58">
        <f t="shared" si="4"/>
        <v>8920.6710000000003</v>
      </c>
      <c r="Q6" s="58">
        <f t="shared" si="4"/>
        <v>8920.6710000000003</v>
      </c>
      <c r="R6" s="58">
        <f t="shared" si="4"/>
        <v>8920.6710000000003</v>
      </c>
      <c r="S6" s="58">
        <f t="shared" si="4"/>
        <v>8920.6710000000003</v>
      </c>
      <c r="T6" s="58">
        <f t="shared" si="4"/>
        <v>8920.6710000000003</v>
      </c>
      <c r="U6" s="58">
        <f t="shared" si="4"/>
        <v>0</v>
      </c>
      <c r="V6" s="58">
        <f t="shared" si="4"/>
        <v>0</v>
      </c>
      <c r="W6" s="58">
        <f t="shared" si="4"/>
        <v>0</v>
      </c>
      <c r="X6" s="58">
        <f t="shared" si="4"/>
        <v>0</v>
      </c>
      <c r="Y6" s="58">
        <f t="shared" si="4"/>
        <v>0</v>
      </c>
      <c r="Z6" s="58">
        <f t="shared" si="4"/>
        <v>0</v>
      </c>
      <c r="AA6" s="58">
        <f t="shared" si="4"/>
        <v>0</v>
      </c>
      <c r="AB6" s="58">
        <f t="shared" si="4"/>
        <v>0</v>
      </c>
      <c r="AC6" s="58">
        <f t="shared" si="4"/>
        <v>0</v>
      </c>
      <c r="AD6" s="58">
        <f t="shared" si="4"/>
        <v>0</v>
      </c>
      <c r="AE6" s="58">
        <f t="shared" si="4"/>
        <v>0</v>
      </c>
      <c r="AF6" s="58">
        <f t="shared" si="4"/>
        <v>0</v>
      </c>
      <c r="AG6" s="58">
        <f t="shared" si="4"/>
        <v>0</v>
      </c>
      <c r="AH6" s="58">
        <f t="shared" si="4"/>
        <v>0</v>
      </c>
      <c r="AI6" s="58">
        <f t="shared" si="4"/>
        <v>0</v>
      </c>
      <c r="AJ6" s="58">
        <f t="shared" si="4"/>
        <v>0</v>
      </c>
      <c r="AK6" s="58">
        <f t="shared" si="4"/>
        <v>0</v>
      </c>
      <c r="AL6" s="58">
        <f t="shared" si="4"/>
        <v>0</v>
      </c>
      <c r="AM6" s="58">
        <f t="shared" si="4"/>
        <v>0</v>
      </c>
      <c r="AN6" s="58">
        <f t="shared" si="4"/>
        <v>0</v>
      </c>
      <c r="AO6" s="58">
        <f t="shared" si="4"/>
        <v>0</v>
      </c>
      <c r="AP6" s="58">
        <f t="shared" si="4"/>
        <v>0</v>
      </c>
      <c r="AQ6" s="58">
        <f t="shared" si="4"/>
        <v>0</v>
      </c>
      <c r="AR6" s="58">
        <f t="shared" si="4"/>
        <v>0</v>
      </c>
      <c r="AS6" s="58">
        <f t="shared" si="4"/>
        <v>0</v>
      </c>
      <c r="AT6" s="58">
        <f t="shared" si="4"/>
        <v>0</v>
      </c>
      <c r="AU6" s="58">
        <f t="shared" si="4"/>
        <v>0</v>
      </c>
      <c r="AV6" s="58">
        <f t="shared" si="4"/>
        <v>0</v>
      </c>
      <c r="AW6" s="58">
        <f t="shared" si="4"/>
        <v>0</v>
      </c>
      <c r="AX6" s="58">
        <f t="shared" si="4"/>
        <v>0</v>
      </c>
      <c r="AY6" s="58">
        <f t="shared" si="4"/>
        <v>0</v>
      </c>
      <c r="AZ6" s="58">
        <f t="shared" si="4"/>
        <v>0</v>
      </c>
      <c r="BA6" s="58">
        <f t="shared" si="4"/>
        <v>0</v>
      </c>
      <c r="BB6" s="58">
        <f t="shared" si="4"/>
        <v>0</v>
      </c>
      <c r="BC6" s="58">
        <f t="shared" si="4"/>
        <v>0</v>
      </c>
      <c r="BD6" s="58">
        <f t="shared" si="4"/>
        <v>0</v>
      </c>
      <c r="BE6" s="58">
        <f t="shared" si="4"/>
        <v>0</v>
      </c>
      <c r="BF6" s="58">
        <f t="shared" si="4"/>
        <v>0</v>
      </c>
      <c r="BG6" s="58">
        <f t="shared" si="4"/>
        <v>0</v>
      </c>
      <c r="BH6" s="58">
        <f t="shared" si="4"/>
        <v>0</v>
      </c>
      <c r="BI6" s="58">
        <f t="shared" si="4"/>
        <v>0</v>
      </c>
      <c r="BJ6" s="58">
        <f t="shared" si="4"/>
        <v>0</v>
      </c>
      <c r="BK6" s="58">
        <f t="shared" si="4"/>
        <v>0</v>
      </c>
      <c r="BL6" s="58">
        <f t="shared" si="4"/>
        <v>0</v>
      </c>
      <c r="BM6" s="58">
        <f t="shared" si="4"/>
        <v>0</v>
      </c>
      <c r="BN6" s="58">
        <f t="shared" si="4"/>
        <v>0</v>
      </c>
      <c r="BO6" s="58">
        <f t="shared" si="4"/>
        <v>0</v>
      </c>
      <c r="BP6" s="58">
        <f t="shared" si="4"/>
        <v>0</v>
      </c>
      <c r="BQ6" s="58">
        <f t="shared" si="4"/>
        <v>0</v>
      </c>
      <c r="BR6" s="58">
        <f t="shared" si="4"/>
        <v>0</v>
      </c>
      <c r="BS6" s="58">
        <f t="shared" si="4"/>
        <v>0</v>
      </c>
      <c r="BT6" s="58">
        <f t="shared" si="4"/>
        <v>0</v>
      </c>
      <c r="BU6" s="58">
        <f t="shared" si="4"/>
        <v>0</v>
      </c>
      <c r="BV6" s="58">
        <f t="shared" si="4"/>
        <v>0</v>
      </c>
      <c r="BW6" s="58">
        <f t="shared" ref="BW6:DY6" si="5">SUM(BW7:BW8)</f>
        <v>0</v>
      </c>
      <c r="BX6" s="58">
        <f t="shared" si="5"/>
        <v>0</v>
      </c>
      <c r="BY6" s="58">
        <f t="shared" si="5"/>
        <v>0</v>
      </c>
      <c r="BZ6" s="58">
        <f t="shared" si="5"/>
        <v>0</v>
      </c>
      <c r="CA6" s="58">
        <f t="shared" si="5"/>
        <v>0</v>
      </c>
      <c r="CB6" s="58">
        <f t="shared" si="5"/>
        <v>0</v>
      </c>
      <c r="CC6" s="58">
        <f t="shared" si="5"/>
        <v>0</v>
      </c>
      <c r="CD6" s="58">
        <f t="shared" si="5"/>
        <v>0</v>
      </c>
      <c r="CE6" s="58">
        <f t="shared" si="5"/>
        <v>0</v>
      </c>
      <c r="CF6" s="58">
        <f t="shared" si="5"/>
        <v>0</v>
      </c>
      <c r="CG6" s="58">
        <f t="shared" si="5"/>
        <v>0</v>
      </c>
      <c r="CH6" s="58">
        <f t="shared" si="5"/>
        <v>0</v>
      </c>
      <c r="CI6" s="58">
        <f t="shared" si="5"/>
        <v>0</v>
      </c>
      <c r="CJ6" s="58">
        <f t="shared" si="5"/>
        <v>0</v>
      </c>
      <c r="CK6" s="58">
        <f t="shared" si="5"/>
        <v>0</v>
      </c>
      <c r="CL6" s="58">
        <f t="shared" si="5"/>
        <v>0</v>
      </c>
      <c r="CM6" s="58">
        <f t="shared" si="5"/>
        <v>0</v>
      </c>
      <c r="CN6" s="58">
        <f t="shared" si="5"/>
        <v>0</v>
      </c>
      <c r="CO6" s="58">
        <f t="shared" si="5"/>
        <v>0</v>
      </c>
      <c r="CP6" s="58">
        <f t="shared" si="5"/>
        <v>0</v>
      </c>
      <c r="CQ6" s="58">
        <f t="shared" si="5"/>
        <v>0</v>
      </c>
      <c r="CR6" s="58">
        <f t="shared" si="5"/>
        <v>0</v>
      </c>
      <c r="CS6" s="58">
        <f t="shared" si="5"/>
        <v>0</v>
      </c>
      <c r="CT6" s="58">
        <f t="shared" si="5"/>
        <v>0</v>
      </c>
      <c r="CU6" s="58">
        <f t="shared" si="5"/>
        <v>0</v>
      </c>
      <c r="CV6" s="58">
        <f t="shared" si="5"/>
        <v>0</v>
      </c>
      <c r="CW6" s="58">
        <f t="shared" si="5"/>
        <v>0</v>
      </c>
      <c r="CX6" s="58">
        <f t="shared" si="5"/>
        <v>0</v>
      </c>
      <c r="CY6" s="58">
        <f t="shared" si="5"/>
        <v>0</v>
      </c>
      <c r="CZ6" s="58">
        <f t="shared" si="5"/>
        <v>0</v>
      </c>
      <c r="DA6" s="58">
        <f t="shared" si="5"/>
        <v>0</v>
      </c>
      <c r="DB6" s="58">
        <f t="shared" si="5"/>
        <v>0</v>
      </c>
      <c r="DC6" s="58">
        <f t="shared" si="5"/>
        <v>0</v>
      </c>
      <c r="DD6" s="58">
        <f t="shared" si="5"/>
        <v>0</v>
      </c>
      <c r="DE6" s="58">
        <f t="shared" si="5"/>
        <v>0</v>
      </c>
      <c r="DF6" s="58">
        <f t="shared" si="5"/>
        <v>0</v>
      </c>
      <c r="DG6" s="58">
        <f t="shared" si="5"/>
        <v>0</v>
      </c>
      <c r="DH6" s="58">
        <f t="shared" si="5"/>
        <v>0</v>
      </c>
      <c r="DI6" s="58">
        <f t="shared" si="5"/>
        <v>0</v>
      </c>
      <c r="DJ6" s="58">
        <f t="shared" si="5"/>
        <v>0</v>
      </c>
      <c r="DK6" s="58">
        <f t="shared" si="5"/>
        <v>0</v>
      </c>
      <c r="DL6" s="58">
        <f t="shared" si="5"/>
        <v>0</v>
      </c>
      <c r="DM6" s="58">
        <f t="shared" si="5"/>
        <v>0</v>
      </c>
      <c r="DN6" s="58">
        <f t="shared" si="5"/>
        <v>0</v>
      </c>
      <c r="DO6" s="58">
        <f t="shared" si="5"/>
        <v>0</v>
      </c>
      <c r="DP6" s="58">
        <f t="shared" si="5"/>
        <v>0</v>
      </c>
      <c r="DQ6" s="58">
        <f t="shared" si="5"/>
        <v>0</v>
      </c>
      <c r="DR6" s="58">
        <f t="shared" si="5"/>
        <v>0</v>
      </c>
      <c r="DS6" s="58">
        <f t="shared" si="5"/>
        <v>0</v>
      </c>
      <c r="DT6" s="58">
        <f t="shared" si="5"/>
        <v>0</v>
      </c>
      <c r="DU6" s="58">
        <f t="shared" si="5"/>
        <v>0</v>
      </c>
      <c r="DV6" s="58">
        <f t="shared" si="5"/>
        <v>0</v>
      </c>
      <c r="DW6" s="58">
        <f t="shared" si="5"/>
        <v>0</v>
      </c>
      <c r="DX6" s="58">
        <f t="shared" si="5"/>
        <v>0</v>
      </c>
      <c r="DY6" s="58">
        <f t="shared" si="5"/>
        <v>0</v>
      </c>
    </row>
    <row r="7" spans="1:129" x14ac:dyDescent="0.45">
      <c r="A7" s="3">
        <v>46022</v>
      </c>
      <c r="B7" s="2" t="s">
        <v>0</v>
      </c>
      <c r="C7" s="6" t="s">
        <v>5</v>
      </c>
      <c r="D7" s="17">
        <v>0</v>
      </c>
      <c r="E7" s="2" t="s">
        <v>43</v>
      </c>
      <c r="F7" s="2">
        <v>6</v>
      </c>
      <c r="G7" s="2" t="s">
        <v>43</v>
      </c>
      <c r="H7" s="2">
        <v>6</v>
      </c>
      <c r="I7" s="14">
        <v>19086.274000000001</v>
      </c>
      <c r="J7" s="55">
        <f>IF(J$1&lt;$F7,$I7*(($F7-J$1)/$F7),0)</f>
        <v>15905.228333333334</v>
      </c>
      <c r="K7" s="55">
        <f>IF(K$1&lt;$F7,$I7*(($F7-K$1)/$F7),0)</f>
        <v>12724.182666666668</v>
      </c>
      <c r="L7" s="55">
        <f t="shared" ref="L7:BW7" si="6">IF(L$1&lt;$F7,$I7*(($F7-L$1)/$F7),0)</f>
        <v>9543.1370000000006</v>
      </c>
      <c r="M7" s="55">
        <f t="shared" si="6"/>
        <v>6362.0913333333338</v>
      </c>
      <c r="N7" s="55">
        <f t="shared" si="6"/>
        <v>3181.0456666666669</v>
      </c>
      <c r="O7" s="55">
        <f t="shared" si="6"/>
        <v>0</v>
      </c>
      <c r="P7" s="55">
        <f t="shared" si="6"/>
        <v>0</v>
      </c>
      <c r="Q7" s="55">
        <f t="shared" si="6"/>
        <v>0</v>
      </c>
      <c r="R7" s="55">
        <f t="shared" si="6"/>
        <v>0</v>
      </c>
      <c r="S7" s="55">
        <f t="shared" si="6"/>
        <v>0</v>
      </c>
      <c r="T7" s="55">
        <f t="shared" si="6"/>
        <v>0</v>
      </c>
      <c r="U7" s="55">
        <f t="shared" si="6"/>
        <v>0</v>
      </c>
      <c r="V7" s="55">
        <f t="shared" si="6"/>
        <v>0</v>
      </c>
      <c r="W7" s="55">
        <f t="shared" si="6"/>
        <v>0</v>
      </c>
      <c r="X7" s="55">
        <f t="shared" si="6"/>
        <v>0</v>
      </c>
      <c r="Y7" s="55">
        <f t="shared" si="6"/>
        <v>0</v>
      </c>
      <c r="Z7" s="55">
        <f t="shared" si="6"/>
        <v>0</v>
      </c>
      <c r="AA7" s="55">
        <f t="shared" si="6"/>
        <v>0</v>
      </c>
      <c r="AB7" s="55">
        <f t="shared" si="6"/>
        <v>0</v>
      </c>
      <c r="AC7" s="55">
        <f t="shared" si="6"/>
        <v>0</v>
      </c>
      <c r="AD7" s="55">
        <f t="shared" si="6"/>
        <v>0</v>
      </c>
      <c r="AE7" s="55">
        <f t="shared" si="6"/>
        <v>0</v>
      </c>
      <c r="AF7" s="55">
        <f t="shared" si="6"/>
        <v>0</v>
      </c>
      <c r="AG7" s="55">
        <f t="shared" si="6"/>
        <v>0</v>
      </c>
      <c r="AH7" s="55">
        <f t="shared" si="6"/>
        <v>0</v>
      </c>
      <c r="AI7" s="55">
        <f t="shared" si="6"/>
        <v>0</v>
      </c>
      <c r="AJ7" s="55">
        <f t="shared" si="6"/>
        <v>0</v>
      </c>
      <c r="AK7" s="55">
        <f t="shared" si="6"/>
        <v>0</v>
      </c>
      <c r="AL7" s="55">
        <f t="shared" si="6"/>
        <v>0</v>
      </c>
      <c r="AM7" s="55">
        <f t="shared" si="6"/>
        <v>0</v>
      </c>
      <c r="AN7" s="55">
        <f t="shared" si="6"/>
        <v>0</v>
      </c>
      <c r="AO7" s="55">
        <f t="shared" si="6"/>
        <v>0</v>
      </c>
      <c r="AP7" s="55">
        <f t="shared" si="6"/>
        <v>0</v>
      </c>
      <c r="AQ7" s="55">
        <f t="shared" si="6"/>
        <v>0</v>
      </c>
      <c r="AR7" s="55">
        <f t="shared" si="6"/>
        <v>0</v>
      </c>
      <c r="AS7" s="55">
        <f t="shared" si="6"/>
        <v>0</v>
      </c>
      <c r="AT7" s="55">
        <f t="shared" si="6"/>
        <v>0</v>
      </c>
      <c r="AU7" s="55">
        <f t="shared" si="6"/>
        <v>0</v>
      </c>
      <c r="AV7" s="55">
        <f t="shared" si="6"/>
        <v>0</v>
      </c>
      <c r="AW7" s="55">
        <f t="shared" si="6"/>
        <v>0</v>
      </c>
      <c r="AX7" s="55">
        <f t="shared" si="6"/>
        <v>0</v>
      </c>
      <c r="AY7" s="55">
        <f t="shared" si="6"/>
        <v>0</v>
      </c>
      <c r="AZ7" s="55">
        <f t="shared" si="6"/>
        <v>0</v>
      </c>
      <c r="BA7" s="55">
        <f t="shared" si="6"/>
        <v>0</v>
      </c>
      <c r="BB7" s="55">
        <f t="shared" si="6"/>
        <v>0</v>
      </c>
      <c r="BC7" s="55">
        <f t="shared" si="6"/>
        <v>0</v>
      </c>
      <c r="BD7" s="55">
        <f t="shared" si="6"/>
        <v>0</v>
      </c>
      <c r="BE7" s="55">
        <f t="shared" si="6"/>
        <v>0</v>
      </c>
      <c r="BF7" s="55">
        <f t="shared" si="6"/>
        <v>0</v>
      </c>
      <c r="BG7" s="55">
        <f t="shared" si="6"/>
        <v>0</v>
      </c>
      <c r="BH7" s="55">
        <f t="shared" si="6"/>
        <v>0</v>
      </c>
      <c r="BI7" s="55">
        <f t="shared" si="6"/>
        <v>0</v>
      </c>
      <c r="BJ7" s="55">
        <f t="shared" si="6"/>
        <v>0</v>
      </c>
      <c r="BK7" s="55">
        <f t="shared" si="6"/>
        <v>0</v>
      </c>
      <c r="BL7" s="55">
        <f t="shared" si="6"/>
        <v>0</v>
      </c>
      <c r="BM7" s="55">
        <f t="shared" si="6"/>
        <v>0</v>
      </c>
      <c r="BN7" s="55">
        <f t="shared" si="6"/>
        <v>0</v>
      </c>
      <c r="BO7" s="55">
        <f t="shared" si="6"/>
        <v>0</v>
      </c>
      <c r="BP7" s="55">
        <f t="shared" si="6"/>
        <v>0</v>
      </c>
      <c r="BQ7" s="55">
        <f t="shared" si="6"/>
        <v>0</v>
      </c>
      <c r="BR7" s="55">
        <f t="shared" si="6"/>
        <v>0</v>
      </c>
      <c r="BS7" s="55">
        <f t="shared" si="6"/>
        <v>0</v>
      </c>
      <c r="BT7" s="55">
        <f t="shared" si="6"/>
        <v>0</v>
      </c>
      <c r="BU7" s="55">
        <f t="shared" si="6"/>
        <v>0</v>
      </c>
      <c r="BV7" s="55">
        <f t="shared" si="6"/>
        <v>0</v>
      </c>
      <c r="BW7" s="55">
        <f t="shared" si="6"/>
        <v>0</v>
      </c>
      <c r="BX7" s="55">
        <f t="shared" ref="BX7:DY7" si="7">IF(BX$1&lt;$F7,$I7*(($F7-BX$1)/$F7),0)</f>
        <v>0</v>
      </c>
      <c r="BY7" s="55">
        <f t="shared" si="7"/>
        <v>0</v>
      </c>
      <c r="BZ7" s="55">
        <f t="shared" si="7"/>
        <v>0</v>
      </c>
      <c r="CA7" s="55">
        <f t="shared" si="7"/>
        <v>0</v>
      </c>
      <c r="CB7" s="55">
        <f t="shared" si="7"/>
        <v>0</v>
      </c>
      <c r="CC7" s="55">
        <f t="shared" si="7"/>
        <v>0</v>
      </c>
      <c r="CD7" s="55">
        <f t="shared" si="7"/>
        <v>0</v>
      </c>
      <c r="CE7" s="55">
        <f t="shared" si="7"/>
        <v>0</v>
      </c>
      <c r="CF7" s="55">
        <f t="shared" si="7"/>
        <v>0</v>
      </c>
      <c r="CG7" s="55">
        <f t="shared" si="7"/>
        <v>0</v>
      </c>
      <c r="CH7" s="55">
        <f t="shared" si="7"/>
        <v>0</v>
      </c>
      <c r="CI7" s="55">
        <f t="shared" si="7"/>
        <v>0</v>
      </c>
      <c r="CJ7" s="55">
        <f t="shared" si="7"/>
        <v>0</v>
      </c>
      <c r="CK7" s="55">
        <f t="shared" si="7"/>
        <v>0</v>
      </c>
      <c r="CL7" s="55">
        <f t="shared" si="7"/>
        <v>0</v>
      </c>
      <c r="CM7" s="55">
        <f t="shared" si="7"/>
        <v>0</v>
      </c>
      <c r="CN7" s="55">
        <f t="shared" si="7"/>
        <v>0</v>
      </c>
      <c r="CO7" s="55">
        <f t="shared" si="7"/>
        <v>0</v>
      </c>
      <c r="CP7" s="55">
        <f t="shared" si="7"/>
        <v>0</v>
      </c>
      <c r="CQ7" s="55">
        <f t="shared" si="7"/>
        <v>0</v>
      </c>
      <c r="CR7" s="55">
        <f t="shared" si="7"/>
        <v>0</v>
      </c>
      <c r="CS7" s="55">
        <f t="shared" si="7"/>
        <v>0</v>
      </c>
      <c r="CT7" s="55">
        <f t="shared" si="7"/>
        <v>0</v>
      </c>
      <c r="CU7" s="55">
        <f t="shared" si="7"/>
        <v>0</v>
      </c>
      <c r="CV7" s="55">
        <f t="shared" si="7"/>
        <v>0</v>
      </c>
      <c r="CW7" s="55">
        <f t="shared" si="7"/>
        <v>0</v>
      </c>
      <c r="CX7" s="55">
        <f t="shared" si="7"/>
        <v>0</v>
      </c>
      <c r="CY7" s="55">
        <f t="shared" si="7"/>
        <v>0</v>
      </c>
      <c r="CZ7" s="55">
        <f t="shared" si="7"/>
        <v>0</v>
      </c>
      <c r="DA7" s="55">
        <f t="shared" si="7"/>
        <v>0</v>
      </c>
      <c r="DB7" s="55">
        <f t="shared" si="7"/>
        <v>0</v>
      </c>
      <c r="DC7" s="55">
        <f t="shared" si="7"/>
        <v>0</v>
      </c>
      <c r="DD7" s="55">
        <f t="shared" si="7"/>
        <v>0</v>
      </c>
      <c r="DE7" s="55">
        <f t="shared" si="7"/>
        <v>0</v>
      </c>
      <c r="DF7" s="55">
        <f t="shared" si="7"/>
        <v>0</v>
      </c>
      <c r="DG7" s="55">
        <f t="shared" si="7"/>
        <v>0</v>
      </c>
      <c r="DH7" s="55">
        <f t="shared" si="7"/>
        <v>0</v>
      </c>
      <c r="DI7" s="55">
        <f t="shared" si="7"/>
        <v>0</v>
      </c>
      <c r="DJ7" s="55">
        <f t="shared" si="7"/>
        <v>0</v>
      </c>
      <c r="DK7" s="55">
        <f t="shared" si="7"/>
        <v>0</v>
      </c>
      <c r="DL7" s="55">
        <f t="shared" si="7"/>
        <v>0</v>
      </c>
      <c r="DM7" s="55">
        <f t="shared" si="7"/>
        <v>0</v>
      </c>
      <c r="DN7" s="55">
        <f t="shared" si="7"/>
        <v>0</v>
      </c>
      <c r="DO7" s="55">
        <f t="shared" si="7"/>
        <v>0</v>
      </c>
      <c r="DP7" s="55">
        <f t="shared" si="7"/>
        <v>0</v>
      </c>
      <c r="DQ7" s="55">
        <f t="shared" si="7"/>
        <v>0</v>
      </c>
      <c r="DR7" s="55">
        <f t="shared" si="7"/>
        <v>0</v>
      </c>
      <c r="DS7" s="55">
        <f t="shared" si="7"/>
        <v>0</v>
      </c>
      <c r="DT7" s="55">
        <f t="shared" si="7"/>
        <v>0</v>
      </c>
      <c r="DU7" s="55">
        <f t="shared" si="7"/>
        <v>0</v>
      </c>
      <c r="DV7" s="55">
        <f t="shared" si="7"/>
        <v>0</v>
      </c>
      <c r="DW7" s="55">
        <f t="shared" si="7"/>
        <v>0</v>
      </c>
      <c r="DX7" s="55">
        <f t="shared" si="7"/>
        <v>0</v>
      </c>
      <c r="DY7" s="55">
        <f t="shared" si="7"/>
        <v>0</v>
      </c>
    </row>
    <row r="8" spans="1:129" x14ac:dyDescent="0.45">
      <c r="A8" s="3">
        <v>46022</v>
      </c>
      <c r="B8" s="2" t="s">
        <v>0</v>
      </c>
      <c r="C8" s="6" t="s">
        <v>6</v>
      </c>
      <c r="D8" s="17">
        <v>2.4897510000000001E-2</v>
      </c>
      <c r="E8" s="2" t="s">
        <v>45</v>
      </c>
      <c r="F8" s="2">
        <v>12</v>
      </c>
      <c r="G8" s="2" t="s">
        <v>45</v>
      </c>
      <c r="H8" s="2">
        <v>12</v>
      </c>
      <c r="I8" s="14">
        <v>8920.6710000000003</v>
      </c>
      <c r="J8" s="55">
        <f>IF(J$1&lt;$F8,$I8,0)</f>
        <v>8920.6710000000003</v>
      </c>
      <c r="K8" s="55">
        <f>IF(K$1&lt;$F8,$I8,0)</f>
        <v>8920.6710000000003</v>
      </c>
      <c r="L8" s="55">
        <f t="shared" ref="L8:BW8" si="8">IF(L$1&lt;$F8,$I8,0)</f>
        <v>8920.6710000000003</v>
      </c>
      <c r="M8" s="55">
        <f t="shared" si="8"/>
        <v>8920.6710000000003</v>
      </c>
      <c r="N8" s="55">
        <f t="shared" si="8"/>
        <v>8920.6710000000003</v>
      </c>
      <c r="O8" s="55">
        <f t="shared" si="8"/>
        <v>8920.6710000000003</v>
      </c>
      <c r="P8" s="55">
        <f t="shared" si="8"/>
        <v>8920.6710000000003</v>
      </c>
      <c r="Q8" s="55">
        <f t="shared" si="8"/>
        <v>8920.6710000000003</v>
      </c>
      <c r="R8" s="55">
        <f t="shared" si="8"/>
        <v>8920.6710000000003</v>
      </c>
      <c r="S8" s="55">
        <f t="shared" si="8"/>
        <v>8920.6710000000003</v>
      </c>
      <c r="T8" s="55">
        <f t="shared" si="8"/>
        <v>8920.6710000000003</v>
      </c>
      <c r="U8" s="55">
        <f t="shared" si="8"/>
        <v>0</v>
      </c>
      <c r="V8" s="55">
        <f t="shared" si="8"/>
        <v>0</v>
      </c>
      <c r="W8" s="55">
        <f t="shared" si="8"/>
        <v>0</v>
      </c>
      <c r="X8" s="55">
        <f t="shared" si="8"/>
        <v>0</v>
      </c>
      <c r="Y8" s="55">
        <f t="shared" si="8"/>
        <v>0</v>
      </c>
      <c r="Z8" s="55">
        <f t="shared" si="8"/>
        <v>0</v>
      </c>
      <c r="AA8" s="55">
        <f t="shared" si="8"/>
        <v>0</v>
      </c>
      <c r="AB8" s="55">
        <f t="shared" si="8"/>
        <v>0</v>
      </c>
      <c r="AC8" s="55">
        <f t="shared" si="8"/>
        <v>0</v>
      </c>
      <c r="AD8" s="55">
        <f t="shared" si="8"/>
        <v>0</v>
      </c>
      <c r="AE8" s="55">
        <f t="shared" si="8"/>
        <v>0</v>
      </c>
      <c r="AF8" s="55">
        <f t="shared" si="8"/>
        <v>0</v>
      </c>
      <c r="AG8" s="55">
        <f t="shared" si="8"/>
        <v>0</v>
      </c>
      <c r="AH8" s="55">
        <f t="shared" si="8"/>
        <v>0</v>
      </c>
      <c r="AI8" s="55">
        <f t="shared" si="8"/>
        <v>0</v>
      </c>
      <c r="AJ8" s="55">
        <f t="shared" si="8"/>
        <v>0</v>
      </c>
      <c r="AK8" s="55">
        <f t="shared" si="8"/>
        <v>0</v>
      </c>
      <c r="AL8" s="55">
        <f t="shared" si="8"/>
        <v>0</v>
      </c>
      <c r="AM8" s="55">
        <f t="shared" si="8"/>
        <v>0</v>
      </c>
      <c r="AN8" s="55">
        <f t="shared" si="8"/>
        <v>0</v>
      </c>
      <c r="AO8" s="55">
        <f t="shared" si="8"/>
        <v>0</v>
      </c>
      <c r="AP8" s="55">
        <f t="shared" si="8"/>
        <v>0</v>
      </c>
      <c r="AQ8" s="55">
        <f t="shared" si="8"/>
        <v>0</v>
      </c>
      <c r="AR8" s="55">
        <f t="shared" si="8"/>
        <v>0</v>
      </c>
      <c r="AS8" s="55">
        <f t="shared" si="8"/>
        <v>0</v>
      </c>
      <c r="AT8" s="55">
        <f t="shared" si="8"/>
        <v>0</v>
      </c>
      <c r="AU8" s="55">
        <f t="shared" si="8"/>
        <v>0</v>
      </c>
      <c r="AV8" s="55">
        <f t="shared" si="8"/>
        <v>0</v>
      </c>
      <c r="AW8" s="55">
        <f t="shared" si="8"/>
        <v>0</v>
      </c>
      <c r="AX8" s="55">
        <f t="shared" si="8"/>
        <v>0</v>
      </c>
      <c r="AY8" s="55">
        <f t="shared" si="8"/>
        <v>0</v>
      </c>
      <c r="AZ8" s="55">
        <f t="shared" si="8"/>
        <v>0</v>
      </c>
      <c r="BA8" s="55">
        <f t="shared" si="8"/>
        <v>0</v>
      </c>
      <c r="BB8" s="55">
        <f t="shared" si="8"/>
        <v>0</v>
      </c>
      <c r="BC8" s="55">
        <f t="shared" si="8"/>
        <v>0</v>
      </c>
      <c r="BD8" s="55">
        <f t="shared" si="8"/>
        <v>0</v>
      </c>
      <c r="BE8" s="55">
        <f t="shared" si="8"/>
        <v>0</v>
      </c>
      <c r="BF8" s="55">
        <f t="shared" si="8"/>
        <v>0</v>
      </c>
      <c r="BG8" s="55">
        <f t="shared" si="8"/>
        <v>0</v>
      </c>
      <c r="BH8" s="55">
        <f t="shared" si="8"/>
        <v>0</v>
      </c>
      <c r="BI8" s="55">
        <f t="shared" si="8"/>
        <v>0</v>
      </c>
      <c r="BJ8" s="55">
        <f t="shared" si="8"/>
        <v>0</v>
      </c>
      <c r="BK8" s="55">
        <f t="shared" si="8"/>
        <v>0</v>
      </c>
      <c r="BL8" s="55">
        <f t="shared" si="8"/>
        <v>0</v>
      </c>
      <c r="BM8" s="55">
        <f t="shared" si="8"/>
        <v>0</v>
      </c>
      <c r="BN8" s="55">
        <f t="shared" si="8"/>
        <v>0</v>
      </c>
      <c r="BO8" s="55">
        <f t="shared" si="8"/>
        <v>0</v>
      </c>
      <c r="BP8" s="55">
        <f t="shared" si="8"/>
        <v>0</v>
      </c>
      <c r="BQ8" s="55">
        <f t="shared" si="8"/>
        <v>0</v>
      </c>
      <c r="BR8" s="55">
        <f t="shared" si="8"/>
        <v>0</v>
      </c>
      <c r="BS8" s="55">
        <f t="shared" si="8"/>
        <v>0</v>
      </c>
      <c r="BT8" s="55">
        <f t="shared" si="8"/>
        <v>0</v>
      </c>
      <c r="BU8" s="55">
        <f t="shared" si="8"/>
        <v>0</v>
      </c>
      <c r="BV8" s="55">
        <f t="shared" si="8"/>
        <v>0</v>
      </c>
      <c r="BW8" s="55">
        <f t="shared" si="8"/>
        <v>0</v>
      </c>
      <c r="BX8" s="55">
        <f t="shared" ref="BX8:DY8" si="9">IF(BX$1&lt;$F8,$I8,0)</f>
        <v>0</v>
      </c>
      <c r="BY8" s="55">
        <f t="shared" si="9"/>
        <v>0</v>
      </c>
      <c r="BZ8" s="55">
        <f t="shared" si="9"/>
        <v>0</v>
      </c>
      <c r="CA8" s="55">
        <f t="shared" si="9"/>
        <v>0</v>
      </c>
      <c r="CB8" s="55">
        <f t="shared" si="9"/>
        <v>0</v>
      </c>
      <c r="CC8" s="55">
        <f t="shared" si="9"/>
        <v>0</v>
      </c>
      <c r="CD8" s="55">
        <f t="shared" si="9"/>
        <v>0</v>
      </c>
      <c r="CE8" s="55">
        <f t="shared" si="9"/>
        <v>0</v>
      </c>
      <c r="CF8" s="55">
        <f t="shared" si="9"/>
        <v>0</v>
      </c>
      <c r="CG8" s="55">
        <f t="shared" si="9"/>
        <v>0</v>
      </c>
      <c r="CH8" s="55">
        <f t="shared" si="9"/>
        <v>0</v>
      </c>
      <c r="CI8" s="55">
        <f t="shared" si="9"/>
        <v>0</v>
      </c>
      <c r="CJ8" s="55">
        <f t="shared" si="9"/>
        <v>0</v>
      </c>
      <c r="CK8" s="55">
        <f t="shared" si="9"/>
        <v>0</v>
      </c>
      <c r="CL8" s="55">
        <f t="shared" si="9"/>
        <v>0</v>
      </c>
      <c r="CM8" s="55">
        <f t="shared" si="9"/>
        <v>0</v>
      </c>
      <c r="CN8" s="55">
        <f t="shared" si="9"/>
        <v>0</v>
      </c>
      <c r="CO8" s="55">
        <f t="shared" si="9"/>
        <v>0</v>
      </c>
      <c r="CP8" s="55">
        <f t="shared" si="9"/>
        <v>0</v>
      </c>
      <c r="CQ8" s="55">
        <f t="shared" si="9"/>
        <v>0</v>
      </c>
      <c r="CR8" s="55">
        <f t="shared" si="9"/>
        <v>0</v>
      </c>
      <c r="CS8" s="55">
        <f t="shared" si="9"/>
        <v>0</v>
      </c>
      <c r="CT8" s="55">
        <f t="shared" si="9"/>
        <v>0</v>
      </c>
      <c r="CU8" s="55">
        <f t="shared" si="9"/>
        <v>0</v>
      </c>
      <c r="CV8" s="55">
        <f t="shared" si="9"/>
        <v>0</v>
      </c>
      <c r="CW8" s="55">
        <f t="shared" si="9"/>
        <v>0</v>
      </c>
      <c r="CX8" s="55">
        <f t="shared" si="9"/>
        <v>0</v>
      </c>
      <c r="CY8" s="55">
        <f t="shared" si="9"/>
        <v>0</v>
      </c>
      <c r="CZ8" s="55">
        <f t="shared" si="9"/>
        <v>0</v>
      </c>
      <c r="DA8" s="55">
        <f t="shared" si="9"/>
        <v>0</v>
      </c>
      <c r="DB8" s="55">
        <f t="shared" si="9"/>
        <v>0</v>
      </c>
      <c r="DC8" s="55">
        <f t="shared" si="9"/>
        <v>0</v>
      </c>
      <c r="DD8" s="55">
        <f t="shared" si="9"/>
        <v>0</v>
      </c>
      <c r="DE8" s="55">
        <f t="shared" si="9"/>
        <v>0</v>
      </c>
      <c r="DF8" s="55">
        <f t="shared" si="9"/>
        <v>0</v>
      </c>
      <c r="DG8" s="55">
        <f t="shared" si="9"/>
        <v>0</v>
      </c>
      <c r="DH8" s="55">
        <f t="shared" si="9"/>
        <v>0</v>
      </c>
      <c r="DI8" s="55">
        <f t="shared" si="9"/>
        <v>0</v>
      </c>
      <c r="DJ8" s="55">
        <f t="shared" si="9"/>
        <v>0</v>
      </c>
      <c r="DK8" s="55">
        <f t="shared" si="9"/>
        <v>0</v>
      </c>
      <c r="DL8" s="55">
        <f t="shared" si="9"/>
        <v>0</v>
      </c>
      <c r="DM8" s="55">
        <f t="shared" si="9"/>
        <v>0</v>
      </c>
      <c r="DN8" s="55">
        <f t="shared" si="9"/>
        <v>0</v>
      </c>
      <c r="DO8" s="55">
        <f t="shared" si="9"/>
        <v>0</v>
      </c>
      <c r="DP8" s="55">
        <f t="shared" si="9"/>
        <v>0</v>
      </c>
      <c r="DQ8" s="55">
        <f t="shared" si="9"/>
        <v>0</v>
      </c>
      <c r="DR8" s="55">
        <f t="shared" si="9"/>
        <v>0</v>
      </c>
      <c r="DS8" s="55">
        <f t="shared" si="9"/>
        <v>0</v>
      </c>
      <c r="DT8" s="55">
        <f t="shared" si="9"/>
        <v>0</v>
      </c>
      <c r="DU8" s="55">
        <f t="shared" si="9"/>
        <v>0</v>
      </c>
      <c r="DV8" s="55">
        <f t="shared" si="9"/>
        <v>0</v>
      </c>
      <c r="DW8" s="55">
        <f t="shared" si="9"/>
        <v>0</v>
      </c>
      <c r="DX8" s="55">
        <f t="shared" si="9"/>
        <v>0</v>
      </c>
      <c r="DY8" s="55">
        <f t="shared" si="9"/>
        <v>0</v>
      </c>
    </row>
    <row r="9" spans="1:129" x14ac:dyDescent="0.45">
      <c r="A9" s="3">
        <v>46022</v>
      </c>
      <c r="B9" s="2" t="s">
        <v>0</v>
      </c>
      <c r="C9" s="4" t="s">
        <v>7</v>
      </c>
      <c r="D9" s="16"/>
      <c r="E9" s="54"/>
      <c r="F9" s="54"/>
      <c r="G9" s="54"/>
      <c r="H9" s="54"/>
      <c r="I9" s="13">
        <v>125650.31899999999</v>
      </c>
      <c r="J9" s="58">
        <f>SUM(J10:J12)</f>
        <v>45066.509154331048</v>
      </c>
      <c r="K9" s="58">
        <f t="shared" ref="K9:BV9" si="10">SUM(K10:K12)</f>
        <v>40146.148774905552</v>
      </c>
      <c r="L9" s="58">
        <f t="shared" si="10"/>
        <v>35212.566417292132</v>
      </c>
      <c r="M9" s="58">
        <f t="shared" si="10"/>
        <v>30265.726541748478</v>
      </c>
      <c r="N9" s="58">
        <f t="shared" si="10"/>
        <v>25305.593512964897</v>
      </c>
      <c r="O9" s="58">
        <f t="shared" si="10"/>
        <v>20332.131599807202</v>
      </c>
      <c r="P9" s="58">
        <f t="shared" si="10"/>
        <v>15345.304975058851</v>
      </c>
      <c r="Q9" s="58">
        <f t="shared" si="10"/>
        <v>10345.077715162422</v>
      </c>
      <c r="R9" s="58">
        <f t="shared" si="10"/>
        <v>5331.4137999603972</v>
      </c>
      <c r="S9" s="58">
        <f t="shared" si="10"/>
        <v>304.27711243525766</v>
      </c>
      <c r="T9" s="58">
        <f t="shared" si="10"/>
        <v>298.77286028497184</v>
      </c>
      <c r="U9" s="58">
        <f t="shared" si="10"/>
        <v>293.24638791295422</v>
      </c>
      <c r="V9" s="58">
        <f t="shared" si="10"/>
        <v>287.69760561796289</v>
      </c>
      <c r="W9" s="58">
        <f t="shared" si="10"/>
        <v>282.12642333663922</v>
      </c>
      <c r="X9" s="58">
        <f t="shared" si="10"/>
        <v>276.53275064204604</v>
      </c>
      <c r="Y9" s="58">
        <f t="shared" si="10"/>
        <v>270.91649674220002</v>
      </c>
      <c r="Z9" s="58">
        <f t="shared" si="10"/>
        <v>265.27757047859791</v>
      </c>
      <c r="AA9" s="58">
        <f t="shared" si="10"/>
        <v>259.61588032473691</v>
      </c>
      <c r="AB9" s="58">
        <f t="shared" si="10"/>
        <v>253.93133438462903</v>
      </c>
      <c r="AC9" s="58">
        <f t="shared" si="10"/>
        <v>248.22384039130975</v>
      </c>
      <c r="AD9" s="58">
        <f t="shared" si="10"/>
        <v>242.49330570534016</v>
      </c>
      <c r="AE9" s="58">
        <f t="shared" si="10"/>
        <v>236.73963731330346</v>
      </c>
      <c r="AF9" s="58">
        <f t="shared" si="10"/>
        <v>230.96274182629517</v>
      </c>
      <c r="AG9" s="58">
        <f t="shared" si="10"/>
        <v>225.16252547840736</v>
      </c>
      <c r="AH9" s="58">
        <f t="shared" si="10"/>
        <v>219.33889412520665</v>
      </c>
      <c r="AI9" s="58">
        <f t="shared" si="10"/>
        <v>213.49175324220622</v>
      </c>
      <c r="AJ9" s="58">
        <f t="shared" si="10"/>
        <v>207.62100792333149</v>
      </c>
      <c r="AK9" s="58">
        <f t="shared" si="10"/>
        <v>201.72656287937974</v>
      </c>
      <c r="AL9" s="58">
        <f t="shared" si="10"/>
        <v>195.80832243647345</v>
      </c>
      <c r="AM9" s="58">
        <f t="shared" si="10"/>
        <v>189.86619053450733</v>
      </c>
      <c r="AN9" s="58">
        <f t="shared" si="10"/>
        <v>183.90007072558925</v>
      </c>
      <c r="AO9" s="58">
        <f t="shared" si="10"/>
        <v>177.90986617247466</v>
      </c>
      <c r="AP9" s="58">
        <f t="shared" si="10"/>
        <v>171.89547964699494</v>
      </c>
      <c r="AQ9" s="58">
        <f t="shared" si="10"/>
        <v>165.85681352847914</v>
      </c>
      <c r="AR9" s="58">
        <f t="shared" si="10"/>
        <v>159.79376980216955</v>
      </c>
      <c r="AS9" s="58">
        <f t="shared" si="10"/>
        <v>153.70625005763083</v>
      </c>
      <c r="AT9" s="58">
        <f t="shared" si="10"/>
        <v>147.59415548715262</v>
      </c>
      <c r="AU9" s="58">
        <f t="shared" si="10"/>
        <v>141.45738688414582</v>
      </c>
      <c r="AV9" s="58">
        <f t="shared" si="10"/>
        <v>135.29584464153231</v>
      </c>
      <c r="AW9" s="58">
        <f t="shared" si="10"/>
        <v>129.1094287501283</v>
      </c>
      <c r="AX9" s="58">
        <f t="shared" si="10"/>
        <v>122.89803879702093</v>
      </c>
      <c r="AY9" s="58">
        <f t="shared" si="10"/>
        <v>116.66157396393854</v>
      </c>
      <c r="AZ9" s="58">
        <f t="shared" si="10"/>
        <v>110.39993302561422</v>
      </c>
      <c r="BA9" s="58">
        <f t="shared" si="10"/>
        <v>104.11301434814287</v>
      </c>
      <c r="BB9" s="58">
        <f t="shared" si="10"/>
        <v>97.800715887331478</v>
      </c>
      <c r="BC9" s="58">
        <f t="shared" si="10"/>
        <v>91.462935187042888</v>
      </c>
      <c r="BD9" s="58">
        <f t="shared" si="10"/>
        <v>85.09956937753276</v>
      </c>
      <c r="BE9" s="58">
        <f t="shared" si="10"/>
        <v>78.710515173779925</v>
      </c>
      <c r="BF9" s="58">
        <f t="shared" si="10"/>
        <v>72.295668873809888</v>
      </c>
      <c r="BG9" s="58">
        <f t="shared" si="10"/>
        <v>65.854926357011678</v>
      </c>
      <c r="BH9" s="58">
        <f t="shared" si="10"/>
        <v>59.388183082447824</v>
      </c>
      <c r="BI9" s="58">
        <f t="shared" si="10"/>
        <v>52.895334087157501</v>
      </c>
      <c r="BJ9" s="58">
        <f t="shared" si="10"/>
        <v>46.376273984452894</v>
      </c>
      <c r="BK9" s="58">
        <f t="shared" si="10"/>
        <v>39.830896962208641</v>
      </c>
      <c r="BL9" s="58">
        <f t="shared" si="10"/>
        <v>33.259096781144358</v>
      </c>
      <c r="BM9" s="58">
        <f t="shared" si="10"/>
        <v>26.660766773100271</v>
      </c>
      <c r="BN9" s="58">
        <f t="shared" si="10"/>
        <v>20.035799839305845</v>
      </c>
      <c r="BO9" s="58">
        <f t="shared" si="10"/>
        <v>13.384088448641453</v>
      </c>
      <c r="BP9" s="58">
        <f t="shared" si="10"/>
        <v>6.7055246358930178</v>
      </c>
      <c r="BQ9" s="58">
        <f t="shared" si="10"/>
        <v>0</v>
      </c>
      <c r="BR9" s="58">
        <f t="shared" si="10"/>
        <v>0</v>
      </c>
      <c r="BS9" s="58">
        <f t="shared" si="10"/>
        <v>0</v>
      </c>
      <c r="BT9" s="58">
        <f t="shared" si="10"/>
        <v>0</v>
      </c>
      <c r="BU9" s="58">
        <f t="shared" si="10"/>
        <v>0</v>
      </c>
      <c r="BV9" s="58">
        <f t="shared" si="10"/>
        <v>0</v>
      </c>
      <c r="BW9" s="58">
        <f t="shared" ref="BW9:DY9" si="11">SUM(BW10:BW12)</f>
        <v>0</v>
      </c>
      <c r="BX9" s="58">
        <f t="shared" si="11"/>
        <v>0</v>
      </c>
      <c r="BY9" s="58">
        <f t="shared" si="11"/>
        <v>0</v>
      </c>
      <c r="BZ9" s="58">
        <f t="shared" si="11"/>
        <v>0</v>
      </c>
      <c r="CA9" s="58">
        <f t="shared" si="11"/>
        <v>0</v>
      </c>
      <c r="CB9" s="58">
        <f t="shared" si="11"/>
        <v>0</v>
      </c>
      <c r="CC9" s="58">
        <f t="shared" si="11"/>
        <v>0</v>
      </c>
      <c r="CD9" s="58">
        <f t="shared" si="11"/>
        <v>0</v>
      </c>
      <c r="CE9" s="58">
        <f t="shared" si="11"/>
        <v>0</v>
      </c>
      <c r="CF9" s="58">
        <f t="shared" si="11"/>
        <v>0</v>
      </c>
      <c r="CG9" s="58">
        <f t="shared" si="11"/>
        <v>0</v>
      </c>
      <c r="CH9" s="58">
        <f t="shared" si="11"/>
        <v>0</v>
      </c>
      <c r="CI9" s="58">
        <f t="shared" si="11"/>
        <v>0</v>
      </c>
      <c r="CJ9" s="58">
        <f t="shared" si="11"/>
        <v>0</v>
      </c>
      <c r="CK9" s="58">
        <f t="shared" si="11"/>
        <v>0</v>
      </c>
      <c r="CL9" s="58">
        <f t="shared" si="11"/>
        <v>0</v>
      </c>
      <c r="CM9" s="58">
        <f t="shared" si="11"/>
        <v>0</v>
      </c>
      <c r="CN9" s="58">
        <f t="shared" si="11"/>
        <v>0</v>
      </c>
      <c r="CO9" s="58">
        <f t="shared" si="11"/>
        <v>0</v>
      </c>
      <c r="CP9" s="58">
        <f t="shared" si="11"/>
        <v>0</v>
      </c>
      <c r="CQ9" s="58">
        <f t="shared" si="11"/>
        <v>0</v>
      </c>
      <c r="CR9" s="58">
        <f t="shared" si="11"/>
        <v>0</v>
      </c>
      <c r="CS9" s="58">
        <f t="shared" si="11"/>
        <v>0</v>
      </c>
      <c r="CT9" s="58">
        <f t="shared" si="11"/>
        <v>0</v>
      </c>
      <c r="CU9" s="58">
        <f t="shared" si="11"/>
        <v>0</v>
      </c>
      <c r="CV9" s="58">
        <f t="shared" si="11"/>
        <v>0</v>
      </c>
      <c r="CW9" s="58">
        <f t="shared" si="11"/>
        <v>0</v>
      </c>
      <c r="CX9" s="58">
        <f t="shared" si="11"/>
        <v>0</v>
      </c>
      <c r="CY9" s="58">
        <f t="shared" si="11"/>
        <v>0</v>
      </c>
      <c r="CZ9" s="58">
        <f t="shared" si="11"/>
        <v>0</v>
      </c>
      <c r="DA9" s="58">
        <f t="shared" si="11"/>
        <v>0</v>
      </c>
      <c r="DB9" s="58">
        <f t="shared" si="11"/>
        <v>0</v>
      </c>
      <c r="DC9" s="58">
        <f t="shared" si="11"/>
        <v>0</v>
      </c>
      <c r="DD9" s="58">
        <f t="shared" si="11"/>
        <v>0</v>
      </c>
      <c r="DE9" s="58">
        <f t="shared" si="11"/>
        <v>0</v>
      </c>
      <c r="DF9" s="58">
        <f t="shared" si="11"/>
        <v>0</v>
      </c>
      <c r="DG9" s="58">
        <f t="shared" si="11"/>
        <v>0</v>
      </c>
      <c r="DH9" s="58">
        <f t="shared" si="11"/>
        <v>0</v>
      </c>
      <c r="DI9" s="58">
        <f t="shared" si="11"/>
        <v>0</v>
      </c>
      <c r="DJ9" s="58">
        <f t="shared" si="11"/>
        <v>0</v>
      </c>
      <c r="DK9" s="58">
        <f t="shared" si="11"/>
        <v>0</v>
      </c>
      <c r="DL9" s="58">
        <f t="shared" si="11"/>
        <v>0</v>
      </c>
      <c r="DM9" s="58">
        <f t="shared" si="11"/>
        <v>0</v>
      </c>
      <c r="DN9" s="58">
        <f t="shared" si="11"/>
        <v>0</v>
      </c>
      <c r="DO9" s="58">
        <f t="shared" si="11"/>
        <v>0</v>
      </c>
      <c r="DP9" s="58">
        <f t="shared" si="11"/>
        <v>0</v>
      </c>
      <c r="DQ9" s="58">
        <f t="shared" si="11"/>
        <v>0</v>
      </c>
      <c r="DR9" s="58">
        <f t="shared" si="11"/>
        <v>0</v>
      </c>
      <c r="DS9" s="58">
        <f t="shared" si="11"/>
        <v>0</v>
      </c>
      <c r="DT9" s="58">
        <f t="shared" si="11"/>
        <v>0</v>
      </c>
      <c r="DU9" s="58">
        <f t="shared" si="11"/>
        <v>0</v>
      </c>
      <c r="DV9" s="58">
        <f t="shared" si="11"/>
        <v>0</v>
      </c>
      <c r="DW9" s="58">
        <f t="shared" si="11"/>
        <v>0</v>
      </c>
      <c r="DX9" s="58">
        <f t="shared" si="11"/>
        <v>0</v>
      </c>
      <c r="DY9" s="58">
        <f t="shared" si="11"/>
        <v>0</v>
      </c>
    </row>
    <row r="10" spans="1:129" x14ac:dyDescent="0.45">
      <c r="A10" s="3">
        <v>46022</v>
      </c>
      <c r="B10" s="2" t="s">
        <v>0</v>
      </c>
      <c r="C10" s="6" t="s">
        <v>8</v>
      </c>
      <c r="D10" s="17">
        <v>4.8443031587445756E-2</v>
      </c>
      <c r="E10" s="2" t="s">
        <v>46</v>
      </c>
      <c r="F10" s="2">
        <v>60</v>
      </c>
      <c r="G10" s="2" t="s">
        <v>46</v>
      </c>
      <c r="H10" s="2">
        <v>60</v>
      </c>
      <c r="I10" s="14">
        <v>358.11700000000002</v>
      </c>
      <c r="J10" s="55">
        <f>IF(J$1&lt;$F10,(I10*(1+($D10/12)))-(-PMT($D10/12,$F10,$I10)),0)</f>
        <v>352.83009513087779</v>
      </c>
      <c r="K10" s="55">
        <f t="shared" ref="K10:BV10" si="12">IF(K$1&lt;$F10,(J10*(1+($D10/12)))-(-PMT($D10/12,$F10,$I10)),0)</f>
        <v>347.52184745345767</v>
      </c>
      <c r="L10" s="55">
        <f t="shared" si="12"/>
        <v>342.19217080854497</v>
      </c>
      <c r="M10" s="55">
        <f t="shared" si="12"/>
        <v>336.84097868912721</v>
      </c>
      <c r="N10" s="55">
        <f t="shared" si="12"/>
        <v>331.4681842389702</v>
      </c>
      <c r="O10" s="55">
        <f t="shared" si="12"/>
        <v>326.07370025120804</v>
      </c>
      <c r="P10" s="55">
        <f t="shared" si="12"/>
        <v>320.65743916692776</v>
      </c>
      <c r="Q10" s="55">
        <f t="shared" si="12"/>
        <v>315.2193130737482</v>
      </c>
      <c r="R10" s="55">
        <f t="shared" si="12"/>
        <v>309.7592337043929</v>
      </c>
      <c r="S10" s="55">
        <f t="shared" si="12"/>
        <v>304.27711243525766</v>
      </c>
      <c r="T10" s="55">
        <f t="shared" si="12"/>
        <v>298.77286028497184</v>
      </c>
      <c r="U10" s="55">
        <f t="shared" si="12"/>
        <v>293.24638791295422</v>
      </c>
      <c r="V10" s="55">
        <f t="shared" si="12"/>
        <v>287.69760561796289</v>
      </c>
      <c r="W10" s="55">
        <f t="shared" si="12"/>
        <v>282.12642333663922</v>
      </c>
      <c r="X10" s="55">
        <f t="shared" si="12"/>
        <v>276.53275064204604</v>
      </c>
      <c r="Y10" s="55">
        <f t="shared" si="12"/>
        <v>270.91649674220002</v>
      </c>
      <c r="Z10" s="55">
        <f t="shared" si="12"/>
        <v>265.27757047859791</v>
      </c>
      <c r="AA10" s="55">
        <f t="shared" si="12"/>
        <v>259.61588032473691</v>
      </c>
      <c r="AB10" s="55">
        <f t="shared" si="12"/>
        <v>253.93133438462903</v>
      </c>
      <c r="AC10" s="55">
        <f t="shared" si="12"/>
        <v>248.22384039130975</v>
      </c>
      <c r="AD10" s="55">
        <f t="shared" si="12"/>
        <v>242.49330570534016</v>
      </c>
      <c r="AE10" s="55">
        <f t="shared" si="12"/>
        <v>236.73963731330346</v>
      </c>
      <c r="AF10" s="55">
        <f t="shared" si="12"/>
        <v>230.96274182629517</v>
      </c>
      <c r="AG10" s="55">
        <f t="shared" si="12"/>
        <v>225.16252547840736</v>
      </c>
      <c r="AH10" s="55">
        <f t="shared" si="12"/>
        <v>219.33889412520665</v>
      </c>
      <c r="AI10" s="55">
        <f t="shared" si="12"/>
        <v>213.49175324220622</v>
      </c>
      <c r="AJ10" s="55">
        <f t="shared" si="12"/>
        <v>207.62100792333149</v>
      </c>
      <c r="AK10" s="55">
        <f t="shared" si="12"/>
        <v>201.72656287937974</v>
      </c>
      <c r="AL10" s="55">
        <f t="shared" si="12"/>
        <v>195.80832243647345</v>
      </c>
      <c r="AM10" s="55">
        <f t="shared" si="12"/>
        <v>189.86619053450733</v>
      </c>
      <c r="AN10" s="55">
        <f t="shared" si="12"/>
        <v>183.90007072558925</v>
      </c>
      <c r="AO10" s="55">
        <f t="shared" si="12"/>
        <v>177.90986617247466</v>
      </c>
      <c r="AP10" s="55">
        <f t="shared" si="12"/>
        <v>171.89547964699494</v>
      </c>
      <c r="AQ10" s="55">
        <f t="shared" si="12"/>
        <v>165.85681352847914</v>
      </c>
      <c r="AR10" s="55">
        <f t="shared" si="12"/>
        <v>159.79376980216955</v>
      </c>
      <c r="AS10" s="55">
        <f t="shared" si="12"/>
        <v>153.70625005763083</v>
      </c>
      <c r="AT10" s="55">
        <f t="shared" si="12"/>
        <v>147.59415548715262</v>
      </c>
      <c r="AU10" s="55">
        <f t="shared" si="12"/>
        <v>141.45738688414582</v>
      </c>
      <c r="AV10" s="55">
        <f t="shared" si="12"/>
        <v>135.29584464153231</v>
      </c>
      <c r="AW10" s="55">
        <f t="shared" si="12"/>
        <v>129.1094287501283</v>
      </c>
      <c r="AX10" s="55">
        <f t="shared" si="12"/>
        <v>122.89803879702093</v>
      </c>
      <c r="AY10" s="55">
        <f t="shared" si="12"/>
        <v>116.66157396393854</v>
      </c>
      <c r="AZ10" s="55">
        <f t="shared" si="12"/>
        <v>110.39993302561422</v>
      </c>
      <c r="BA10" s="55">
        <f t="shared" si="12"/>
        <v>104.11301434814287</v>
      </c>
      <c r="BB10" s="55">
        <f t="shared" si="12"/>
        <v>97.800715887331478</v>
      </c>
      <c r="BC10" s="55">
        <f t="shared" si="12"/>
        <v>91.462935187042888</v>
      </c>
      <c r="BD10" s="55">
        <f t="shared" si="12"/>
        <v>85.09956937753276</v>
      </c>
      <c r="BE10" s="55">
        <f t="shared" si="12"/>
        <v>78.710515173779925</v>
      </c>
      <c r="BF10" s="55">
        <f t="shared" si="12"/>
        <v>72.295668873809888</v>
      </c>
      <c r="BG10" s="55">
        <f t="shared" si="12"/>
        <v>65.854926357011678</v>
      </c>
      <c r="BH10" s="55">
        <f t="shared" si="12"/>
        <v>59.388183082447824</v>
      </c>
      <c r="BI10" s="55">
        <f t="shared" si="12"/>
        <v>52.895334087157501</v>
      </c>
      <c r="BJ10" s="55">
        <f t="shared" si="12"/>
        <v>46.376273984452894</v>
      </c>
      <c r="BK10" s="55">
        <f t="shared" si="12"/>
        <v>39.830896962208641</v>
      </c>
      <c r="BL10" s="55">
        <f t="shared" si="12"/>
        <v>33.259096781144358</v>
      </c>
      <c r="BM10" s="55">
        <f t="shared" si="12"/>
        <v>26.660766773100271</v>
      </c>
      <c r="BN10" s="55">
        <f t="shared" si="12"/>
        <v>20.035799839305845</v>
      </c>
      <c r="BO10" s="55">
        <f t="shared" si="12"/>
        <v>13.384088448641453</v>
      </c>
      <c r="BP10" s="55">
        <f t="shared" si="12"/>
        <v>6.7055246358930178</v>
      </c>
      <c r="BQ10" s="55">
        <f t="shared" si="12"/>
        <v>0</v>
      </c>
      <c r="BR10" s="55">
        <f t="shared" si="12"/>
        <v>0</v>
      </c>
      <c r="BS10" s="55">
        <f t="shared" si="12"/>
        <v>0</v>
      </c>
      <c r="BT10" s="55">
        <f t="shared" si="12"/>
        <v>0</v>
      </c>
      <c r="BU10" s="55">
        <f t="shared" si="12"/>
        <v>0</v>
      </c>
      <c r="BV10" s="55">
        <f t="shared" si="12"/>
        <v>0</v>
      </c>
      <c r="BW10" s="55">
        <f t="shared" ref="BW10:DY10" si="13">IF(BW$1&lt;$F10,(BV10*(1+($D10/12)))-(-PMT($D10/12,$F10,$I10)),0)</f>
        <v>0</v>
      </c>
      <c r="BX10" s="55">
        <f t="shared" si="13"/>
        <v>0</v>
      </c>
      <c r="BY10" s="55">
        <f t="shared" si="13"/>
        <v>0</v>
      </c>
      <c r="BZ10" s="55">
        <f t="shared" si="13"/>
        <v>0</v>
      </c>
      <c r="CA10" s="55">
        <f t="shared" si="13"/>
        <v>0</v>
      </c>
      <c r="CB10" s="55">
        <f t="shared" si="13"/>
        <v>0</v>
      </c>
      <c r="CC10" s="55">
        <f t="shared" si="13"/>
        <v>0</v>
      </c>
      <c r="CD10" s="55">
        <f t="shared" si="13"/>
        <v>0</v>
      </c>
      <c r="CE10" s="55">
        <f t="shared" si="13"/>
        <v>0</v>
      </c>
      <c r="CF10" s="55">
        <f t="shared" si="13"/>
        <v>0</v>
      </c>
      <c r="CG10" s="55">
        <f t="shared" si="13"/>
        <v>0</v>
      </c>
      <c r="CH10" s="55">
        <f t="shared" si="13"/>
        <v>0</v>
      </c>
      <c r="CI10" s="55">
        <f t="shared" si="13"/>
        <v>0</v>
      </c>
      <c r="CJ10" s="55">
        <f t="shared" si="13"/>
        <v>0</v>
      </c>
      <c r="CK10" s="55">
        <f t="shared" si="13"/>
        <v>0</v>
      </c>
      <c r="CL10" s="55">
        <f t="shared" si="13"/>
        <v>0</v>
      </c>
      <c r="CM10" s="55">
        <f t="shared" si="13"/>
        <v>0</v>
      </c>
      <c r="CN10" s="55">
        <f t="shared" si="13"/>
        <v>0</v>
      </c>
      <c r="CO10" s="55">
        <f t="shared" si="13"/>
        <v>0</v>
      </c>
      <c r="CP10" s="55">
        <f t="shared" si="13"/>
        <v>0</v>
      </c>
      <c r="CQ10" s="55">
        <f t="shared" si="13"/>
        <v>0</v>
      </c>
      <c r="CR10" s="55">
        <f t="shared" si="13"/>
        <v>0</v>
      </c>
      <c r="CS10" s="55">
        <f t="shared" si="13"/>
        <v>0</v>
      </c>
      <c r="CT10" s="55">
        <f t="shared" si="13"/>
        <v>0</v>
      </c>
      <c r="CU10" s="55">
        <f t="shared" si="13"/>
        <v>0</v>
      </c>
      <c r="CV10" s="55">
        <f t="shared" si="13"/>
        <v>0</v>
      </c>
      <c r="CW10" s="55">
        <f t="shared" si="13"/>
        <v>0</v>
      </c>
      <c r="CX10" s="55">
        <f t="shared" si="13"/>
        <v>0</v>
      </c>
      <c r="CY10" s="55">
        <f t="shared" si="13"/>
        <v>0</v>
      </c>
      <c r="CZ10" s="55">
        <f t="shared" si="13"/>
        <v>0</v>
      </c>
      <c r="DA10" s="55">
        <f t="shared" si="13"/>
        <v>0</v>
      </c>
      <c r="DB10" s="55">
        <f t="shared" si="13"/>
        <v>0</v>
      </c>
      <c r="DC10" s="55">
        <f t="shared" si="13"/>
        <v>0</v>
      </c>
      <c r="DD10" s="55">
        <f t="shared" si="13"/>
        <v>0</v>
      </c>
      <c r="DE10" s="55">
        <f t="shared" si="13"/>
        <v>0</v>
      </c>
      <c r="DF10" s="55">
        <f t="shared" si="13"/>
        <v>0</v>
      </c>
      <c r="DG10" s="55">
        <f t="shared" si="13"/>
        <v>0</v>
      </c>
      <c r="DH10" s="55">
        <f t="shared" si="13"/>
        <v>0</v>
      </c>
      <c r="DI10" s="55">
        <f t="shared" si="13"/>
        <v>0</v>
      </c>
      <c r="DJ10" s="55">
        <f t="shared" si="13"/>
        <v>0</v>
      </c>
      <c r="DK10" s="55">
        <f t="shared" si="13"/>
        <v>0</v>
      </c>
      <c r="DL10" s="55">
        <f t="shared" si="13"/>
        <v>0</v>
      </c>
      <c r="DM10" s="55">
        <f t="shared" si="13"/>
        <v>0</v>
      </c>
      <c r="DN10" s="55">
        <f t="shared" si="13"/>
        <v>0</v>
      </c>
      <c r="DO10" s="55">
        <f t="shared" si="13"/>
        <v>0</v>
      </c>
      <c r="DP10" s="55">
        <f t="shared" si="13"/>
        <v>0</v>
      </c>
      <c r="DQ10" s="55">
        <f t="shared" si="13"/>
        <v>0</v>
      </c>
      <c r="DR10" s="55">
        <f t="shared" si="13"/>
        <v>0</v>
      </c>
      <c r="DS10" s="55">
        <f t="shared" si="13"/>
        <v>0</v>
      </c>
      <c r="DT10" s="55">
        <f t="shared" si="13"/>
        <v>0</v>
      </c>
      <c r="DU10" s="55">
        <f t="shared" si="13"/>
        <v>0</v>
      </c>
      <c r="DV10" s="55">
        <f t="shared" si="13"/>
        <v>0</v>
      </c>
      <c r="DW10" s="55">
        <f t="shared" si="13"/>
        <v>0</v>
      </c>
      <c r="DX10" s="55">
        <f t="shared" si="13"/>
        <v>0</v>
      </c>
      <c r="DY10" s="55">
        <f t="shared" si="13"/>
        <v>0</v>
      </c>
    </row>
    <row r="11" spans="1:129" x14ac:dyDescent="0.45">
      <c r="A11" s="3">
        <v>46022</v>
      </c>
      <c r="B11" s="2" t="s">
        <v>0</v>
      </c>
      <c r="C11" s="6" t="s">
        <v>9</v>
      </c>
      <c r="D11" s="17">
        <v>3.2228872939520412E-2</v>
      </c>
      <c r="E11" s="2" t="s">
        <v>46</v>
      </c>
      <c r="F11" s="2">
        <v>10</v>
      </c>
      <c r="G11" s="2" t="s">
        <v>46</v>
      </c>
      <c r="H11" s="2">
        <v>10</v>
      </c>
      <c r="I11" s="14">
        <v>49615.565999999999</v>
      </c>
      <c r="J11" s="55">
        <f>IF(J$1&lt;$F11,(I11*(1+($D11/12)))-(-PMT($D11/12,$F11,$I11)),0)</f>
        <v>44713.679059200171</v>
      </c>
      <c r="K11" s="55">
        <f t="shared" ref="K11:BV11" si="14">IF(K$1&lt;$F11,(J11*(1+($D11/12)))-(-PMT($D11/12,$F11,$I11)),0)</f>
        <v>39798.626927452096</v>
      </c>
      <c r="L11" s="55">
        <f t="shared" si="14"/>
        <v>34870.374246483589</v>
      </c>
      <c r="M11" s="55">
        <f t="shared" si="14"/>
        <v>29928.88556305935</v>
      </c>
      <c r="N11" s="55">
        <f t="shared" si="14"/>
        <v>24974.125328725928</v>
      </c>
      <c r="O11" s="55">
        <f t="shared" si="14"/>
        <v>20006.057899555995</v>
      </c>
      <c r="P11" s="55">
        <f t="shared" si="14"/>
        <v>15024.647535891923</v>
      </c>
      <c r="Q11" s="55">
        <f t="shared" si="14"/>
        <v>10029.858402088674</v>
      </c>
      <c r="R11" s="55">
        <f t="shared" si="14"/>
        <v>5021.6545662560047</v>
      </c>
      <c r="S11" s="55">
        <f t="shared" si="14"/>
        <v>0</v>
      </c>
      <c r="T11" s="55">
        <f t="shared" si="14"/>
        <v>0</v>
      </c>
      <c r="U11" s="55">
        <f t="shared" si="14"/>
        <v>0</v>
      </c>
      <c r="V11" s="55">
        <f t="shared" si="14"/>
        <v>0</v>
      </c>
      <c r="W11" s="55">
        <f t="shared" si="14"/>
        <v>0</v>
      </c>
      <c r="X11" s="55">
        <f t="shared" si="14"/>
        <v>0</v>
      </c>
      <c r="Y11" s="55">
        <f t="shared" si="14"/>
        <v>0</v>
      </c>
      <c r="Z11" s="55">
        <f t="shared" si="14"/>
        <v>0</v>
      </c>
      <c r="AA11" s="55">
        <f t="shared" si="14"/>
        <v>0</v>
      </c>
      <c r="AB11" s="55">
        <f t="shared" si="14"/>
        <v>0</v>
      </c>
      <c r="AC11" s="55">
        <f t="shared" si="14"/>
        <v>0</v>
      </c>
      <c r="AD11" s="55">
        <f t="shared" si="14"/>
        <v>0</v>
      </c>
      <c r="AE11" s="55">
        <f t="shared" si="14"/>
        <v>0</v>
      </c>
      <c r="AF11" s="55">
        <f t="shared" si="14"/>
        <v>0</v>
      </c>
      <c r="AG11" s="55">
        <f t="shared" si="14"/>
        <v>0</v>
      </c>
      <c r="AH11" s="55">
        <f t="shared" si="14"/>
        <v>0</v>
      </c>
      <c r="AI11" s="55">
        <f t="shared" si="14"/>
        <v>0</v>
      </c>
      <c r="AJ11" s="55">
        <f t="shared" si="14"/>
        <v>0</v>
      </c>
      <c r="AK11" s="55">
        <f t="shared" si="14"/>
        <v>0</v>
      </c>
      <c r="AL11" s="55">
        <f t="shared" si="14"/>
        <v>0</v>
      </c>
      <c r="AM11" s="55">
        <f t="shared" si="14"/>
        <v>0</v>
      </c>
      <c r="AN11" s="55">
        <f t="shared" si="14"/>
        <v>0</v>
      </c>
      <c r="AO11" s="55">
        <f t="shared" si="14"/>
        <v>0</v>
      </c>
      <c r="AP11" s="55">
        <f t="shared" si="14"/>
        <v>0</v>
      </c>
      <c r="AQ11" s="55">
        <f t="shared" si="14"/>
        <v>0</v>
      </c>
      <c r="AR11" s="55">
        <f t="shared" si="14"/>
        <v>0</v>
      </c>
      <c r="AS11" s="55">
        <f t="shared" si="14"/>
        <v>0</v>
      </c>
      <c r="AT11" s="55">
        <f t="shared" si="14"/>
        <v>0</v>
      </c>
      <c r="AU11" s="55">
        <f t="shared" si="14"/>
        <v>0</v>
      </c>
      <c r="AV11" s="55">
        <f t="shared" si="14"/>
        <v>0</v>
      </c>
      <c r="AW11" s="55">
        <f t="shared" si="14"/>
        <v>0</v>
      </c>
      <c r="AX11" s="55">
        <f t="shared" si="14"/>
        <v>0</v>
      </c>
      <c r="AY11" s="55">
        <f t="shared" si="14"/>
        <v>0</v>
      </c>
      <c r="AZ11" s="55">
        <f t="shared" si="14"/>
        <v>0</v>
      </c>
      <c r="BA11" s="55">
        <f t="shared" si="14"/>
        <v>0</v>
      </c>
      <c r="BB11" s="55">
        <f t="shared" si="14"/>
        <v>0</v>
      </c>
      <c r="BC11" s="55">
        <f t="shared" si="14"/>
        <v>0</v>
      </c>
      <c r="BD11" s="55">
        <f t="shared" si="14"/>
        <v>0</v>
      </c>
      <c r="BE11" s="55">
        <f t="shared" si="14"/>
        <v>0</v>
      </c>
      <c r="BF11" s="55">
        <f t="shared" si="14"/>
        <v>0</v>
      </c>
      <c r="BG11" s="55">
        <f t="shared" si="14"/>
        <v>0</v>
      </c>
      <c r="BH11" s="55">
        <f t="shared" si="14"/>
        <v>0</v>
      </c>
      <c r="BI11" s="55">
        <f t="shared" si="14"/>
        <v>0</v>
      </c>
      <c r="BJ11" s="55">
        <f t="shared" si="14"/>
        <v>0</v>
      </c>
      <c r="BK11" s="55">
        <f t="shared" si="14"/>
        <v>0</v>
      </c>
      <c r="BL11" s="55">
        <f t="shared" si="14"/>
        <v>0</v>
      </c>
      <c r="BM11" s="55">
        <f t="shared" si="14"/>
        <v>0</v>
      </c>
      <c r="BN11" s="55">
        <f t="shared" si="14"/>
        <v>0</v>
      </c>
      <c r="BO11" s="55">
        <f t="shared" si="14"/>
        <v>0</v>
      </c>
      <c r="BP11" s="55">
        <f t="shared" si="14"/>
        <v>0</v>
      </c>
      <c r="BQ11" s="55">
        <f t="shared" si="14"/>
        <v>0</v>
      </c>
      <c r="BR11" s="55">
        <f t="shared" si="14"/>
        <v>0</v>
      </c>
      <c r="BS11" s="55">
        <f t="shared" si="14"/>
        <v>0</v>
      </c>
      <c r="BT11" s="55">
        <f t="shared" si="14"/>
        <v>0</v>
      </c>
      <c r="BU11" s="55">
        <f t="shared" si="14"/>
        <v>0</v>
      </c>
      <c r="BV11" s="55">
        <f t="shared" si="14"/>
        <v>0</v>
      </c>
      <c r="BW11" s="55">
        <f t="shared" ref="BW11:DY11" si="15">IF(BW$1&lt;$F11,(BV11*(1+($D11/12)))-(-PMT($D11/12,$F11,$I11)),0)</f>
        <v>0</v>
      </c>
      <c r="BX11" s="55">
        <f t="shared" si="15"/>
        <v>0</v>
      </c>
      <c r="BY11" s="55">
        <f t="shared" si="15"/>
        <v>0</v>
      </c>
      <c r="BZ11" s="55">
        <f t="shared" si="15"/>
        <v>0</v>
      </c>
      <c r="CA11" s="55">
        <f t="shared" si="15"/>
        <v>0</v>
      </c>
      <c r="CB11" s="55">
        <f t="shared" si="15"/>
        <v>0</v>
      </c>
      <c r="CC11" s="55">
        <f t="shared" si="15"/>
        <v>0</v>
      </c>
      <c r="CD11" s="55">
        <f t="shared" si="15"/>
        <v>0</v>
      </c>
      <c r="CE11" s="55">
        <f t="shared" si="15"/>
        <v>0</v>
      </c>
      <c r="CF11" s="55">
        <f t="shared" si="15"/>
        <v>0</v>
      </c>
      <c r="CG11" s="55">
        <f t="shared" si="15"/>
        <v>0</v>
      </c>
      <c r="CH11" s="55">
        <f t="shared" si="15"/>
        <v>0</v>
      </c>
      <c r="CI11" s="55">
        <f t="shared" si="15"/>
        <v>0</v>
      </c>
      <c r="CJ11" s="55">
        <f t="shared" si="15"/>
        <v>0</v>
      </c>
      <c r="CK11" s="55">
        <f t="shared" si="15"/>
        <v>0</v>
      </c>
      <c r="CL11" s="55">
        <f t="shared" si="15"/>
        <v>0</v>
      </c>
      <c r="CM11" s="55">
        <f t="shared" si="15"/>
        <v>0</v>
      </c>
      <c r="CN11" s="55">
        <f t="shared" si="15"/>
        <v>0</v>
      </c>
      <c r="CO11" s="55">
        <f t="shared" si="15"/>
        <v>0</v>
      </c>
      <c r="CP11" s="55">
        <f t="shared" si="15"/>
        <v>0</v>
      </c>
      <c r="CQ11" s="55">
        <f t="shared" si="15"/>
        <v>0</v>
      </c>
      <c r="CR11" s="55">
        <f t="shared" si="15"/>
        <v>0</v>
      </c>
      <c r="CS11" s="55">
        <f t="shared" si="15"/>
        <v>0</v>
      </c>
      <c r="CT11" s="55">
        <f t="shared" si="15"/>
        <v>0</v>
      </c>
      <c r="CU11" s="55">
        <f t="shared" si="15"/>
        <v>0</v>
      </c>
      <c r="CV11" s="55">
        <f t="shared" si="15"/>
        <v>0</v>
      </c>
      <c r="CW11" s="55">
        <f t="shared" si="15"/>
        <v>0</v>
      </c>
      <c r="CX11" s="55">
        <f t="shared" si="15"/>
        <v>0</v>
      </c>
      <c r="CY11" s="55">
        <f t="shared" si="15"/>
        <v>0</v>
      </c>
      <c r="CZ11" s="55">
        <f t="shared" si="15"/>
        <v>0</v>
      </c>
      <c r="DA11" s="55">
        <f t="shared" si="15"/>
        <v>0</v>
      </c>
      <c r="DB11" s="55">
        <f t="shared" si="15"/>
        <v>0</v>
      </c>
      <c r="DC11" s="55">
        <f t="shared" si="15"/>
        <v>0</v>
      </c>
      <c r="DD11" s="55">
        <f t="shared" si="15"/>
        <v>0</v>
      </c>
      <c r="DE11" s="55">
        <f t="shared" si="15"/>
        <v>0</v>
      </c>
      <c r="DF11" s="55">
        <f t="shared" si="15"/>
        <v>0</v>
      </c>
      <c r="DG11" s="55">
        <f t="shared" si="15"/>
        <v>0</v>
      </c>
      <c r="DH11" s="55">
        <f t="shared" si="15"/>
        <v>0</v>
      </c>
      <c r="DI11" s="55">
        <f t="shared" si="15"/>
        <v>0</v>
      </c>
      <c r="DJ11" s="55">
        <f t="shared" si="15"/>
        <v>0</v>
      </c>
      <c r="DK11" s="55">
        <f t="shared" si="15"/>
        <v>0</v>
      </c>
      <c r="DL11" s="55">
        <f t="shared" si="15"/>
        <v>0</v>
      </c>
      <c r="DM11" s="55">
        <f t="shared" si="15"/>
        <v>0</v>
      </c>
      <c r="DN11" s="55">
        <f t="shared" si="15"/>
        <v>0</v>
      </c>
      <c r="DO11" s="55">
        <f t="shared" si="15"/>
        <v>0</v>
      </c>
      <c r="DP11" s="55">
        <f t="shared" si="15"/>
        <v>0</v>
      </c>
      <c r="DQ11" s="55">
        <f t="shared" si="15"/>
        <v>0</v>
      </c>
      <c r="DR11" s="55">
        <f t="shared" si="15"/>
        <v>0</v>
      </c>
      <c r="DS11" s="55">
        <f t="shared" si="15"/>
        <v>0</v>
      </c>
      <c r="DT11" s="55">
        <f t="shared" si="15"/>
        <v>0</v>
      </c>
      <c r="DU11" s="55">
        <f t="shared" si="15"/>
        <v>0</v>
      </c>
      <c r="DV11" s="55">
        <f t="shared" si="15"/>
        <v>0</v>
      </c>
      <c r="DW11" s="55">
        <f t="shared" si="15"/>
        <v>0</v>
      </c>
      <c r="DX11" s="55">
        <f t="shared" si="15"/>
        <v>0</v>
      </c>
      <c r="DY11" s="55">
        <f t="shared" si="15"/>
        <v>0</v>
      </c>
    </row>
    <row r="12" spans="1:129" x14ac:dyDescent="0.45">
      <c r="A12" s="3">
        <v>46022</v>
      </c>
      <c r="B12" s="2" t="s">
        <v>0</v>
      </c>
      <c r="C12" s="6" t="s">
        <v>10</v>
      </c>
      <c r="D12" s="17">
        <v>3.9912213044508871E-2</v>
      </c>
      <c r="E12" s="2" t="s">
        <v>45</v>
      </c>
      <c r="F12" s="2">
        <v>1</v>
      </c>
      <c r="G12" s="2" t="s">
        <v>45</v>
      </c>
      <c r="H12" s="2">
        <v>1</v>
      </c>
      <c r="I12" s="14">
        <v>75676.635999999999</v>
      </c>
      <c r="J12" s="56">
        <f t="shared" ref="J12:Y13" si="16">IF(J$1&lt;$F12,$I12,0)</f>
        <v>0</v>
      </c>
      <c r="K12" s="56">
        <f t="shared" si="16"/>
        <v>0</v>
      </c>
      <c r="L12" s="56">
        <f t="shared" si="16"/>
        <v>0</v>
      </c>
      <c r="M12" s="56">
        <f t="shared" si="16"/>
        <v>0</v>
      </c>
      <c r="N12" s="56">
        <f t="shared" si="16"/>
        <v>0</v>
      </c>
      <c r="O12" s="56">
        <f t="shared" si="16"/>
        <v>0</v>
      </c>
      <c r="P12" s="56">
        <f t="shared" si="16"/>
        <v>0</v>
      </c>
      <c r="Q12" s="56">
        <f t="shared" si="16"/>
        <v>0</v>
      </c>
      <c r="R12" s="56">
        <f t="shared" si="16"/>
        <v>0</v>
      </c>
      <c r="S12" s="56">
        <f t="shared" si="16"/>
        <v>0</v>
      </c>
      <c r="T12" s="56">
        <f t="shared" si="16"/>
        <v>0</v>
      </c>
      <c r="U12" s="56">
        <f t="shared" si="16"/>
        <v>0</v>
      </c>
      <c r="V12" s="56">
        <f t="shared" si="16"/>
        <v>0</v>
      </c>
      <c r="W12" s="56">
        <f t="shared" si="16"/>
        <v>0</v>
      </c>
      <c r="X12" s="56">
        <f t="shared" si="16"/>
        <v>0</v>
      </c>
      <c r="Y12" s="56">
        <f t="shared" si="16"/>
        <v>0</v>
      </c>
      <c r="Z12" s="56">
        <f t="shared" ref="Z12:CK13" si="17">IF(Z$1&lt;$F12,$I12,0)</f>
        <v>0</v>
      </c>
      <c r="AA12" s="56">
        <f t="shared" si="17"/>
        <v>0</v>
      </c>
      <c r="AB12" s="56">
        <f t="shared" si="17"/>
        <v>0</v>
      </c>
      <c r="AC12" s="56">
        <f t="shared" si="17"/>
        <v>0</v>
      </c>
      <c r="AD12" s="56">
        <f t="shared" si="17"/>
        <v>0</v>
      </c>
      <c r="AE12" s="56">
        <f t="shared" si="17"/>
        <v>0</v>
      </c>
      <c r="AF12" s="56">
        <f t="shared" si="17"/>
        <v>0</v>
      </c>
      <c r="AG12" s="56">
        <f t="shared" si="17"/>
        <v>0</v>
      </c>
      <c r="AH12" s="56">
        <f t="shared" si="17"/>
        <v>0</v>
      </c>
      <c r="AI12" s="56">
        <f t="shared" si="17"/>
        <v>0</v>
      </c>
      <c r="AJ12" s="56">
        <f t="shared" si="17"/>
        <v>0</v>
      </c>
      <c r="AK12" s="56">
        <f t="shared" si="17"/>
        <v>0</v>
      </c>
      <c r="AL12" s="56">
        <f t="shared" si="17"/>
        <v>0</v>
      </c>
      <c r="AM12" s="56">
        <f t="shared" si="17"/>
        <v>0</v>
      </c>
      <c r="AN12" s="56">
        <f t="shared" si="17"/>
        <v>0</v>
      </c>
      <c r="AO12" s="56">
        <f t="shared" si="17"/>
        <v>0</v>
      </c>
      <c r="AP12" s="56">
        <f t="shared" si="17"/>
        <v>0</v>
      </c>
      <c r="AQ12" s="56">
        <f t="shared" si="17"/>
        <v>0</v>
      </c>
      <c r="AR12" s="56">
        <f t="shared" si="17"/>
        <v>0</v>
      </c>
      <c r="AS12" s="56">
        <f t="shared" si="17"/>
        <v>0</v>
      </c>
      <c r="AT12" s="56">
        <f t="shared" si="17"/>
        <v>0</v>
      </c>
      <c r="AU12" s="56">
        <f t="shared" si="17"/>
        <v>0</v>
      </c>
      <c r="AV12" s="56">
        <f t="shared" si="17"/>
        <v>0</v>
      </c>
      <c r="AW12" s="56">
        <f t="shared" si="17"/>
        <v>0</v>
      </c>
      <c r="AX12" s="56">
        <f t="shared" si="17"/>
        <v>0</v>
      </c>
      <c r="AY12" s="56">
        <f t="shared" si="17"/>
        <v>0</v>
      </c>
      <c r="AZ12" s="56">
        <f t="shared" si="17"/>
        <v>0</v>
      </c>
      <c r="BA12" s="56">
        <f t="shared" si="17"/>
        <v>0</v>
      </c>
      <c r="BB12" s="56">
        <f t="shared" si="17"/>
        <v>0</v>
      </c>
      <c r="BC12" s="56">
        <f t="shared" si="17"/>
        <v>0</v>
      </c>
      <c r="BD12" s="56">
        <f t="shared" si="17"/>
        <v>0</v>
      </c>
      <c r="BE12" s="56">
        <f t="shared" si="17"/>
        <v>0</v>
      </c>
      <c r="BF12" s="56">
        <f t="shared" si="17"/>
        <v>0</v>
      </c>
      <c r="BG12" s="56">
        <f t="shared" si="17"/>
        <v>0</v>
      </c>
      <c r="BH12" s="56">
        <f t="shared" si="17"/>
        <v>0</v>
      </c>
      <c r="BI12" s="56">
        <f t="shared" si="17"/>
        <v>0</v>
      </c>
      <c r="BJ12" s="56">
        <f t="shared" si="17"/>
        <v>0</v>
      </c>
      <c r="BK12" s="56">
        <f t="shared" si="17"/>
        <v>0</v>
      </c>
      <c r="BL12" s="56">
        <f t="shared" si="17"/>
        <v>0</v>
      </c>
      <c r="BM12" s="56">
        <f t="shared" si="17"/>
        <v>0</v>
      </c>
      <c r="BN12" s="56">
        <f t="shared" si="17"/>
        <v>0</v>
      </c>
      <c r="BO12" s="56">
        <f t="shared" si="17"/>
        <v>0</v>
      </c>
      <c r="BP12" s="56">
        <f t="shared" si="17"/>
        <v>0</v>
      </c>
      <c r="BQ12" s="56">
        <f t="shared" si="17"/>
        <v>0</v>
      </c>
      <c r="BR12" s="56">
        <f t="shared" si="17"/>
        <v>0</v>
      </c>
      <c r="BS12" s="56">
        <f t="shared" si="17"/>
        <v>0</v>
      </c>
      <c r="BT12" s="56">
        <f t="shared" si="17"/>
        <v>0</v>
      </c>
      <c r="BU12" s="56">
        <f t="shared" si="17"/>
        <v>0</v>
      </c>
      <c r="BV12" s="56">
        <f t="shared" si="17"/>
        <v>0</v>
      </c>
      <c r="BW12" s="56">
        <f t="shared" si="17"/>
        <v>0</v>
      </c>
      <c r="BX12" s="56">
        <f t="shared" si="17"/>
        <v>0</v>
      </c>
      <c r="BY12" s="56">
        <f t="shared" si="17"/>
        <v>0</v>
      </c>
      <c r="BZ12" s="56">
        <f t="shared" si="17"/>
        <v>0</v>
      </c>
      <c r="CA12" s="56">
        <f t="shared" si="17"/>
        <v>0</v>
      </c>
      <c r="CB12" s="56">
        <f t="shared" si="17"/>
        <v>0</v>
      </c>
      <c r="CC12" s="56">
        <f t="shared" si="17"/>
        <v>0</v>
      </c>
      <c r="CD12" s="56">
        <f t="shared" si="17"/>
        <v>0</v>
      </c>
      <c r="CE12" s="56">
        <f t="shared" si="17"/>
        <v>0</v>
      </c>
      <c r="CF12" s="56">
        <f t="shared" si="17"/>
        <v>0</v>
      </c>
      <c r="CG12" s="56">
        <f t="shared" si="17"/>
        <v>0</v>
      </c>
      <c r="CH12" s="56">
        <f t="shared" si="17"/>
        <v>0</v>
      </c>
      <c r="CI12" s="56">
        <f t="shared" si="17"/>
        <v>0</v>
      </c>
      <c r="CJ12" s="56">
        <f t="shared" si="17"/>
        <v>0</v>
      </c>
      <c r="CK12" s="56">
        <f t="shared" si="17"/>
        <v>0</v>
      </c>
      <c r="CL12" s="56">
        <f t="shared" ref="CL12:DY13" si="18">IF(CL$1&lt;$F12,$I12,0)</f>
        <v>0</v>
      </c>
      <c r="CM12" s="56">
        <f t="shared" si="18"/>
        <v>0</v>
      </c>
      <c r="CN12" s="56">
        <f t="shared" si="18"/>
        <v>0</v>
      </c>
      <c r="CO12" s="56">
        <f t="shared" si="18"/>
        <v>0</v>
      </c>
      <c r="CP12" s="56">
        <f t="shared" si="18"/>
        <v>0</v>
      </c>
      <c r="CQ12" s="56">
        <f t="shared" si="18"/>
        <v>0</v>
      </c>
      <c r="CR12" s="56">
        <f t="shared" si="18"/>
        <v>0</v>
      </c>
      <c r="CS12" s="56">
        <f t="shared" si="18"/>
        <v>0</v>
      </c>
      <c r="CT12" s="56">
        <f t="shared" si="18"/>
        <v>0</v>
      </c>
      <c r="CU12" s="56">
        <f t="shared" si="18"/>
        <v>0</v>
      </c>
      <c r="CV12" s="56">
        <f t="shared" si="18"/>
        <v>0</v>
      </c>
      <c r="CW12" s="56">
        <f t="shared" si="18"/>
        <v>0</v>
      </c>
      <c r="CX12" s="56">
        <f t="shared" si="18"/>
        <v>0</v>
      </c>
      <c r="CY12" s="56">
        <f t="shared" si="18"/>
        <v>0</v>
      </c>
      <c r="CZ12" s="56">
        <f t="shared" si="18"/>
        <v>0</v>
      </c>
      <c r="DA12" s="56">
        <f t="shared" si="18"/>
        <v>0</v>
      </c>
      <c r="DB12" s="56">
        <f t="shared" si="18"/>
        <v>0</v>
      </c>
      <c r="DC12" s="56">
        <f t="shared" si="18"/>
        <v>0</v>
      </c>
      <c r="DD12" s="56">
        <f t="shared" si="18"/>
        <v>0</v>
      </c>
      <c r="DE12" s="56">
        <f t="shared" si="18"/>
        <v>0</v>
      </c>
      <c r="DF12" s="56">
        <f t="shared" si="18"/>
        <v>0</v>
      </c>
      <c r="DG12" s="56">
        <f t="shared" si="18"/>
        <v>0</v>
      </c>
      <c r="DH12" s="56">
        <f t="shared" si="18"/>
        <v>0</v>
      </c>
      <c r="DI12" s="56">
        <f t="shared" si="18"/>
        <v>0</v>
      </c>
      <c r="DJ12" s="56">
        <f t="shared" si="18"/>
        <v>0</v>
      </c>
      <c r="DK12" s="56">
        <f t="shared" si="18"/>
        <v>0</v>
      </c>
      <c r="DL12" s="56">
        <f t="shared" si="18"/>
        <v>0</v>
      </c>
      <c r="DM12" s="56">
        <f t="shared" si="18"/>
        <v>0</v>
      </c>
      <c r="DN12" s="56">
        <f t="shared" si="18"/>
        <v>0</v>
      </c>
      <c r="DO12" s="56">
        <f t="shared" si="18"/>
        <v>0</v>
      </c>
      <c r="DP12" s="56">
        <f t="shared" si="18"/>
        <v>0</v>
      </c>
      <c r="DQ12" s="56">
        <f t="shared" si="18"/>
        <v>0</v>
      </c>
      <c r="DR12" s="56">
        <f t="shared" si="18"/>
        <v>0</v>
      </c>
      <c r="DS12" s="56">
        <f t="shared" si="18"/>
        <v>0</v>
      </c>
      <c r="DT12" s="56">
        <f t="shared" si="18"/>
        <v>0</v>
      </c>
      <c r="DU12" s="56">
        <f t="shared" si="18"/>
        <v>0</v>
      </c>
      <c r="DV12" s="56">
        <f t="shared" si="18"/>
        <v>0</v>
      </c>
      <c r="DW12" s="56">
        <f t="shared" si="18"/>
        <v>0</v>
      </c>
      <c r="DX12" s="56">
        <f t="shared" si="18"/>
        <v>0</v>
      </c>
      <c r="DY12" s="56">
        <f t="shared" si="18"/>
        <v>0</v>
      </c>
    </row>
    <row r="13" spans="1:129" x14ac:dyDescent="0.45">
      <c r="A13" s="3">
        <v>46022</v>
      </c>
      <c r="B13" s="2" t="s">
        <v>0</v>
      </c>
      <c r="C13" s="4" t="s">
        <v>11</v>
      </c>
      <c r="D13" s="17">
        <v>0.05</v>
      </c>
      <c r="E13" s="2" t="s">
        <v>47</v>
      </c>
      <c r="F13" s="2">
        <v>84</v>
      </c>
      <c r="G13" s="2" t="s">
        <v>47</v>
      </c>
      <c r="H13" s="2">
        <v>84</v>
      </c>
      <c r="I13" s="13">
        <v>28</v>
      </c>
      <c r="J13" s="58">
        <f t="shared" si="16"/>
        <v>28</v>
      </c>
      <c r="K13" s="58">
        <f t="shared" si="16"/>
        <v>28</v>
      </c>
      <c r="L13" s="58">
        <f t="shared" si="16"/>
        <v>28</v>
      </c>
      <c r="M13" s="58">
        <f t="shared" si="16"/>
        <v>28</v>
      </c>
      <c r="N13" s="58">
        <f t="shared" si="16"/>
        <v>28</v>
      </c>
      <c r="O13" s="58">
        <f t="shared" si="16"/>
        <v>28</v>
      </c>
      <c r="P13" s="58">
        <f t="shared" si="16"/>
        <v>28</v>
      </c>
      <c r="Q13" s="58">
        <f t="shared" si="16"/>
        <v>28</v>
      </c>
      <c r="R13" s="58">
        <f t="shared" si="16"/>
        <v>28</v>
      </c>
      <c r="S13" s="58">
        <f t="shared" si="16"/>
        <v>28</v>
      </c>
      <c r="T13" s="58">
        <f t="shared" si="16"/>
        <v>28</v>
      </c>
      <c r="U13" s="58">
        <f t="shared" si="16"/>
        <v>28</v>
      </c>
      <c r="V13" s="58">
        <f t="shared" si="16"/>
        <v>28</v>
      </c>
      <c r="W13" s="58">
        <f t="shared" si="16"/>
        <v>28</v>
      </c>
      <c r="X13" s="58">
        <f t="shared" si="16"/>
        <v>28</v>
      </c>
      <c r="Y13" s="58">
        <f t="shared" si="16"/>
        <v>28</v>
      </c>
      <c r="Z13" s="58">
        <f t="shared" si="17"/>
        <v>28</v>
      </c>
      <c r="AA13" s="58">
        <f t="shared" si="17"/>
        <v>28</v>
      </c>
      <c r="AB13" s="58">
        <f t="shared" si="17"/>
        <v>28</v>
      </c>
      <c r="AC13" s="58">
        <f t="shared" si="17"/>
        <v>28</v>
      </c>
      <c r="AD13" s="58">
        <f t="shared" si="17"/>
        <v>28</v>
      </c>
      <c r="AE13" s="58">
        <f t="shared" si="17"/>
        <v>28</v>
      </c>
      <c r="AF13" s="58">
        <f t="shared" si="17"/>
        <v>28</v>
      </c>
      <c r="AG13" s="58">
        <f t="shared" si="17"/>
        <v>28</v>
      </c>
      <c r="AH13" s="58">
        <f t="shared" si="17"/>
        <v>28</v>
      </c>
      <c r="AI13" s="58">
        <f t="shared" si="17"/>
        <v>28</v>
      </c>
      <c r="AJ13" s="58">
        <f t="shared" si="17"/>
        <v>28</v>
      </c>
      <c r="AK13" s="58">
        <f t="shared" si="17"/>
        <v>28</v>
      </c>
      <c r="AL13" s="58">
        <f t="shared" si="17"/>
        <v>28</v>
      </c>
      <c r="AM13" s="58">
        <f t="shared" si="17"/>
        <v>28</v>
      </c>
      <c r="AN13" s="58">
        <f t="shared" si="17"/>
        <v>28</v>
      </c>
      <c r="AO13" s="58">
        <f t="shared" si="17"/>
        <v>28</v>
      </c>
      <c r="AP13" s="58">
        <f t="shared" si="17"/>
        <v>28</v>
      </c>
      <c r="AQ13" s="58">
        <f t="shared" si="17"/>
        <v>28</v>
      </c>
      <c r="AR13" s="58">
        <f t="shared" si="17"/>
        <v>28</v>
      </c>
      <c r="AS13" s="58">
        <f t="shared" si="17"/>
        <v>28</v>
      </c>
      <c r="AT13" s="58">
        <f t="shared" si="17"/>
        <v>28</v>
      </c>
      <c r="AU13" s="58">
        <f t="shared" si="17"/>
        <v>28</v>
      </c>
      <c r="AV13" s="58">
        <f t="shared" si="17"/>
        <v>28</v>
      </c>
      <c r="AW13" s="58">
        <f t="shared" si="17"/>
        <v>28</v>
      </c>
      <c r="AX13" s="58">
        <f t="shared" si="17"/>
        <v>28</v>
      </c>
      <c r="AY13" s="58">
        <f t="shared" si="17"/>
        <v>28</v>
      </c>
      <c r="AZ13" s="58">
        <f t="shared" si="17"/>
        <v>28</v>
      </c>
      <c r="BA13" s="58">
        <f t="shared" si="17"/>
        <v>28</v>
      </c>
      <c r="BB13" s="58">
        <f t="shared" si="17"/>
        <v>28</v>
      </c>
      <c r="BC13" s="58">
        <f t="shared" si="17"/>
        <v>28</v>
      </c>
      <c r="BD13" s="58">
        <f t="shared" si="17"/>
        <v>28</v>
      </c>
      <c r="BE13" s="58">
        <f t="shared" si="17"/>
        <v>28</v>
      </c>
      <c r="BF13" s="58">
        <f t="shared" si="17"/>
        <v>28</v>
      </c>
      <c r="BG13" s="58">
        <f t="shared" si="17"/>
        <v>28</v>
      </c>
      <c r="BH13" s="58">
        <f t="shared" si="17"/>
        <v>28</v>
      </c>
      <c r="BI13" s="58">
        <f t="shared" si="17"/>
        <v>28</v>
      </c>
      <c r="BJ13" s="58">
        <f t="shared" si="17"/>
        <v>28</v>
      </c>
      <c r="BK13" s="58">
        <f t="shared" si="17"/>
        <v>28</v>
      </c>
      <c r="BL13" s="58">
        <f t="shared" si="17"/>
        <v>28</v>
      </c>
      <c r="BM13" s="58">
        <f t="shared" si="17"/>
        <v>28</v>
      </c>
      <c r="BN13" s="58">
        <f t="shared" si="17"/>
        <v>28</v>
      </c>
      <c r="BO13" s="58">
        <f t="shared" si="17"/>
        <v>28</v>
      </c>
      <c r="BP13" s="58">
        <f t="shared" si="17"/>
        <v>28</v>
      </c>
      <c r="BQ13" s="58">
        <f t="shared" si="17"/>
        <v>28</v>
      </c>
      <c r="BR13" s="58">
        <f t="shared" si="17"/>
        <v>28</v>
      </c>
      <c r="BS13" s="58">
        <f t="shared" si="17"/>
        <v>28</v>
      </c>
      <c r="BT13" s="58">
        <f t="shared" si="17"/>
        <v>28</v>
      </c>
      <c r="BU13" s="58">
        <f t="shared" si="17"/>
        <v>28</v>
      </c>
      <c r="BV13" s="58">
        <f t="shared" si="17"/>
        <v>28</v>
      </c>
      <c r="BW13" s="58">
        <f t="shared" si="17"/>
        <v>28</v>
      </c>
      <c r="BX13" s="58">
        <f t="shared" si="17"/>
        <v>28</v>
      </c>
      <c r="BY13" s="58">
        <f t="shared" si="17"/>
        <v>28</v>
      </c>
      <c r="BZ13" s="58">
        <f t="shared" si="17"/>
        <v>28</v>
      </c>
      <c r="CA13" s="58">
        <f t="shared" si="17"/>
        <v>28</v>
      </c>
      <c r="CB13" s="58">
        <f t="shared" si="17"/>
        <v>28</v>
      </c>
      <c r="CC13" s="58">
        <f t="shared" si="17"/>
        <v>28</v>
      </c>
      <c r="CD13" s="58">
        <f t="shared" si="17"/>
        <v>28</v>
      </c>
      <c r="CE13" s="58">
        <f t="shared" si="17"/>
        <v>28</v>
      </c>
      <c r="CF13" s="58">
        <f t="shared" si="17"/>
        <v>28</v>
      </c>
      <c r="CG13" s="58">
        <f t="shared" si="17"/>
        <v>28</v>
      </c>
      <c r="CH13" s="58">
        <f t="shared" si="17"/>
        <v>28</v>
      </c>
      <c r="CI13" s="58">
        <f t="shared" si="17"/>
        <v>28</v>
      </c>
      <c r="CJ13" s="58">
        <f t="shared" si="17"/>
        <v>28</v>
      </c>
      <c r="CK13" s="58">
        <f t="shared" si="17"/>
        <v>28</v>
      </c>
      <c r="CL13" s="58">
        <f t="shared" si="18"/>
        <v>28</v>
      </c>
      <c r="CM13" s="58">
        <f t="shared" si="18"/>
        <v>28</v>
      </c>
      <c r="CN13" s="58">
        <f t="shared" si="18"/>
        <v>28</v>
      </c>
      <c r="CO13" s="58">
        <f t="shared" si="18"/>
        <v>0</v>
      </c>
      <c r="CP13" s="58">
        <f t="shared" si="18"/>
        <v>0</v>
      </c>
      <c r="CQ13" s="58">
        <f t="shared" si="18"/>
        <v>0</v>
      </c>
      <c r="CR13" s="58">
        <f t="shared" si="18"/>
        <v>0</v>
      </c>
      <c r="CS13" s="58">
        <f t="shared" si="18"/>
        <v>0</v>
      </c>
      <c r="CT13" s="58">
        <f t="shared" si="18"/>
        <v>0</v>
      </c>
      <c r="CU13" s="58">
        <f t="shared" si="18"/>
        <v>0</v>
      </c>
      <c r="CV13" s="58">
        <f t="shared" si="18"/>
        <v>0</v>
      </c>
      <c r="CW13" s="58">
        <f t="shared" si="18"/>
        <v>0</v>
      </c>
      <c r="CX13" s="58">
        <f t="shared" si="18"/>
        <v>0</v>
      </c>
      <c r="CY13" s="58">
        <f t="shared" si="18"/>
        <v>0</v>
      </c>
      <c r="CZ13" s="58">
        <f t="shared" si="18"/>
        <v>0</v>
      </c>
      <c r="DA13" s="58">
        <f t="shared" si="18"/>
        <v>0</v>
      </c>
      <c r="DB13" s="58">
        <f t="shared" si="18"/>
        <v>0</v>
      </c>
      <c r="DC13" s="58">
        <f t="shared" si="18"/>
        <v>0</v>
      </c>
      <c r="DD13" s="58">
        <f t="shared" si="18"/>
        <v>0</v>
      </c>
      <c r="DE13" s="58">
        <f t="shared" si="18"/>
        <v>0</v>
      </c>
      <c r="DF13" s="58">
        <f t="shared" si="18"/>
        <v>0</v>
      </c>
      <c r="DG13" s="58">
        <f t="shared" si="18"/>
        <v>0</v>
      </c>
      <c r="DH13" s="58">
        <f t="shared" si="18"/>
        <v>0</v>
      </c>
      <c r="DI13" s="58">
        <f t="shared" si="18"/>
        <v>0</v>
      </c>
      <c r="DJ13" s="58">
        <f t="shared" si="18"/>
        <v>0</v>
      </c>
      <c r="DK13" s="58">
        <f t="shared" si="18"/>
        <v>0</v>
      </c>
      <c r="DL13" s="58">
        <f t="shared" si="18"/>
        <v>0</v>
      </c>
      <c r="DM13" s="58">
        <f t="shared" si="18"/>
        <v>0</v>
      </c>
      <c r="DN13" s="58">
        <f t="shared" si="18"/>
        <v>0</v>
      </c>
      <c r="DO13" s="58">
        <f t="shared" si="18"/>
        <v>0</v>
      </c>
      <c r="DP13" s="58">
        <f t="shared" si="18"/>
        <v>0</v>
      </c>
      <c r="DQ13" s="58">
        <f t="shared" si="18"/>
        <v>0</v>
      </c>
      <c r="DR13" s="58">
        <f t="shared" si="18"/>
        <v>0</v>
      </c>
      <c r="DS13" s="58">
        <f t="shared" si="18"/>
        <v>0</v>
      </c>
      <c r="DT13" s="58">
        <f t="shared" si="18"/>
        <v>0</v>
      </c>
      <c r="DU13" s="58">
        <f t="shared" si="18"/>
        <v>0</v>
      </c>
      <c r="DV13" s="58">
        <f t="shared" si="18"/>
        <v>0</v>
      </c>
      <c r="DW13" s="58">
        <f t="shared" si="18"/>
        <v>0</v>
      </c>
      <c r="DX13" s="58">
        <f t="shared" si="18"/>
        <v>0</v>
      </c>
      <c r="DY13" s="58">
        <f t="shared" si="18"/>
        <v>0</v>
      </c>
    </row>
    <row r="14" spans="1:129" x14ac:dyDescent="0.45">
      <c r="A14" s="3">
        <v>46022</v>
      </c>
      <c r="B14" s="2" t="s">
        <v>0</v>
      </c>
      <c r="C14" s="4" t="s">
        <v>12</v>
      </c>
      <c r="D14" s="17"/>
      <c r="E14" s="2" t="s">
        <v>43</v>
      </c>
      <c r="F14" s="2">
        <v>120</v>
      </c>
      <c r="G14" s="2" t="s">
        <v>43</v>
      </c>
      <c r="H14" s="2">
        <v>120</v>
      </c>
      <c r="I14" s="13">
        <v>82</v>
      </c>
      <c r="J14" s="58">
        <f t="shared" ref="J14:Y15" si="19">IF(J$1&lt;$F14,$I14*(($F14-J$1)/$F14),0)</f>
        <v>81.316666666666663</v>
      </c>
      <c r="K14" s="58">
        <f t="shared" si="19"/>
        <v>80.633333333333326</v>
      </c>
      <c r="L14" s="58">
        <f t="shared" si="19"/>
        <v>79.95</v>
      </c>
      <c r="M14" s="58">
        <f t="shared" si="19"/>
        <v>79.266666666666666</v>
      </c>
      <c r="N14" s="58">
        <f t="shared" si="19"/>
        <v>78.583333333333343</v>
      </c>
      <c r="O14" s="58">
        <f t="shared" si="19"/>
        <v>77.899999999999991</v>
      </c>
      <c r="P14" s="58">
        <f t="shared" si="19"/>
        <v>77.216666666666669</v>
      </c>
      <c r="Q14" s="58">
        <f t="shared" si="19"/>
        <v>76.533333333333331</v>
      </c>
      <c r="R14" s="58">
        <f t="shared" si="19"/>
        <v>75.850000000000009</v>
      </c>
      <c r="S14" s="58">
        <f t="shared" si="19"/>
        <v>75.166666666666657</v>
      </c>
      <c r="T14" s="58">
        <f t="shared" si="19"/>
        <v>74.483333333333334</v>
      </c>
      <c r="U14" s="58">
        <f t="shared" si="19"/>
        <v>73.8</v>
      </c>
      <c r="V14" s="58">
        <f t="shared" si="19"/>
        <v>73.116666666666674</v>
      </c>
      <c r="W14" s="58">
        <f t="shared" si="19"/>
        <v>72.433333333333337</v>
      </c>
      <c r="X14" s="58">
        <f t="shared" si="19"/>
        <v>71.75</v>
      </c>
      <c r="Y14" s="58">
        <f t="shared" si="19"/>
        <v>71.066666666666663</v>
      </c>
      <c r="Z14" s="58">
        <f t="shared" ref="Z14:CK15" si="20">IF(Z$1&lt;$F14,$I14*(($F14-Z$1)/$F14),0)</f>
        <v>70.383333333333326</v>
      </c>
      <c r="AA14" s="58">
        <f t="shared" si="20"/>
        <v>69.7</v>
      </c>
      <c r="AB14" s="58">
        <f t="shared" si="20"/>
        <v>69.016666666666666</v>
      </c>
      <c r="AC14" s="58">
        <f t="shared" si="20"/>
        <v>68.333333333333343</v>
      </c>
      <c r="AD14" s="58">
        <f t="shared" si="20"/>
        <v>67.649999999999991</v>
      </c>
      <c r="AE14" s="58">
        <f t="shared" si="20"/>
        <v>66.966666666666669</v>
      </c>
      <c r="AF14" s="58">
        <f t="shared" si="20"/>
        <v>66.283333333333331</v>
      </c>
      <c r="AG14" s="58">
        <f t="shared" si="20"/>
        <v>65.600000000000009</v>
      </c>
      <c r="AH14" s="58">
        <f t="shared" si="20"/>
        <v>64.916666666666657</v>
      </c>
      <c r="AI14" s="58">
        <f t="shared" si="20"/>
        <v>64.233333333333334</v>
      </c>
      <c r="AJ14" s="58">
        <f t="shared" si="20"/>
        <v>63.550000000000004</v>
      </c>
      <c r="AK14" s="58">
        <f t="shared" si="20"/>
        <v>62.866666666666674</v>
      </c>
      <c r="AL14" s="58">
        <f t="shared" si="20"/>
        <v>62.18333333333333</v>
      </c>
      <c r="AM14" s="58">
        <f t="shared" si="20"/>
        <v>61.5</v>
      </c>
      <c r="AN14" s="58">
        <f t="shared" si="20"/>
        <v>60.81666666666667</v>
      </c>
      <c r="AO14" s="58">
        <f t="shared" si="20"/>
        <v>60.133333333333326</v>
      </c>
      <c r="AP14" s="58">
        <f t="shared" si="20"/>
        <v>59.449999999999996</v>
      </c>
      <c r="AQ14" s="58">
        <f t="shared" si="20"/>
        <v>58.766666666666666</v>
      </c>
      <c r="AR14" s="58">
        <f t="shared" si="20"/>
        <v>58.083333333333336</v>
      </c>
      <c r="AS14" s="58">
        <f t="shared" si="20"/>
        <v>57.4</v>
      </c>
      <c r="AT14" s="58">
        <f t="shared" si="20"/>
        <v>56.716666666666669</v>
      </c>
      <c r="AU14" s="58">
        <f t="shared" si="20"/>
        <v>56.033333333333331</v>
      </c>
      <c r="AV14" s="58">
        <f t="shared" si="20"/>
        <v>55.35</v>
      </c>
      <c r="AW14" s="58">
        <f t="shared" si="20"/>
        <v>54.666666666666664</v>
      </c>
      <c r="AX14" s="58">
        <f t="shared" si="20"/>
        <v>53.983333333333334</v>
      </c>
      <c r="AY14" s="58">
        <f t="shared" si="20"/>
        <v>53.300000000000004</v>
      </c>
      <c r="AZ14" s="58">
        <f t="shared" si="20"/>
        <v>52.616666666666674</v>
      </c>
      <c r="BA14" s="58">
        <f t="shared" si="20"/>
        <v>51.93333333333333</v>
      </c>
      <c r="BB14" s="58">
        <f t="shared" si="20"/>
        <v>51.25</v>
      </c>
      <c r="BC14" s="58">
        <f t="shared" si="20"/>
        <v>50.56666666666667</v>
      </c>
      <c r="BD14" s="58">
        <f t="shared" si="20"/>
        <v>49.883333333333326</v>
      </c>
      <c r="BE14" s="58">
        <f t="shared" si="20"/>
        <v>49.199999999999996</v>
      </c>
      <c r="BF14" s="58">
        <f t="shared" si="20"/>
        <v>48.516666666666666</v>
      </c>
      <c r="BG14" s="58">
        <f t="shared" si="20"/>
        <v>47.833333333333336</v>
      </c>
      <c r="BH14" s="58">
        <f t="shared" si="20"/>
        <v>47.15</v>
      </c>
      <c r="BI14" s="58">
        <f t="shared" si="20"/>
        <v>46.466666666666669</v>
      </c>
      <c r="BJ14" s="58">
        <f t="shared" si="20"/>
        <v>45.783333333333331</v>
      </c>
      <c r="BK14" s="58">
        <f t="shared" si="20"/>
        <v>45.1</v>
      </c>
      <c r="BL14" s="58">
        <f t="shared" si="20"/>
        <v>44.416666666666664</v>
      </c>
      <c r="BM14" s="58">
        <f t="shared" si="20"/>
        <v>43.733333333333334</v>
      </c>
      <c r="BN14" s="58">
        <f t="shared" si="20"/>
        <v>43.050000000000004</v>
      </c>
      <c r="BO14" s="58">
        <f t="shared" si="20"/>
        <v>42.366666666666674</v>
      </c>
      <c r="BP14" s="58">
        <f t="shared" si="20"/>
        <v>41.68333333333333</v>
      </c>
      <c r="BQ14" s="58">
        <f t="shared" si="20"/>
        <v>41</v>
      </c>
      <c r="BR14" s="58">
        <f t="shared" si="20"/>
        <v>40.316666666666663</v>
      </c>
      <c r="BS14" s="58">
        <f t="shared" si="20"/>
        <v>39.633333333333333</v>
      </c>
      <c r="BT14" s="58">
        <f t="shared" si="20"/>
        <v>38.949999999999996</v>
      </c>
      <c r="BU14" s="58">
        <f t="shared" si="20"/>
        <v>38.266666666666666</v>
      </c>
      <c r="BV14" s="58">
        <f t="shared" si="20"/>
        <v>37.583333333333329</v>
      </c>
      <c r="BW14" s="58">
        <f t="shared" si="20"/>
        <v>36.9</v>
      </c>
      <c r="BX14" s="58">
        <f t="shared" si="20"/>
        <v>36.216666666666669</v>
      </c>
      <c r="BY14" s="58">
        <f t="shared" si="20"/>
        <v>35.533333333333331</v>
      </c>
      <c r="BZ14" s="58">
        <f t="shared" si="20"/>
        <v>34.85</v>
      </c>
      <c r="CA14" s="58">
        <f t="shared" si="20"/>
        <v>34.166666666666671</v>
      </c>
      <c r="CB14" s="58">
        <f t="shared" si="20"/>
        <v>33.483333333333334</v>
      </c>
      <c r="CC14" s="58">
        <f t="shared" si="20"/>
        <v>32.800000000000004</v>
      </c>
      <c r="CD14" s="58">
        <f t="shared" si="20"/>
        <v>32.116666666666667</v>
      </c>
      <c r="CE14" s="58">
        <f t="shared" si="20"/>
        <v>31.433333333333337</v>
      </c>
      <c r="CF14" s="58">
        <f t="shared" si="20"/>
        <v>30.75</v>
      </c>
      <c r="CG14" s="58">
        <f t="shared" si="20"/>
        <v>30.066666666666663</v>
      </c>
      <c r="CH14" s="58">
        <f t="shared" si="20"/>
        <v>29.383333333333333</v>
      </c>
      <c r="CI14" s="58">
        <f t="shared" si="20"/>
        <v>28.7</v>
      </c>
      <c r="CJ14" s="58">
        <f t="shared" si="20"/>
        <v>28.016666666666666</v>
      </c>
      <c r="CK14" s="58">
        <f t="shared" si="20"/>
        <v>27.333333333333332</v>
      </c>
      <c r="CL14" s="58">
        <f t="shared" ref="CL14:DY15" si="21">IF(CL$1&lt;$F14,$I14*(($F14-CL$1)/$F14),0)</f>
        <v>26.650000000000002</v>
      </c>
      <c r="CM14" s="58">
        <f t="shared" si="21"/>
        <v>25.966666666666665</v>
      </c>
      <c r="CN14" s="58">
        <f t="shared" si="21"/>
        <v>25.283333333333335</v>
      </c>
      <c r="CO14" s="58">
        <f t="shared" si="21"/>
        <v>24.599999999999998</v>
      </c>
      <c r="CP14" s="58">
        <f t="shared" si="21"/>
        <v>23.916666666666668</v>
      </c>
      <c r="CQ14" s="58">
        <f t="shared" si="21"/>
        <v>23.233333333333334</v>
      </c>
      <c r="CR14" s="58">
        <f t="shared" si="21"/>
        <v>22.55</v>
      </c>
      <c r="CS14" s="58">
        <f t="shared" si="21"/>
        <v>21.866666666666667</v>
      </c>
      <c r="CT14" s="58">
        <f t="shared" si="21"/>
        <v>21.183333333333337</v>
      </c>
      <c r="CU14" s="58">
        <f t="shared" si="21"/>
        <v>20.5</v>
      </c>
      <c r="CV14" s="58">
        <f t="shared" si="21"/>
        <v>19.816666666666666</v>
      </c>
      <c r="CW14" s="58">
        <f t="shared" si="21"/>
        <v>19.133333333333333</v>
      </c>
      <c r="CX14" s="58">
        <f t="shared" si="21"/>
        <v>18.45</v>
      </c>
      <c r="CY14" s="58">
        <f t="shared" si="21"/>
        <v>17.766666666666666</v>
      </c>
      <c r="CZ14" s="58">
        <f t="shared" si="21"/>
        <v>17.083333333333336</v>
      </c>
      <c r="DA14" s="58">
        <f t="shared" si="21"/>
        <v>16.400000000000002</v>
      </c>
      <c r="DB14" s="58">
        <f t="shared" si="21"/>
        <v>15.716666666666669</v>
      </c>
      <c r="DC14" s="58">
        <f t="shared" si="21"/>
        <v>15.033333333333331</v>
      </c>
      <c r="DD14" s="58">
        <f t="shared" si="21"/>
        <v>14.35</v>
      </c>
      <c r="DE14" s="58">
        <f t="shared" si="21"/>
        <v>13.666666666666666</v>
      </c>
      <c r="DF14" s="58">
        <f t="shared" si="21"/>
        <v>12.983333333333333</v>
      </c>
      <c r="DG14" s="58">
        <f t="shared" si="21"/>
        <v>12.299999999999999</v>
      </c>
      <c r="DH14" s="58">
        <f t="shared" si="21"/>
        <v>11.616666666666667</v>
      </c>
      <c r="DI14" s="58">
        <f t="shared" si="21"/>
        <v>10.933333333333334</v>
      </c>
      <c r="DJ14" s="58">
        <f t="shared" si="21"/>
        <v>10.25</v>
      </c>
      <c r="DK14" s="58">
        <f t="shared" si="21"/>
        <v>9.5666666666666664</v>
      </c>
      <c r="DL14" s="58">
        <f t="shared" si="21"/>
        <v>8.8833333333333329</v>
      </c>
      <c r="DM14" s="58">
        <f t="shared" si="21"/>
        <v>8.2000000000000011</v>
      </c>
      <c r="DN14" s="58">
        <f t="shared" si="21"/>
        <v>7.5166666666666657</v>
      </c>
      <c r="DO14" s="58">
        <f t="shared" si="21"/>
        <v>6.833333333333333</v>
      </c>
      <c r="DP14" s="58">
        <f t="shared" si="21"/>
        <v>6.1499999999999995</v>
      </c>
      <c r="DQ14" s="58">
        <f t="shared" si="21"/>
        <v>5.4666666666666668</v>
      </c>
      <c r="DR14" s="58">
        <f t="shared" si="21"/>
        <v>4.7833333333333332</v>
      </c>
      <c r="DS14" s="58">
        <f t="shared" si="21"/>
        <v>4.1000000000000005</v>
      </c>
      <c r="DT14" s="58">
        <f t="shared" si="21"/>
        <v>3.4166666666666665</v>
      </c>
      <c r="DU14" s="58">
        <f t="shared" si="21"/>
        <v>2.7333333333333334</v>
      </c>
      <c r="DV14" s="58">
        <f t="shared" si="21"/>
        <v>2.0500000000000003</v>
      </c>
      <c r="DW14" s="58">
        <f t="shared" si="21"/>
        <v>1.3666666666666667</v>
      </c>
      <c r="DX14" s="58">
        <f t="shared" si="21"/>
        <v>0.68333333333333335</v>
      </c>
      <c r="DY14" s="58">
        <f t="shared" si="21"/>
        <v>0</v>
      </c>
    </row>
    <row r="15" spans="1:129" x14ac:dyDescent="0.45">
      <c r="A15" s="3">
        <v>46022</v>
      </c>
      <c r="B15" s="2" t="s">
        <v>0</v>
      </c>
      <c r="C15" s="4" t="s">
        <v>13</v>
      </c>
      <c r="D15" s="17"/>
      <c r="E15" s="2" t="s">
        <v>43</v>
      </c>
      <c r="F15" s="2">
        <v>120</v>
      </c>
      <c r="G15" s="2" t="s">
        <v>43</v>
      </c>
      <c r="H15" s="2">
        <v>120</v>
      </c>
      <c r="I15" s="13">
        <v>570</v>
      </c>
      <c r="J15" s="58">
        <f t="shared" si="19"/>
        <v>565.25</v>
      </c>
      <c r="K15" s="58">
        <f t="shared" ref="K15:BV15" si="22">IF(K$1&lt;$F15,$I15*(($F15-K$1)/$F15),0)</f>
        <v>560.5</v>
      </c>
      <c r="L15" s="58">
        <f t="shared" si="22"/>
        <v>555.75</v>
      </c>
      <c r="M15" s="58">
        <f t="shared" si="22"/>
        <v>551</v>
      </c>
      <c r="N15" s="58">
        <f t="shared" si="22"/>
        <v>546.25</v>
      </c>
      <c r="O15" s="58">
        <f t="shared" si="22"/>
        <v>541.5</v>
      </c>
      <c r="P15" s="58">
        <f t="shared" si="22"/>
        <v>536.75</v>
      </c>
      <c r="Q15" s="58">
        <f t="shared" si="22"/>
        <v>532</v>
      </c>
      <c r="R15" s="58">
        <f t="shared" si="22"/>
        <v>527.25</v>
      </c>
      <c r="S15" s="58">
        <f t="shared" si="22"/>
        <v>522.5</v>
      </c>
      <c r="T15" s="58">
        <f t="shared" si="22"/>
        <v>517.75</v>
      </c>
      <c r="U15" s="58">
        <f t="shared" si="22"/>
        <v>513</v>
      </c>
      <c r="V15" s="58">
        <f t="shared" si="22"/>
        <v>508.25000000000006</v>
      </c>
      <c r="W15" s="58">
        <f t="shared" si="22"/>
        <v>503.5</v>
      </c>
      <c r="X15" s="58">
        <f t="shared" si="22"/>
        <v>498.75</v>
      </c>
      <c r="Y15" s="58">
        <f t="shared" si="22"/>
        <v>494</v>
      </c>
      <c r="Z15" s="58">
        <f t="shared" si="22"/>
        <v>489.24999999999994</v>
      </c>
      <c r="AA15" s="58">
        <f t="shared" si="22"/>
        <v>484.5</v>
      </c>
      <c r="AB15" s="58">
        <f t="shared" si="22"/>
        <v>479.75</v>
      </c>
      <c r="AC15" s="58">
        <f t="shared" si="22"/>
        <v>475</v>
      </c>
      <c r="AD15" s="58">
        <f t="shared" si="22"/>
        <v>470.25</v>
      </c>
      <c r="AE15" s="58">
        <f t="shared" si="22"/>
        <v>465.5</v>
      </c>
      <c r="AF15" s="58">
        <f t="shared" si="22"/>
        <v>460.75</v>
      </c>
      <c r="AG15" s="58">
        <f t="shared" si="22"/>
        <v>456</v>
      </c>
      <c r="AH15" s="58">
        <f t="shared" si="22"/>
        <v>451.25</v>
      </c>
      <c r="AI15" s="58">
        <f t="shared" si="22"/>
        <v>446.5</v>
      </c>
      <c r="AJ15" s="58">
        <f t="shared" si="22"/>
        <v>441.75</v>
      </c>
      <c r="AK15" s="58">
        <f t="shared" si="22"/>
        <v>437.00000000000006</v>
      </c>
      <c r="AL15" s="58">
        <f t="shared" si="22"/>
        <v>432.25</v>
      </c>
      <c r="AM15" s="58">
        <f t="shared" si="22"/>
        <v>427.5</v>
      </c>
      <c r="AN15" s="58">
        <f t="shared" si="22"/>
        <v>422.75</v>
      </c>
      <c r="AO15" s="58">
        <f t="shared" si="22"/>
        <v>417.99999999999994</v>
      </c>
      <c r="AP15" s="58">
        <f t="shared" si="22"/>
        <v>413.25</v>
      </c>
      <c r="AQ15" s="58">
        <f t="shared" si="22"/>
        <v>408.5</v>
      </c>
      <c r="AR15" s="58">
        <f t="shared" si="22"/>
        <v>403.75</v>
      </c>
      <c r="AS15" s="58">
        <f t="shared" si="22"/>
        <v>399</v>
      </c>
      <c r="AT15" s="58">
        <f t="shared" si="22"/>
        <v>394.25</v>
      </c>
      <c r="AU15" s="58">
        <f t="shared" si="22"/>
        <v>389.5</v>
      </c>
      <c r="AV15" s="58">
        <f t="shared" si="22"/>
        <v>384.75</v>
      </c>
      <c r="AW15" s="58">
        <f t="shared" si="22"/>
        <v>380</v>
      </c>
      <c r="AX15" s="58">
        <f t="shared" si="22"/>
        <v>375.25</v>
      </c>
      <c r="AY15" s="58">
        <f t="shared" si="22"/>
        <v>370.5</v>
      </c>
      <c r="AZ15" s="58">
        <f t="shared" si="22"/>
        <v>365.75000000000006</v>
      </c>
      <c r="BA15" s="58">
        <f t="shared" si="22"/>
        <v>361</v>
      </c>
      <c r="BB15" s="58">
        <f t="shared" si="22"/>
        <v>356.25</v>
      </c>
      <c r="BC15" s="58">
        <f t="shared" si="22"/>
        <v>351.5</v>
      </c>
      <c r="BD15" s="58">
        <f t="shared" si="22"/>
        <v>346.74999999999994</v>
      </c>
      <c r="BE15" s="58">
        <f t="shared" si="22"/>
        <v>342</v>
      </c>
      <c r="BF15" s="58">
        <f t="shared" si="22"/>
        <v>337.25</v>
      </c>
      <c r="BG15" s="58">
        <f t="shared" si="22"/>
        <v>332.5</v>
      </c>
      <c r="BH15" s="58">
        <f t="shared" si="22"/>
        <v>327.75</v>
      </c>
      <c r="BI15" s="58">
        <f t="shared" si="22"/>
        <v>323</v>
      </c>
      <c r="BJ15" s="58">
        <f t="shared" si="22"/>
        <v>318.25</v>
      </c>
      <c r="BK15" s="58">
        <f t="shared" si="22"/>
        <v>313.5</v>
      </c>
      <c r="BL15" s="58">
        <f t="shared" si="22"/>
        <v>308.75</v>
      </c>
      <c r="BM15" s="58">
        <f t="shared" si="22"/>
        <v>304</v>
      </c>
      <c r="BN15" s="58">
        <f t="shared" si="22"/>
        <v>299.25</v>
      </c>
      <c r="BO15" s="58">
        <f t="shared" si="22"/>
        <v>294.50000000000006</v>
      </c>
      <c r="BP15" s="58">
        <f t="shared" si="22"/>
        <v>289.75</v>
      </c>
      <c r="BQ15" s="58">
        <f t="shared" si="22"/>
        <v>285</v>
      </c>
      <c r="BR15" s="58">
        <f t="shared" si="22"/>
        <v>280.25</v>
      </c>
      <c r="BS15" s="58">
        <f t="shared" si="22"/>
        <v>275.5</v>
      </c>
      <c r="BT15" s="58">
        <f t="shared" si="22"/>
        <v>270.75</v>
      </c>
      <c r="BU15" s="58">
        <f t="shared" si="22"/>
        <v>266</v>
      </c>
      <c r="BV15" s="58">
        <f t="shared" si="22"/>
        <v>261.25</v>
      </c>
      <c r="BW15" s="58">
        <f t="shared" si="20"/>
        <v>256.5</v>
      </c>
      <c r="BX15" s="58">
        <f t="shared" si="20"/>
        <v>251.75</v>
      </c>
      <c r="BY15" s="58">
        <f t="shared" si="20"/>
        <v>247</v>
      </c>
      <c r="BZ15" s="58">
        <f t="shared" si="20"/>
        <v>242.25</v>
      </c>
      <c r="CA15" s="58">
        <f t="shared" si="20"/>
        <v>237.5</v>
      </c>
      <c r="CB15" s="58">
        <f t="shared" si="20"/>
        <v>232.75</v>
      </c>
      <c r="CC15" s="58">
        <f t="shared" si="20"/>
        <v>228</v>
      </c>
      <c r="CD15" s="58">
        <f t="shared" si="20"/>
        <v>223.25</v>
      </c>
      <c r="CE15" s="58">
        <f t="shared" si="20"/>
        <v>218.50000000000003</v>
      </c>
      <c r="CF15" s="58">
        <f t="shared" si="20"/>
        <v>213.75</v>
      </c>
      <c r="CG15" s="58">
        <f t="shared" si="20"/>
        <v>208.99999999999997</v>
      </c>
      <c r="CH15" s="58">
        <f t="shared" si="20"/>
        <v>204.25</v>
      </c>
      <c r="CI15" s="58">
        <f t="shared" si="20"/>
        <v>199.5</v>
      </c>
      <c r="CJ15" s="58">
        <f t="shared" si="20"/>
        <v>194.75</v>
      </c>
      <c r="CK15" s="58">
        <f t="shared" si="20"/>
        <v>190</v>
      </c>
      <c r="CL15" s="58">
        <f t="shared" si="21"/>
        <v>185.25</v>
      </c>
      <c r="CM15" s="58">
        <f t="shared" si="21"/>
        <v>180.5</v>
      </c>
      <c r="CN15" s="58">
        <f t="shared" si="21"/>
        <v>175.75</v>
      </c>
      <c r="CO15" s="58">
        <f t="shared" si="21"/>
        <v>171</v>
      </c>
      <c r="CP15" s="58">
        <f t="shared" si="21"/>
        <v>166.25</v>
      </c>
      <c r="CQ15" s="58">
        <f t="shared" si="21"/>
        <v>161.5</v>
      </c>
      <c r="CR15" s="58">
        <f t="shared" si="21"/>
        <v>156.75</v>
      </c>
      <c r="CS15" s="58">
        <f t="shared" si="21"/>
        <v>152</v>
      </c>
      <c r="CT15" s="58">
        <f t="shared" si="21"/>
        <v>147.25000000000003</v>
      </c>
      <c r="CU15" s="58">
        <f t="shared" si="21"/>
        <v>142.5</v>
      </c>
      <c r="CV15" s="58">
        <f t="shared" si="21"/>
        <v>137.75</v>
      </c>
      <c r="CW15" s="58">
        <f t="shared" si="21"/>
        <v>133</v>
      </c>
      <c r="CX15" s="58">
        <f t="shared" si="21"/>
        <v>128.25</v>
      </c>
      <c r="CY15" s="58">
        <f t="shared" si="21"/>
        <v>123.5</v>
      </c>
      <c r="CZ15" s="58">
        <f t="shared" si="21"/>
        <v>118.75</v>
      </c>
      <c r="DA15" s="58">
        <f t="shared" si="21"/>
        <v>114</v>
      </c>
      <c r="DB15" s="58">
        <f t="shared" si="21"/>
        <v>109.25000000000001</v>
      </c>
      <c r="DC15" s="58">
        <f t="shared" si="21"/>
        <v>104.49999999999999</v>
      </c>
      <c r="DD15" s="58">
        <f t="shared" si="21"/>
        <v>99.75</v>
      </c>
      <c r="DE15" s="58">
        <f t="shared" si="21"/>
        <v>95</v>
      </c>
      <c r="DF15" s="58">
        <f t="shared" si="21"/>
        <v>90.25</v>
      </c>
      <c r="DG15" s="58">
        <f t="shared" si="21"/>
        <v>85.5</v>
      </c>
      <c r="DH15" s="58">
        <f t="shared" si="21"/>
        <v>80.75</v>
      </c>
      <c r="DI15" s="58">
        <f t="shared" si="21"/>
        <v>76</v>
      </c>
      <c r="DJ15" s="58">
        <f t="shared" si="21"/>
        <v>71.25</v>
      </c>
      <c r="DK15" s="58">
        <f t="shared" si="21"/>
        <v>66.5</v>
      </c>
      <c r="DL15" s="58">
        <f t="shared" si="21"/>
        <v>61.75</v>
      </c>
      <c r="DM15" s="58">
        <f t="shared" si="21"/>
        <v>57</v>
      </c>
      <c r="DN15" s="58">
        <f t="shared" si="21"/>
        <v>52.249999999999993</v>
      </c>
      <c r="DO15" s="58">
        <f t="shared" si="21"/>
        <v>47.5</v>
      </c>
      <c r="DP15" s="58">
        <f t="shared" si="21"/>
        <v>42.75</v>
      </c>
      <c r="DQ15" s="58">
        <f t="shared" si="21"/>
        <v>38</v>
      </c>
      <c r="DR15" s="58">
        <f t="shared" si="21"/>
        <v>33.25</v>
      </c>
      <c r="DS15" s="58">
        <f t="shared" si="21"/>
        <v>28.5</v>
      </c>
      <c r="DT15" s="58">
        <f t="shared" si="21"/>
        <v>23.75</v>
      </c>
      <c r="DU15" s="58">
        <f t="shared" si="21"/>
        <v>19</v>
      </c>
      <c r="DV15" s="58">
        <f t="shared" si="21"/>
        <v>14.25</v>
      </c>
      <c r="DW15" s="58">
        <f t="shared" si="21"/>
        <v>9.5</v>
      </c>
      <c r="DX15" s="58">
        <f t="shared" si="21"/>
        <v>4.75</v>
      </c>
      <c r="DY15" s="58">
        <f t="shared" si="21"/>
        <v>0</v>
      </c>
    </row>
    <row r="16" spans="1:129" x14ac:dyDescent="0.45">
      <c r="A16" s="3">
        <v>46022</v>
      </c>
      <c r="B16" s="2" t="s">
        <v>0</v>
      </c>
      <c r="C16" s="8" t="s">
        <v>14</v>
      </c>
      <c r="D16" s="16"/>
      <c r="E16" s="54"/>
      <c r="F16" s="54"/>
      <c r="G16" s="54"/>
      <c r="H16" s="54"/>
      <c r="I16" s="15">
        <f>I3+I6+I9+I13+I14+I15</f>
        <v>155592.38798</v>
      </c>
      <c r="J16" s="15">
        <f>J3+J6+J9+SUM(J13:J15)</f>
        <v>71811.301543997717</v>
      </c>
      <c r="K16" s="15">
        <f>K3+K6+K9+SUM(K13:K15)</f>
        <v>63693.664574238886</v>
      </c>
      <c r="L16" s="15">
        <f t="shared" ref="L16:BW16" si="23">L3+L6+L9+SUM(L13:L15)</f>
        <v>55562.805626292131</v>
      </c>
      <c r="M16" s="15">
        <f t="shared" si="23"/>
        <v>47418.689160415153</v>
      </c>
      <c r="N16" s="15">
        <f t="shared" si="23"/>
        <v>39261.27954129823</v>
      </c>
      <c r="O16" s="15">
        <f t="shared" si="23"/>
        <v>31090.541037807205</v>
      </c>
      <c r="P16" s="15">
        <f t="shared" si="23"/>
        <v>26087.483489392187</v>
      </c>
      <c r="Q16" s="15">
        <f t="shared" si="23"/>
        <v>21071.025305829091</v>
      </c>
      <c r="R16" s="15">
        <f t="shared" si="23"/>
        <v>16041.130466960398</v>
      </c>
      <c r="S16" s="15">
        <f t="shared" si="23"/>
        <v>10997.762855768591</v>
      </c>
      <c r="T16" s="15">
        <f t="shared" si="23"/>
        <v>10976.027679951638</v>
      </c>
      <c r="U16" s="15">
        <f t="shared" si="23"/>
        <v>2033.5992839129542</v>
      </c>
      <c r="V16" s="15">
        <f t="shared" si="23"/>
        <v>2011.8195779512964</v>
      </c>
      <c r="W16" s="15">
        <f t="shared" si="23"/>
        <v>1990.017472003306</v>
      </c>
      <c r="X16" s="15">
        <f t="shared" si="23"/>
        <v>1968.1928756420459</v>
      </c>
      <c r="Y16" s="15">
        <f t="shared" si="23"/>
        <v>1946.3456980755332</v>
      </c>
      <c r="Z16" s="15">
        <f t="shared" si="23"/>
        <v>1924.4758481452645</v>
      </c>
      <c r="AA16" s="15">
        <f t="shared" si="23"/>
        <v>1902.5832343247371</v>
      </c>
      <c r="AB16" s="15">
        <f t="shared" si="23"/>
        <v>1880.6677647179624</v>
      </c>
      <c r="AC16" s="15">
        <f t="shared" si="23"/>
        <v>1858.7293470579766</v>
      </c>
      <c r="AD16" s="15">
        <f t="shared" si="23"/>
        <v>1836.7678887053403</v>
      </c>
      <c r="AE16" s="15">
        <f t="shared" si="23"/>
        <v>1814.7832966466369</v>
      </c>
      <c r="AF16" s="15">
        <f t="shared" si="23"/>
        <v>1792.7754774929617</v>
      </c>
      <c r="AG16" s="15">
        <f t="shared" si="23"/>
        <v>1770.7443374784075</v>
      </c>
      <c r="AH16" s="15">
        <f t="shared" si="23"/>
        <v>1748.6897824585399</v>
      </c>
      <c r="AI16" s="15">
        <f t="shared" si="23"/>
        <v>1726.6117179088728</v>
      </c>
      <c r="AJ16" s="15">
        <f t="shared" si="23"/>
        <v>1704.5100489233316</v>
      </c>
      <c r="AK16" s="15">
        <f t="shared" si="23"/>
        <v>1682.3846802127132</v>
      </c>
      <c r="AL16" s="15">
        <f t="shared" si="23"/>
        <v>1660.2355161031403</v>
      </c>
      <c r="AM16" s="15">
        <f t="shared" si="23"/>
        <v>1638.0624605345074</v>
      </c>
      <c r="AN16" s="15">
        <f t="shared" si="23"/>
        <v>1615.8654170589225</v>
      </c>
      <c r="AO16" s="15">
        <f t="shared" si="23"/>
        <v>1593.6442888391412</v>
      </c>
      <c r="AP16" s="15">
        <f t="shared" si="23"/>
        <v>1571.3989786469949</v>
      </c>
      <c r="AQ16" s="15">
        <f t="shared" si="23"/>
        <v>1549.1293888618125</v>
      </c>
      <c r="AR16" s="15">
        <f t="shared" si="23"/>
        <v>1526.8354214688366</v>
      </c>
      <c r="AS16" s="15">
        <f t="shared" si="23"/>
        <v>1504.5169780576307</v>
      </c>
      <c r="AT16" s="15">
        <f t="shared" si="23"/>
        <v>1482.1739598204861</v>
      </c>
      <c r="AU16" s="15">
        <f t="shared" si="23"/>
        <v>1459.8062675508124</v>
      </c>
      <c r="AV16" s="15">
        <f t="shared" si="23"/>
        <v>1437.4138016415322</v>
      </c>
      <c r="AW16" s="15">
        <f t="shared" si="23"/>
        <v>1414.9964620834617</v>
      </c>
      <c r="AX16" s="15">
        <f t="shared" si="23"/>
        <v>1392.5541484636876</v>
      </c>
      <c r="AY16" s="15">
        <f t="shared" si="23"/>
        <v>1370.0867599639384</v>
      </c>
      <c r="AZ16" s="15">
        <f t="shared" si="23"/>
        <v>1347.5941953589477</v>
      </c>
      <c r="BA16" s="15">
        <f t="shared" si="23"/>
        <v>1325.0763530148095</v>
      </c>
      <c r="BB16" s="15">
        <f t="shared" si="23"/>
        <v>1302.5331308873315</v>
      </c>
      <c r="BC16" s="15">
        <f t="shared" si="23"/>
        <v>1279.9644265203763</v>
      </c>
      <c r="BD16" s="15">
        <f t="shared" si="23"/>
        <v>1257.3701370441993</v>
      </c>
      <c r="BE16" s="15">
        <f t="shared" si="23"/>
        <v>1234.75015917378</v>
      </c>
      <c r="BF16" s="15">
        <f t="shared" si="23"/>
        <v>1212.1043892071432</v>
      </c>
      <c r="BG16" s="15">
        <f t="shared" si="23"/>
        <v>1189.4327230236786</v>
      </c>
      <c r="BH16" s="15">
        <f t="shared" si="23"/>
        <v>1166.735056082448</v>
      </c>
      <c r="BI16" s="15">
        <f t="shared" si="23"/>
        <v>1144.0112834204911</v>
      </c>
      <c r="BJ16" s="15">
        <f t="shared" si="23"/>
        <v>1121.2612996511195</v>
      </c>
      <c r="BK16" s="15">
        <f t="shared" si="23"/>
        <v>1098.4849989622085</v>
      </c>
      <c r="BL16" s="15">
        <f t="shared" si="23"/>
        <v>1075.6822751144775</v>
      </c>
      <c r="BM16" s="15">
        <f t="shared" si="23"/>
        <v>1052.853021439767</v>
      </c>
      <c r="BN16" s="15">
        <f t="shared" si="23"/>
        <v>1029.9971308393058</v>
      </c>
      <c r="BO16" s="15">
        <f t="shared" si="23"/>
        <v>1007.1144957819749</v>
      </c>
      <c r="BP16" s="15">
        <f t="shared" si="23"/>
        <v>984.20500830255969</v>
      </c>
      <c r="BQ16" s="15">
        <f t="shared" si="23"/>
        <v>961.26855999999998</v>
      </c>
      <c r="BR16" s="15">
        <f t="shared" si="23"/>
        <v>945.71408399999996</v>
      </c>
      <c r="BS16" s="15">
        <f t="shared" si="23"/>
        <v>930.15960799999993</v>
      </c>
      <c r="BT16" s="15">
        <f t="shared" si="23"/>
        <v>914.60513199999991</v>
      </c>
      <c r="BU16" s="15">
        <f t="shared" si="23"/>
        <v>899.050656</v>
      </c>
      <c r="BV16" s="15">
        <f t="shared" si="23"/>
        <v>883.49617999999987</v>
      </c>
      <c r="BW16" s="15">
        <f t="shared" si="23"/>
        <v>867.94170399999996</v>
      </c>
      <c r="BX16" s="15">
        <f t="shared" ref="BX16:DY16" si="24">BX3+BX6+BX9+SUM(BX13:BX15)</f>
        <v>852.38722800000005</v>
      </c>
      <c r="BY16" s="15">
        <f t="shared" si="24"/>
        <v>836.83275199999991</v>
      </c>
      <c r="BZ16" s="15">
        <f t="shared" si="24"/>
        <v>821.27827600000001</v>
      </c>
      <c r="CA16" s="15">
        <f t="shared" si="24"/>
        <v>805.72379999999998</v>
      </c>
      <c r="CB16" s="15">
        <f t="shared" si="24"/>
        <v>790.16932399999996</v>
      </c>
      <c r="CC16" s="15">
        <f t="shared" si="24"/>
        <v>774.61484799999994</v>
      </c>
      <c r="CD16" s="15">
        <f t="shared" si="24"/>
        <v>759.06037199999992</v>
      </c>
      <c r="CE16" s="15">
        <f t="shared" si="24"/>
        <v>743.50589600000012</v>
      </c>
      <c r="CF16" s="15">
        <f t="shared" si="24"/>
        <v>727.95141999999998</v>
      </c>
      <c r="CG16" s="15">
        <f t="shared" si="24"/>
        <v>712.39694399999985</v>
      </c>
      <c r="CH16" s="15">
        <f t="shared" si="24"/>
        <v>696.84246800000005</v>
      </c>
      <c r="CI16" s="15">
        <f t="shared" si="24"/>
        <v>681.28799200000003</v>
      </c>
      <c r="CJ16" s="15">
        <f t="shared" si="24"/>
        <v>665.73351600000001</v>
      </c>
      <c r="CK16" s="15">
        <f t="shared" si="24"/>
        <v>650.17903999999999</v>
      </c>
      <c r="CL16" s="15">
        <f t="shared" si="24"/>
        <v>634.62456399999996</v>
      </c>
      <c r="CM16" s="15">
        <f t="shared" si="24"/>
        <v>619.07008799999994</v>
      </c>
      <c r="CN16" s="15">
        <f t="shared" si="24"/>
        <v>603.51561200000003</v>
      </c>
      <c r="CO16" s="15">
        <f t="shared" si="24"/>
        <v>559.96113600000001</v>
      </c>
      <c r="CP16" s="15">
        <f t="shared" si="24"/>
        <v>544.40665999999999</v>
      </c>
      <c r="CQ16" s="15">
        <f t="shared" si="24"/>
        <v>528.85218400000008</v>
      </c>
      <c r="CR16" s="15">
        <f t="shared" si="24"/>
        <v>513.29770800000006</v>
      </c>
      <c r="CS16" s="15">
        <f t="shared" si="24"/>
        <v>497.74323199999998</v>
      </c>
      <c r="CT16" s="15">
        <f t="shared" si="24"/>
        <v>482.18875600000001</v>
      </c>
      <c r="CU16" s="15">
        <f t="shared" si="24"/>
        <v>466.63427999999999</v>
      </c>
      <c r="CV16" s="15">
        <f t="shared" si="24"/>
        <v>451.07980399999997</v>
      </c>
      <c r="CW16" s="15">
        <f t="shared" si="24"/>
        <v>435.525328</v>
      </c>
      <c r="CX16" s="15">
        <f t="shared" si="24"/>
        <v>419.97085199999998</v>
      </c>
      <c r="CY16" s="15">
        <f t="shared" si="24"/>
        <v>404.41637599999996</v>
      </c>
      <c r="CZ16" s="15">
        <f t="shared" si="24"/>
        <v>388.86189999999999</v>
      </c>
      <c r="DA16" s="15">
        <f t="shared" si="24"/>
        <v>373.30742399999997</v>
      </c>
      <c r="DB16" s="15">
        <f t="shared" si="24"/>
        <v>357.752948</v>
      </c>
      <c r="DC16" s="15">
        <f t="shared" si="24"/>
        <v>342.19847199999998</v>
      </c>
      <c r="DD16" s="15">
        <f t="shared" si="24"/>
        <v>326.64399600000002</v>
      </c>
      <c r="DE16" s="15">
        <f t="shared" si="24"/>
        <v>311.08951999999999</v>
      </c>
      <c r="DF16" s="15">
        <f t="shared" si="24"/>
        <v>295.53504399999997</v>
      </c>
      <c r="DG16" s="15">
        <f t="shared" si="24"/>
        <v>279.98056800000001</v>
      </c>
      <c r="DH16" s="15">
        <f t="shared" si="24"/>
        <v>264.42609200000004</v>
      </c>
      <c r="DI16" s="15">
        <f t="shared" si="24"/>
        <v>248.87161599999999</v>
      </c>
      <c r="DJ16" s="15">
        <f t="shared" si="24"/>
        <v>233.31713999999999</v>
      </c>
      <c r="DK16" s="15">
        <f t="shared" si="24"/>
        <v>217.762664</v>
      </c>
      <c r="DL16" s="15">
        <f t="shared" si="24"/>
        <v>202.20818799999998</v>
      </c>
      <c r="DM16" s="15">
        <f t="shared" si="24"/>
        <v>186.65371199999998</v>
      </c>
      <c r="DN16" s="15">
        <f t="shared" si="24"/>
        <v>171.09923599999999</v>
      </c>
      <c r="DO16" s="15">
        <f t="shared" si="24"/>
        <v>155.54476</v>
      </c>
      <c r="DP16" s="15">
        <f t="shared" si="24"/>
        <v>139.990284</v>
      </c>
      <c r="DQ16" s="15">
        <f t="shared" si="24"/>
        <v>124.43580799999999</v>
      </c>
      <c r="DR16" s="15">
        <f t="shared" si="24"/>
        <v>108.881332</v>
      </c>
      <c r="DS16" s="15">
        <f t="shared" si="24"/>
        <v>93.326855999999992</v>
      </c>
      <c r="DT16" s="15">
        <f t="shared" si="24"/>
        <v>77.772379999999998</v>
      </c>
      <c r="DU16" s="15">
        <f t="shared" si="24"/>
        <v>62.217903999999997</v>
      </c>
      <c r="DV16" s="15">
        <f t="shared" si="24"/>
        <v>46.663427999999996</v>
      </c>
      <c r="DW16" s="15">
        <f t="shared" si="24"/>
        <v>31.108951999999999</v>
      </c>
      <c r="DX16" s="15">
        <f t="shared" si="24"/>
        <v>15.554475999999999</v>
      </c>
      <c r="DY16" s="15">
        <f t="shared" si="24"/>
        <v>0</v>
      </c>
    </row>
    <row r="17" spans="1:129" x14ac:dyDescent="0.45">
      <c r="A17" s="3">
        <v>46022</v>
      </c>
      <c r="B17" s="2" t="s">
        <v>19</v>
      </c>
      <c r="C17" s="4" t="s">
        <v>20</v>
      </c>
      <c r="D17" s="16"/>
      <c r="E17" s="54"/>
      <c r="F17" s="54"/>
      <c r="G17" s="54"/>
      <c r="H17" s="54"/>
      <c r="I17" s="13">
        <f>I18+I19</f>
        <v>74095.3</v>
      </c>
      <c r="J17" s="58">
        <f>SUM(J18:J19)</f>
        <v>73528.240000000005</v>
      </c>
      <c r="K17" s="58">
        <f t="shared" ref="K17:BV17" si="25">SUM(K18:K19)</f>
        <v>73150.200000000012</v>
      </c>
      <c r="L17" s="58">
        <f t="shared" si="25"/>
        <v>72772.160000000003</v>
      </c>
      <c r="M17" s="58">
        <f t="shared" si="25"/>
        <v>72394.12000000001</v>
      </c>
      <c r="N17" s="58">
        <f t="shared" si="25"/>
        <v>72205.100000000006</v>
      </c>
      <c r="O17" s="58">
        <f t="shared" si="25"/>
        <v>72205.100000000006</v>
      </c>
      <c r="P17" s="58">
        <f t="shared" si="25"/>
        <v>72205.100000000006</v>
      </c>
      <c r="Q17" s="58">
        <f t="shared" si="25"/>
        <v>72205.100000000006</v>
      </c>
      <c r="R17" s="58">
        <f t="shared" si="25"/>
        <v>72205.100000000006</v>
      </c>
      <c r="S17" s="58">
        <f t="shared" si="25"/>
        <v>72205.100000000006</v>
      </c>
      <c r="T17" s="58">
        <f t="shared" si="25"/>
        <v>72205.100000000006</v>
      </c>
      <c r="U17" s="58">
        <f t="shared" si="25"/>
        <v>72205.100000000006</v>
      </c>
      <c r="V17" s="58">
        <f t="shared" si="25"/>
        <v>72205.100000000006</v>
      </c>
      <c r="W17" s="58">
        <f t="shared" si="25"/>
        <v>72205.100000000006</v>
      </c>
      <c r="X17" s="58">
        <f t="shared" si="25"/>
        <v>72205.100000000006</v>
      </c>
      <c r="Y17" s="58">
        <f t="shared" si="25"/>
        <v>72205.100000000006</v>
      </c>
      <c r="Z17" s="58">
        <f t="shared" si="25"/>
        <v>72205.100000000006</v>
      </c>
      <c r="AA17" s="58">
        <f t="shared" si="25"/>
        <v>72205.100000000006</v>
      </c>
      <c r="AB17" s="58">
        <f t="shared" si="25"/>
        <v>72205.100000000006</v>
      </c>
      <c r="AC17" s="58">
        <f t="shared" si="25"/>
        <v>72205.100000000006</v>
      </c>
      <c r="AD17" s="58">
        <f t="shared" si="25"/>
        <v>72205.100000000006</v>
      </c>
      <c r="AE17" s="58">
        <f t="shared" si="25"/>
        <v>72205.100000000006</v>
      </c>
      <c r="AF17" s="58">
        <f t="shared" si="25"/>
        <v>72205.100000000006</v>
      </c>
      <c r="AG17" s="58">
        <f t="shared" si="25"/>
        <v>0</v>
      </c>
      <c r="AH17" s="58">
        <f t="shared" si="25"/>
        <v>0</v>
      </c>
      <c r="AI17" s="58">
        <f t="shared" si="25"/>
        <v>0</v>
      </c>
      <c r="AJ17" s="58">
        <f t="shared" si="25"/>
        <v>0</v>
      </c>
      <c r="AK17" s="58">
        <f t="shared" si="25"/>
        <v>0</v>
      </c>
      <c r="AL17" s="58">
        <f t="shared" si="25"/>
        <v>0</v>
      </c>
      <c r="AM17" s="58">
        <f t="shared" si="25"/>
        <v>0</v>
      </c>
      <c r="AN17" s="58">
        <f t="shared" si="25"/>
        <v>0</v>
      </c>
      <c r="AO17" s="58">
        <f t="shared" si="25"/>
        <v>0</v>
      </c>
      <c r="AP17" s="58">
        <f t="shared" si="25"/>
        <v>0</v>
      </c>
      <c r="AQ17" s="58">
        <f t="shared" si="25"/>
        <v>0</v>
      </c>
      <c r="AR17" s="58">
        <f t="shared" si="25"/>
        <v>0</v>
      </c>
      <c r="AS17" s="58">
        <f t="shared" si="25"/>
        <v>0</v>
      </c>
      <c r="AT17" s="58">
        <f t="shared" si="25"/>
        <v>0</v>
      </c>
      <c r="AU17" s="58">
        <f t="shared" si="25"/>
        <v>0</v>
      </c>
      <c r="AV17" s="58">
        <f t="shared" si="25"/>
        <v>0</v>
      </c>
      <c r="AW17" s="58">
        <f t="shared" si="25"/>
        <v>0</v>
      </c>
      <c r="AX17" s="58">
        <f t="shared" si="25"/>
        <v>0</v>
      </c>
      <c r="AY17" s="58">
        <f t="shared" si="25"/>
        <v>0</v>
      </c>
      <c r="AZ17" s="58">
        <f t="shared" si="25"/>
        <v>0</v>
      </c>
      <c r="BA17" s="58">
        <f t="shared" si="25"/>
        <v>0</v>
      </c>
      <c r="BB17" s="58">
        <f t="shared" si="25"/>
        <v>0</v>
      </c>
      <c r="BC17" s="58">
        <f t="shared" si="25"/>
        <v>0</v>
      </c>
      <c r="BD17" s="58">
        <f t="shared" si="25"/>
        <v>0</v>
      </c>
      <c r="BE17" s="58">
        <f t="shared" si="25"/>
        <v>0</v>
      </c>
      <c r="BF17" s="58">
        <f t="shared" si="25"/>
        <v>0</v>
      </c>
      <c r="BG17" s="58">
        <f t="shared" si="25"/>
        <v>0</v>
      </c>
      <c r="BH17" s="58">
        <f t="shared" si="25"/>
        <v>0</v>
      </c>
      <c r="BI17" s="58">
        <f t="shared" si="25"/>
        <v>0</v>
      </c>
      <c r="BJ17" s="58">
        <f t="shared" si="25"/>
        <v>0</v>
      </c>
      <c r="BK17" s="58">
        <f t="shared" si="25"/>
        <v>0</v>
      </c>
      <c r="BL17" s="58">
        <f t="shared" si="25"/>
        <v>0</v>
      </c>
      <c r="BM17" s="58">
        <f t="shared" si="25"/>
        <v>0</v>
      </c>
      <c r="BN17" s="58">
        <f t="shared" si="25"/>
        <v>0</v>
      </c>
      <c r="BO17" s="58">
        <f t="shared" si="25"/>
        <v>0</v>
      </c>
      <c r="BP17" s="58">
        <f t="shared" si="25"/>
        <v>0</v>
      </c>
      <c r="BQ17" s="58">
        <f t="shared" si="25"/>
        <v>0</v>
      </c>
      <c r="BR17" s="58">
        <f t="shared" si="25"/>
        <v>0</v>
      </c>
      <c r="BS17" s="58">
        <f t="shared" si="25"/>
        <v>0</v>
      </c>
      <c r="BT17" s="58">
        <f t="shared" si="25"/>
        <v>0</v>
      </c>
      <c r="BU17" s="58">
        <f t="shared" si="25"/>
        <v>0</v>
      </c>
      <c r="BV17" s="58">
        <f t="shared" si="25"/>
        <v>0</v>
      </c>
      <c r="BW17" s="58">
        <f t="shared" ref="BW17:DY17" si="26">SUM(BW18:BW19)</f>
        <v>0</v>
      </c>
      <c r="BX17" s="58">
        <f t="shared" si="26"/>
        <v>0</v>
      </c>
      <c r="BY17" s="58">
        <f t="shared" si="26"/>
        <v>0</v>
      </c>
      <c r="BZ17" s="58">
        <f t="shared" si="26"/>
        <v>0</v>
      </c>
      <c r="CA17" s="58">
        <f t="shared" si="26"/>
        <v>0</v>
      </c>
      <c r="CB17" s="58">
        <f t="shared" si="26"/>
        <v>0</v>
      </c>
      <c r="CC17" s="58">
        <f t="shared" si="26"/>
        <v>0</v>
      </c>
      <c r="CD17" s="58">
        <f t="shared" si="26"/>
        <v>0</v>
      </c>
      <c r="CE17" s="58">
        <f t="shared" si="26"/>
        <v>0</v>
      </c>
      <c r="CF17" s="58">
        <f t="shared" si="26"/>
        <v>0</v>
      </c>
      <c r="CG17" s="58">
        <f t="shared" si="26"/>
        <v>0</v>
      </c>
      <c r="CH17" s="58">
        <f t="shared" si="26"/>
        <v>0</v>
      </c>
      <c r="CI17" s="58">
        <f t="shared" si="26"/>
        <v>0</v>
      </c>
      <c r="CJ17" s="58">
        <f t="shared" si="26"/>
        <v>0</v>
      </c>
      <c r="CK17" s="58">
        <f t="shared" si="26"/>
        <v>0</v>
      </c>
      <c r="CL17" s="58">
        <f t="shared" si="26"/>
        <v>0</v>
      </c>
      <c r="CM17" s="58">
        <f t="shared" si="26"/>
        <v>0</v>
      </c>
      <c r="CN17" s="58">
        <f t="shared" si="26"/>
        <v>0</v>
      </c>
      <c r="CO17" s="58">
        <f t="shared" si="26"/>
        <v>0</v>
      </c>
      <c r="CP17" s="58">
        <f t="shared" si="26"/>
        <v>0</v>
      </c>
      <c r="CQ17" s="58">
        <f t="shared" si="26"/>
        <v>0</v>
      </c>
      <c r="CR17" s="58">
        <f t="shared" si="26"/>
        <v>0</v>
      </c>
      <c r="CS17" s="58">
        <f t="shared" si="26"/>
        <v>0</v>
      </c>
      <c r="CT17" s="58">
        <f t="shared" si="26"/>
        <v>0</v>
      </c>
      <c r="CU17" s="58">
        <f t="shared" si="26"/>
        <v>0</v>
      </c>
      <c r="CV17" s="58">
        <f t="shared" si="26"/>
        <v>0</v>
      </c>
      <c r="CW17" s="58">
        <f t="shared" si="26"/>
        <v>0</v>
      </c>
      <c r="CX17" s="58">
        <f t="shared" si="26"/>
        <v>0</v>
      </c>
      <c r="CY17" s="58">
        <f t="shared" si="26"/>
        <v>0</v>
      </c>
      <c r="CZ17" s="58">
        <f t="shared" si="26"/>
        <v>0</v>
      </c>
      <c r="DA17" s="58">
        <f t="shared" si="26"/>
        <v>0</v>
      </c>
      <c r="DB17" s="58">
        <f t="shared" si="26"/>
        <v>0</v>
      </c>
      <c r="DC17" s="58">
        <f t="shared" si="26"/>
        <v>0</v>
      </c>
      <c r="DD17" s="58">
        <f t="shared" si="26"/>
        <v>0</v>
      </c>
      <c r="DE17" s="58">
        <f t="shared" si="26"/>
        <v>0</v>
      </c>
      <c r="DF17" s="58">
        <f t="shared" si="26"/>
        <v>0</v>
      </c>
      <c r="DG17" s="58">
        <f t="shared" si="26"/>
        <v>0</v>
      </c>
      <c r="DH17" s="58">
        <f t="shared" si="26"/>
        <v>0</v>
      </c>
      <c r="DI17" s="58">
        <f t="shared" si="26"/>
        <v>0</v>
      </c>
      <c r="DJ17" s="58">
        <f t="shared" si="26"/>
        <v>0</v>
      </c>
      <c r="DK17" s="58">
        <f t="shared" si="26"/>
        <v>0</v>
      </c>
      <c r="DL17" s="58">
        <f t="shared" si="26"/>
        <v>0</v>
      </c>
      <c r="DM17" s="58">
        <f t="shared" si="26"/>
        <v>0</v>
      </c>
      <c r="DN17" s="58">
        <f t="shared" si="26"/>
        <v>0</v>
      </c>
      <c r="DO17" s="58">
        <f t="shared" si="26"/>
        <v>0</v>
      </c>
      <c r="DP17" s="58">
        <f t="shared" si="26"/>
        <v>0</v>
      </c>
      <c r="DQ17" s="58">
        <f t="shared" si="26"/>
        <v>0</v>
      </c>
      <c r="DR17" s="58">
        <f t="shared" si="26"/>
        <v>0</v>
      </c>
      <c r="DS17" s="58">
        <f t="shared" si="26"/>
        <v>0</v>
      </c>
      <c r="DT17" s="58">
        <f t="shared" si="26"/>
        <v>0</v>
      </c>
      <c r="DU17" s="58">
        <f t="shared" si="26"/>
        <v>0</v>
      </c>
      <c r="DV17" s="58">
        <f t="shared" si="26"/>
        <v>0</v>
      </c>
      <c r="DW17" s="58">
        <f t="shared" si="26"/>
        <v>0</v>
      </c>
      <c r="DX17" s="58">
        <f t="shared" si="26"/>
        <v>0</v>
      </c>
      <c r="DY17" s="58">
        <f t="shared" si="26"/>
        <v>0</v>
      </c>
    </row>
    <row r="18" spans="1:129" x14ac:dyDescent="0.45">
      <c r="A18" s="3">
        <v>46022</v>
      </c>
      <c r="B18" s="2" t="s">
        <v>19</v>
      </c>
      <c r="C18" s="6" t="s">
        <v>5</v>
      </c>
      <c r="D18" s="17">
        <v>0</v>
      </c>
      <c r="E18" s="2" t="s">
        <v>48</v>
      </c>
      <c r="F18" s="2">
        <v>4</v>
      </c>
      <c r="G18" s="2" t="s">
        <v>45</v>
      </c>
      <c r="H18" s="2">
        <v>4</v>
      </c>
      <c r="I18" s="14">
        <v>1890.2</v>
      </c>
      <c r="J18" s="55">
        <f>IF(J$1&lt;=$F18,$I18*(90%-(20%*J$1)),0)</f>
        <v>1323.1399999999999</v>
      </c>
      <c r="K18" s="55">
        <f t="shared" ref="K18:BV18" si="27">IF(K$1&lt;=$F18,$I18*(90%-(20%*K$1)),0)</f>
        <v>945.1</v>
      </c>
      <c r="L18" s="55">
        <f t="shared" si="27"/>
        <v>567.05999999999983</v>
      </c>
      <c r="M18" s="55">
        <f t="shared" si="27"/>
        <v>189.01999999999995</v>
      </c>
      <c r="N18" s="55">
        <f t="shared" si="27"/>
        <v>0</v>
      </c>
      <c r="O18" s="55">
        <f t="shared" si="27"/>
        <v>0</v>
      </c>
      <c r="P18" s="55">
        <f t="shared" si="27"/>
        <v>0</v>
      </c>
      <c r="Q18" s="55">
        <f t="shared" si="27"/>
        <v>0</v>
      </c>
      <c r="R18" s="55">
        <f t="shared" si="27"/>
        <v>0</v>
      </c>
      <c r="S18" s="55">
        <f t="shared" si="27"/>
        <v>0</v>
      </c>
      <c r="T18" s="55">
        <f t="shared" si="27"/>
        <v>0</v>
      </c>
      <c r="U18" s="55">
        <f t="shared" si="27"/>
        <v>0</v>
      </c>
      <c r="V18" s="55">
        <f t="shared" si="27"/>
        <v>0</v>
      </c>
      <c r="W18" s="55">
        <f t="shared" si="27"/>
        <v>0</v>
      </c>
      <c r="X18" s="55">
        <f t="shared" si="27"/>
        <v>0</v>
      </c>
      <c r="Y18" s="55">
        <f t="shared" si="27"/>
        <v>0</v>
      </c>
      <c r="Z18" s="55">
        <f t="shared" si="27"/>
        <v>0</v>
      </c>
      <c r="AA18" s="55">
        <f t="shared" si="27"/>
        <v>0</v>
      </c>
      <c r="AB18" s="55">
        <f t="shared" si="27"/>
        <v>0</v>
      </c>
      <c r="AC18" s="55">
        <f t="shared" si="27"/>
        <v>0</v>
      </c>
      <c r="AD18" s="55">
        <f t="shared" si="27"/>
        <v>0</v>
      </c>
      <c r="AE18" s="55">
        <f t="shared" si="27"/>
        <v>0</v>
      </c>
      <c r="AF18" s="55">
        <f t="shared" si="27"/>
        <v>0</v>
      </c>
      <c r="AG18" s="55">
        <f t="shared" si="27"/>
        <v>0</v>
      </c>
      <c r="AH18" s="55">
        <f t="shared" si="27"/>
        <v>0</v>
      </c>
      <c r="AI18" s="55">
        <f t="shared" si="27"/>
        <v>0</v>
      </c>
      <c r="AJ18" s="55">
        <f t="shared" si="27"/>
        <v>0</v>
      </c>
      <c r="AK18" s="55">
        <f t="shared" si="27"/>
        <v>0</v>
      </c>
      <c r="AL18" s="55">
        <f t="shared" si="27"/>
        <v>0</v>
      </c>
      <c r="AM18" s="55">
        <f t="shared" si="27"/>
        <v>0</v>
      </c>
      <c r="AN18" s="55">
        <f t="shared" si="27"/>
        <v>0</v>
      </c>
      <c r="AO18" s="55">
        <f t="shared" si="27"/>
        <v>0</v>
      </c>
      <c r="AP18" s="55">
        <f t="shared" si="27"/>
        <v>0</v>
      </c>
      <c r="AQ18" s="55">
        <f t="shared" si="27"/>
        <v>0</v>
      </c>
      <c r="AR18" s="55">
        <f t="shared" si="27"/>
        <v>0</v>
      </c>
      <c r="AS18" s="55">
        <f t="shared" si="27"/>
        <v>0</v>
      </c>
      <c r="AT18" s="55">
        <f t="shared" si="27"/>
        <v>0</v>
      </c>
      <c r="AU18" s="55">
        <f t="shared" si="27"/>
        <v>0</v>
      </c>
      <c r="AV18" s="55">
        <f t="shared" si="27"/>
        <v>0</v>
      </c>
      <c r="AW18" s="55">
        <f t="shared" si="27"/>
        <v>0</v>
      </c>
      <c r="AX18" s="55">
        <f t="shared" si="27"/>
        <v>0</v>
      </c>
      <c r="AY18" s="55">
        <f t="shared" si="27"/>
        <v>0</v>
      </c>
      <c r="AZ18" s="55">
        <f t="shared" si="27"/>
        <v>0</v>
      </c>
      <c r="BA18" s="55">
        <f t="shared" si="27"/>
        <v>0</v>
      </c>
      <c r="BB18" s="55">
        <f t="shared" si="27"/>
        <v>0</v>
      </c>
      <c r="BC18" s="55">
        <f t="shared" si="27"/>
        <v>0</v>
      </c>
      <c r="BD18" s="55">
        <f t="shared" si="27"/>
        <v>0</v>
      </c>
      <c r="BE18" s="55">
        <f t="shared" si="27"/>
        <v>0</v>
      </c>
      <c r="BF18" s="55">
        <f t="shared" si="27"/>
        <v>0</v>
      </c>
      <c r="BG18" s="55">
        <f t="shared" si="27"/>
        <v>0</v>
      </c>
      <c r="BH18" s="55">
        <f t="shared" si="27"/>
        <v>0</v>
      </c>
      <c r="BI18" s="55">
        <f t="shared" si="27"/>
        <v>0</v>
      </c>
      <c r="BJ18" s="55">
        <f t="shared" si="27"/>
        <v>0</v>
      </c>
      <c r="BK18" s="55">
        <f t="shared" si="27"/>
        <v>0</v>
      </c>
      <c r="BL18" s="55">
        <f t="shared" si="27"/>
        <v>0</v>
      </c>
      <c r="BM18" s="55">
        <f t="shared" si="27"/>
        <v>0</v>
      </c>
      <c r="BN18" s="55">
        <f t="shared" si="27"/>
        <v>0</v>
      </c>
      <c r="BO18" s="55">
        <f t="shared" si="27"/>
        <v>0</v>
      </c>
      <c r="BP18" s="55">
        <f t="shared" si="27"/>
        <v>0</v>
      </c>
      <c r="BQ18" s="55">
        <f t="shared" si="27"/>
        <v>0</v>
      </c>
      <c r="BR18" s="55">
        <f t="shared" si="27"/>
        <v>0</v>
      </c>
      <c r="BS18" s="55">
        <f t="shared" si="27"/>
        <v>0</v>
      </c>
      <c r="BT18" s="55">
        <f t="shared" si="27"/>
        <v>0</v>
      </c>
      <c r="BU18" s="55">
        <f t="shared" si="27"/>
        <v>0</v>
      </c>
      <c r="BV18" s="55">
        <f t="shared" si="27"/>
        <v>0</v>
      </c>
      <c r="BW18" s="55">
        <f t="shared" ref="BW18:DY18" si="28">IF(BW$1&lt;=$F18,$I18*(90%-(20%*BW$1)),0)</f>
        <v>0</v>
      </c>
      <c r="BX18" s="55">
        <f t="shared" si="28"/>
        <v>0</v>
      </c>
      <c r="BY18" s="55">
        <f t="shared" si="28"/>
        <v>0</v>
      </c>
      <c r="BZ18" s="55">
        <f t="shared" si="28"/>
        <v>0</v>
      </c>
      <c r="CA18" s="55">
        <f t="shared" si="28"/>
        <v>0</v>
      </c>
      <c r="CB18" s="55">
        <f t="shared" si="28"/>
        <v>0</v>
      </c>
      <c r="CC18" s="55">
        <f t="shared" si="28"/>
        <v>0</v>
      </c>
      <c r="CD18" s="55">
        <f t="shared" si="28"/>
        <v>0</v>
      </c>
      <c r="CE18" s="55">
        <f t="shared" si="28"/>
        <v>0</v>
      </c>
      <c r="CF18" s="55">
        <f t="shared" si="28"/>
        <v>0</v>
      </c>
      <c r="CG18" s="55">
        <f t="shared" si="28"/>
        <v>0</v>
      </c>
      <c r="CH18" s="55">
        <f t="shared" si="28"/>
        <v>0</v>
      </c>
      <c r="CI18" s="55">
        <f t="shared" si="28"/>
        <v>0</v>
      </c>
      <c r="CJ18" s="55">
        <f t="shared" si="28"/>
        <v>0</v>
      </c>
      <c r="CK18" s="55">
        <f t="shared" si="28"/>
        <v>0</v>
      </c>
      <c r="CL18" s="55">
        <f t="shared" si="28"/>
        <v>0</v>
      </c>
      <c r="CM18" s="55">
        <f t="shared" si="28"/>
        <v>0</v>
      </c>
      <c r="CN18" s="55">
        <f t="shared" si="28"/>
        <v>0</v>
      </c>
      <c r="CO18" s="55">
        <f t="shared" si="28"/>
        <v>0</v>
      </c>
      <c r="CP18" s="55">
        <f t="shared" si="28"/>
        <v>0</v>
      </c>
      <c r="CQ18" s="55">
        <f t="shared" si="28"/>
        <v>0</v>
      </c>
      <c r="CR18" s="55">
        <f t="shared" si="28"/>
        <v>0</v>
      </c>
      <c r="CS18" s="55">
        <f t="shared" si="28"/>
        <v>0</v>
      </c>
      <c r="CT18" s="55">
        <f t="shared" si="28"/>
        <v>0</v>
      </c>
      <c r="CU18" s="55">
        <f t="shared" si="28"/>
        <v>0</v>
      </c>
      <c r="CV18" s="55">
        <f t="shared" si="28"/>
        <v>0</v>
      </c>
      <c r="CW18" s="55">
        <f t="shared" si="28"/>
        <v>0</v>
      </c>
      <c r="CX18" s="55">
        <f t="shared" si="28"/>
        <v>0</v>
      </c>
      <c r="CY18" s="55">
        <f t="shared" si="28"/>
        <v>0</v>
      </c>
      <c r="CZ18" s="55">
        <f t="shared" si="28"/>
        <v>0</v>
      </c>
      <c r="DA18" s="55">
        <f t="shared" si="28"/>
        <v>0</v>
      </c>
      <c r="DB18" s="55">
        <f t="shared" si="28"/>
        <v>0</v>
      </c>
      <c r="DC18" s="55">
        <f t="shared" si="28"/>
        <v>0</v>
      </c>
      <c r="DD18" s="55">
        <f t="shared" si="28"/>
        <v>0</v>
      </c>
      <c r="DE18" s="55">
        <f t="shared" si="28"/>
        <v>0</v>
      </c>
      <c r="DF18" s="55">
        <f t="shared" si="28"/>
        <v>0</v>
      </c>
      <c r="DG18" s="55">
        <f t="shared" si="28"/>
        <v>0</v>
      </c>
      <c r="DH18" s="55">
        <f t="shared" si="28"/>
        <v>0</v>
      </c>
      <c r="DI18" s="55">
        <f t="shared" si="28"/>
        <v>0</v>
      </c>
      <c r="DJ18" s="55">
        <f t="shared" si="28"/>
        <v>0</v>
      </c>
      <c r="DK18" s="55">
        <f t="shared" si="28"/>
        <v>0</v>
      </c>
      <c r="DL18" s="55">
        <f t="shared" si="28"/>
        <v>0</v>
      </c>
      <c r="DM18" s="55">
        <f t="shared" si="28"/>
        <v>0</v>
      </c>
      <c r="DN18" s="55">
        <f t="shared" si="28"/>
        <v>0</v>
      </c>
      <c r="DO18" s="55">
        <f t="shared" si="28"/>
        <v>0</v>
      </c>
      <c r="DP18" s="55">
        <f t="shared" si="28"/>
        <v>0</v>
      </c>
      <c r="DQ18" s="55">
        <f t="shared" si="28"/>
        <v>0</v>
      </c>
      <c r="DR18" s="55">
        <f t="shared" si="28"/>
        <v>0</v>
      </c>
      <c r="DS18" s="55">
        <f t="shared" si="28"/>
        <v>0</v>
      </c>
      <c r="DT18" s="55">
        <f t="shared" si="28"/>
        <v>0</v>
      </c>
      <c r="DU18" s="55">
        <f t="shared" si="28"/>
        <v>0</v>
      </c>
      <c r="DV18" s="55">
        <f t="shared" si="28"/>
        <v>0</v>
      </c>
      <c r="DW18" s="55">
        <f t="shared" si="28"/>
        <v>0</v>
      </c>
      <c r="DX18" s="55">
        <f t="shared" si="28"/>
        <v>0</v>
      </c>
      <c r="DY18" s="55">
        <f t="shared" si="28"/>
        <v>0</v>
      </c>
    </row>
    <row r="19" spans="1:129" x14ac:dyDescent="0.45">
      <c r="A19" s="3">
        <v>46022</v>
      </c>
      <c r="B19" s="2" t="s">
        <v>19</v>
      </c>
      <c r="C19" s="6" t="s">
        <v>6</v>
      </c>
      <c r="D19" s="17">
        <v>1.3896500000000001E-2</v>
      </c>
      <c r="E19" s="2" t="s">
        <v>47</v>
      </c>
      <c r="F19" s="2">
        <v>24</v>
      </c>
      <c r="G19" s="2" t="s">
        <v>47</v>
      </c>
      <c r="H19" s="2">
        <v>24</v>
      </c>
      <c r="I19" s="14">
        <v>72205.100000000006</v>
      </c>
      <c r="J19" s="55">
        <f t="shared" ref="J19:BU19" si="29">IF(J$1&lt;$F19,$I19,0)</f>
        <v>72205.100000000006</v>
      </c>
      <c r="K19" s="55">
        <f t="shared" si="29"/>
        <v>72205.100000000006</v>
      </c>
      <c r="L19" s="55">
        <f t="shared" si="29"/>
        <v>72205.100000000006</v>
      </c>
      <c r="M19" s="55">
        <f t="shared" si="29"/>
        <v>72205.100000000006</v>
      </c>
      <c r="N19" s="55">
        <f t="shared" si="29"/>
        <v>72205.100000000006</v>
      </c>
      <c r="O19" s="55">
        <f t="shared" si="29"/>
        <v>72205.100000000006</v>
      </c>
      <c r="P19" s="55">
        <f t="shared" si="29"/>
        <v>72205.100000000006</v>
      </c>
      <c r="Q19" s="55">
        <f t="shared" si="29"/>
        <v>72205.100000000006</v>
      </c>
      <c r="R19" s="55">
        <f t="shared" si="29"/>
        <v>72205.100000000006</v>
      </c>
      <c r="S19" s="55">
        <f t="shared" si="29"/>
        <v>72205.100000000006</v>
      </c>
      <c r="T19" s="55">
        <f t="shared" si="29"/>
        <v>72205.100000000006</v>
      </c>
      <c r="U19" s="55">
        <f t="shared" si="29"/>
        <v>72205.100000000006</v>
      </c>
      <c r="V19" s="55">
        <f t="shared" si="29"/>
        <v>72205.100000000006</v>
      </c>
      <c r="W19" s="55">
        <f t="shared" si="29"/>
        <v>72205.100000000006</v>
      </c>
      <c r="X19" s="55">
        <f t="shared" si="29"/>
        <v>72205.100000000006</v>
      </c>
      <c r="Y19" s="55">
        <f t="shared" si="29"/>
        <v>72205.100000000006</v>
      </c>
      <c r="Z19" s="55">
        <f t="shared" si="29"/>
        <v>72205.100000000006</v>
      </c>
      <c r="AA19" s="55">
        <f t="shared" si="29"/>
        <v>72205.100000000006</v>
      </c>
      <c r="AB19" s="55">
        <f t="shared" si="29"/>
        <v>72205.100000000006</v>
      </c>
      <c r="AC19" s="55">
        <f t="shared" si="29"/>
        <v>72205.100000000006</v>
      </c>
      <c r="AD19" s="55">
        <f t="shared" si="29"/>
        <v>72205.100000000006</v>
      </c>
      <c r="AE19" s="55">
        <f t="shared" si="29"/>
        <v>72205.100000000006</v>
      </c>
      <c r="AF19" s="55">
        <f t="shared" si="29"/>
        <v>72205.100000000006</v>
      </c>
      <c r="AG19" s="55">
        <f t="shared" si="29"/>
        <v>0</v>
      </c>
      <c r="AH19" s="55">
        <f t="shared" si="29"/>
        <v>0</v>
      </c>
      <c r="AI19" s="55">
        <f t="shared" si="29"/>
        <v>0</v>
      </c>
      <c r="AJ19" s="55">
        <f t="shared" si="29"/>
        <v>0</v>
      </c>
      <c r="AK19" s="55">
        <f t="shared" si="29"/>
        <v>0</v>
      </c>
      <c r="AL19" s="55">
        <f t="shared" si="29"/>
        <v>0</v>
      </c>
      <c r="AM19" s="55">
        <f t="shared" si="29"/>
        <v>0</v>
      </c>
      <c r="AN19" s="55">
        <f t="shared" si="29"/>
        <v>0</v>
      </c>
      <c r="AO19" s="55">
        <f t="shared" si="29"/>
        <v>0</v>
      </c>
      <c r="AP19" s="55">
        <f t="shared" si="29"/>
        <v>0</v>
      </c>
      <c r="AQ19" s="55">
        <f t="shared" si="29"/>
        <v>0</v>
      </c>
      <c r="AR19" s="55">
        <f t="shared" si="29"/>
        <v>0</v>
      </c>
      <c r="AS19" s="55">
        <f t="shared" si="29"/>
        <v>0</v>
      </c>
      <c r="AT19" s="55">
        <f t="shared" si="29"/>
        <v>0</v>
      </c>
      <c r="AU19" s="55">
        <f t="shared" si="29"/>
        <v>0</v>
      </c>
      <c r="AV19" s="55">
        <f t="shared" si="29"/>
        <v>0</v>
      </c>
      <c r="AW19" s="55">
        <f t="shared" si="29"/>
        <v>0</v>
      </c>
      <c r="AX19" s="55">
        <f t="shared" si="29"/>
        <v>0</v>
      </c>
      <c r="AY19" s="55">
        <f t="shared" si="29"/>
        <v>0</v>
      </c>
      <c r="AZ19" s="55">
        <f t="shared" si="29"/>
        <v>0</v>
      </c>
      <c r="BA19" s="55">
        <f t="shared" si="29"/>
        <v>0</v>
      </c>
      <c r="BB19" s="55">
        <f t="shared" si="29"/>
        <v>0</v>
      </c>
      <c r="BC19" s="55">
        <f t="shared" si="29"/>
        <v>0</v>
      </c>
      <c r="BD19" s="55">
        <f t="shared" si="29"/>
        <v>0</v>
      </c>
      <c r="BE19" s="55">
        <f t="shared" si="29"/>
        <v>0</v>
      </c>
      <c r="BF19" s="55">
        <f t="shared" si="29"/>
        <v>0</v>
      </c>
      <c r="BG19" s="55">
        <f t="shared" si="29"/>
        <v>0</v>
      </c>
      <c r="BH19" s="55">
        <f t="shared" si="29"/>
        <v>0</v>
      </c>
      <c r="BI19" s="55">
        <f t="shared" si="29"/>
        <v>0</v>
      </c>
      <c r="BJ19" s="55">
        <f t="shared" si="29"/>
        <v>0</v>
      </c>
      <c r="BK19" s="55">
        <f t="shared" si="29"/>
        <v>0</v>
      </c>
      <c r="BL19" s="55">
        <f t="shared" si="29"/>
        <v>0</v>
      </c>
      <c r="BM19" s="55">
        <f t="shared" si="29"/>
        <v>0</v>
      </c>
      <c r="BN19" s="55">
        <f t="shared" si="29"/>
        <v>0</v>
      </c>
      <c r="BO19" s="55">
        <f t="shared" si="29"/>
        <v>0</v>
      </c>
      <c r="BP19" s="55">
        <f t="shared" si="29"/>
        <v>0</v>
      </c>
      <c r="BQ19" s="55">
        <f t="shared" si="29"/>
        <v>0</v>
      </c>
      <c r="BR19" s="55">
        <f t="shared" si="29"/>
        <v>0</v>
      </c>
      <c r="BS19" s="55">
        <f t="shared" si="29"/>
        <v>0</v>
      </c>
      <c r="BT19" s="55">
        <f t="shared" si="29"/>
        <v>0</v>
      </c>
      <c r="BU19" s="55">
        <f t="shared" si="29"/>
        <v>0</v>
      </c>
      <c r="BV19" s="55">
        <f t="shared" ref="BV19:DY19" si="30">IF(BV$1&lt;$F19,$I19,0)</f>
        <v>0</v>
      </c>
      <c r="BW19" s="55">
        <f t="shared" si="30"/>
        <v>0</v>
      </c>
      <c r="BX19" s="55">
        <f t="shared" si="30"/>
        <v>0</v>
      </c>
      <c r="BY19" s="55">
        <f t="shared" si="30"/>
        <v>0</v>
      </c>
      <c r="BZ19" s="55">
        <f t="shared" si="30"/>
        <v>0</v>
      </c>
      <c r="CA19" s="55">
        <f t="shared" si="30"/>
        <v>0</v>
      </c>
      <c r="CB19" s="55">
        <f t="shared" si="30"/>
        <v>0</v>
      </c>
      <c r="CC19" s="55">
        <f t="shared" si="30"/>
        <v>0</v>
      </c>
      <c r="CD19" s="55">
        <f t="shared" si="30"/>
        <v>0</v>
      </c>
      <c r="CE19" s="55">
        <f t="shared" si="30"/>
        <v>0</v>
      </c>
      <c r="CF19" s="55">
        <f t="shared" si="30"/>
        <v>0</v>
      </c>
      <c r="CG19" s="55">
        <f t="shared" si="30"/>
        <v>0</v>
      </c>
      <c r="CH19" s="55">
        <f t="shared" si="30"/>
        <v>0</v>
      </c>
      <c r="CI19" s="55">
        <f t="shared" si="30"/>
        <v>0</v>
      </c>
      <c r="CJ19" s="55">
        <f t="shared" si="30"/>
        <v>0</v>
      </c>
      <c r="CK19" s="55">
        <f t="shared" si="30"/>
        <v>0</v>
      </c>
      <c r="CL19" s="55">
        <f t="shared" si="30"/>
        <v>0</v>
      </c>
      <c r="CM19" s="55">
        <f t="shared" si="30"/>
        <v>0</v>
      </c>
      <c r="CN19" s="55">
        <f t="shared" si="30"/>
        <v>0</v>
      </c>
      <c r="CO19" s="55">
        <f t="shared" si="30"/>
        <v>0</v>
      </c>
      <c r="CP19" s="55">
        <f t="shared" si="30"/>
        <v>0</v>
      </c>
      <c r="CQ19" s="55">
        <f t="shared" si="30"/>
        <v>0</v>
      </c>
      <c r="CR19" s="55">
        <f t="shared" si="30"/>
        <v>0</v>
      </c>
      <c r="CS19" s="55">
        <f t="shared" si="30"/>
        <v>0</v>
      </c>
      <c r="CT19" s="55">
        <f t="shared" si="30"/>
        <v>0</v>
      </c>
      <c r="CU19" s="55">
        <f t="shared" si="30"/>
        <v>0</v>
      </c>
      <c r="CV19" s="55">
        <f t="shared" si="30"/>
        <v>0</v>
      </c>
      <c r="CW19" s="55">
        <f t="shared" si="30"/>
        <v>0</v>
      </c>
      <c r="CX19" s="55">
        <f t="shared" si="30"/>
        <v>0</v>
      </c>
      <c r="CY19" s="55">
        <f t="shared" si="30"/>
        <v>0</v>
      </c>
      <c r="CZ19" s="55">
        <f t="shared" si="30"/>
        <v>0</v>
      </c>
      <c r="DA19" s="55">
        <f t="shared" si="30"/>
        <v>0</v>
      </c>
      <c r="DB19" s="55">
        <f t="shared" si="30"/>
        <v>0</v>
      </c>
      <c r="DC19" s="55">
        <f t="shared" si="30"/>
        <v>0</v>
      </c>
      <c r="DD19" s="55">
        <f t="shared" si="30"/>
        <v>0</v>
      </c>
      <c r="DE19" s="55">
        <f t="shared" si="30"/>
        <v>0</v>
      </c>
      <c r="DF19" s="55">
        <f t="shared" si="30"/>
        <v>0</v>
      </c>
      <c r="DG19" s="55">
        <f t="shared" si="30"/>
        <v>0</v>
      </c>
      <c r="DH19" s="55">
        <f t="shared" si="30"/>
        <v>0</v>
      </c>
      <c r="DI19" s="55">
        <f t="shared" si="30"/>
        <v>0</v>
      </c>
      <c r="DJ19" s="55">
        <f t="shared" si="30"/>
        <v>0</v>
      </c>
      <c r="DK19" s="55">
        <f t="shared" si="30"/>
        <v>0</v>
      </c>
      <c r="DL19" s="55">
        <f t="shared" si="30"/>
        <v>0</v>
      </c>
      <c r="DM19" s="55">
        <f t="shared" si="30"/>
        <v>0</v>
      </c>
      <c r="DN19" s="55">
        <f t="shared" si="30"/>
        <v>0</v>
      </c>
      <c r="DO19" s="55">
        <f t="shared" si="30"/>
        <v>0</v>
      </c>
      <c r="DP19" s="55">
        <f t="shared" si="30"/>
        <v>0</v>
      </c>
      <c r="DQ19" s="55">
        <f t="shared" si="30"/>
        <v>0</v>
      </c>
      <c r="DR19" s="55">
        <f t="shared" si="30"/>
        <v>0</v>
      </c>
      <c r="DS19" s="55">
        <f t="shared" si="30"/>
        <v>0</v>
      </c>
      <c r="DT19" s="55">
        <f t="shared" si="30"/>
        <v>0</v>
      </c>
      <c r="DU19" s="55">
        <f t="shared" si="30"/>
        <v>0</v>
      </c>
      <c r="DV19" s="55">
        <f t="shared" si="30"/>
        <v>0</v>
      </c>
      <c r="DW19" s="55">
        <f t="shared" si="30"/>
        <v>0</v>
      </c>
      <c r="DX19" s="55">
        <f t="shared" si="30"/>
        <v>0</v>
      </c>
      <c r="DY19" s="55">
        <f t="shared" si="30"/>
        <v>0</v>
      </c>
    </row>
    <row r="20" spans="1:129" x14ac:dyDescent="0.45">
      <c r="A20" s="3">
        <v>46022</v>
      </c>
      <c r="B20" s="2" t="s">
        <v>19</v>
      </c>
      <c r="C20" s="4" t="s">
        <v>21</v>
      </c>
      <c r="D20" s="16"/>
      <c r="E20" s="54"/>
      <c r="F20" s="54"/>
      <c r="G20" s="54"/>
      <c r="H20" s="54"/>
      <c r="I20" s="13">
        <v>50161.059000000001</v>
      </c>
      <c r="J20" s="58">
        <f>SUM(J21:J22)</f>
        <v>43848.513096650648</v>
      </c>
      <c r="K20" s="58">
        <f t="shared" ref="K20:BV20" si="31">SUM(K21:K22)</f>
        <v>40644.298534989954</v>
      </c>
      <c r="L20" s="58">
        <f t="shared" si="31"/>
        <v>38020.909533898055</v>
      </c>
      <c r="M20" s="58">
        <f t="shared" si="31"/>
        <v>35873.060281417595</v>
      </c>
      <c r="N20" s="58">
        <f t="shared" si="31"/>
        <v>34114.550045436285</v>
      </c>
      <c r="O20" s="58">
        <f t="shared" si="31"/>
        <v>32674.803635635963</v>
      </c>
      <c r="P20" s="58">
        <f t="shared" si="31"/>
        <v>31496.038973298826</v>
      </c>
      <c r="Q20" s="58">
        <f t="shared" si="31"/>
        <v>30530.948093601834</v>
      </c>
      <c r="R20" s="58">
        <f t="shared" si="31"/>
        <v>29740.79851087882</v>
      </c>
      <c r="S20" s="58">
        <f t="shared" si="31"/>
        <v>29093.878747971754</v>
      </c>
      <c r="T20" s="58">
        <f t="shared" si="31"/>
        <v>28564.225643305821</v>
      </c>
      <c r="U20" s="58">
        <f t="shared" si="31"/>
        <v>28130.582358052594</v>
      </c>
      <c r="V20" s="58">
        <f t="shared" si="31"/>
        <v>27775.545264550008</v>
      </c>
      <c r="W20" s="58">
        <f t="shared" si="31"/>
        <v>27484.865477616015</v>
      </c>
      <c r="X20" s="58">
        <f t="shared" si="31"/>
        <v>27246.876996755003</v>
      </c>
      <c r="Y20" s="58">
        <f t="shared" si="31"/>
        <v>27052.02850859578</v>
      </c>
      <c r="Z20" s="58">
        <f t="shared" si="31"/>
        <v>26892.500059149075</v>
      </c>
      <c r="AA20" s="58">
        <f t="shared" si="31"/>
        <v>26761.889211596212</v>
      </c>
      <c r="AB20" s="58">
        <f t="shared" si="31"/>
        <v>26654.9540940191</v>
      </c>
      <c r="AC20" s="58">
        <f t="shared" si="31"/>
        <v>26567.40302467471</v>
      </c>
      <c r="AD20" s="58">
        <f t="shared" si="31"/>
        <v>26495.722271737595</v>
      </c>
      <c r="AE20" s="58">
        <f t="shared" si="31"/>
        <v>26437.035034904195</v>
      </c>
      <c r="AF20" s="58">
        <f t="shared" si="31"/>
        <v>26388.985989295517</v>
      </c>
      <c r="AG20" s="58">
        <f t="shared" si="31"/>
        <v>26349.646757999646</v>
      </c>
      <c r="AH20" s="58">
        <f t="shared" si="31"/>
        <v>26317.43851953527</v>
      </c>
      <c r="AI20" s="58">
        <f t="shared" si="31"/>
        <v>26291.068644202016</v>
      </c>
      <c r="AJ20" s="58">
        <f t="shared" si="31"/>
        <v>26269.47881631185</v>
      </c>
      <c r="AK20" s="58">
        <f t="shared" si="31"/>
        <v>26251.80256026451</v>
      </c>
      <c r="AL20" s="58">
        <f t="shared" si="31"/>
        <v>26237.33046583927</v>
      </c>
      <c r="AM20" s="58">
        <f t="shared" si="31"/>
        <v>26225.481717071878</v>
      </c>
      <c r="AN20" s="58">
        <f t="shared" si="31"/>
        <v>26215.78078207052</v>
      </c>
      <c r="AO20" s="58">
        <f t="shared" si="31"/>
        <v>26207.838328251299</v>
      </c>
      <c r="AP20" s="58">
        <f t="shared" si="31"/>
        <v>26201.3355970546</v>
      </c>
      <c r="AQ20" s="58">
        <f t="shared" si="31"/>
        <v>26196.011611044862</v>
      </c>
      <c r="AR20" s="58">
        <f t="shared" si="31"/>
        <v>26191.652699969734</v>
      </c>
      <c r="AS20" s="58">
        <f t="shared" si="31"/>
        <v>26188.083925422594</v>
      </c>
      <c r="AT20" s="58">
        <f t="shared" si="31"/>
        <v>26185.162059950046</v>
      </c>
      <c r="AU20" s="58">
        <f t="shared" si="31"/>
        <v>26182.769838831318</v>
      </c>
      <c r="AV20" s="58">
        <f t="shared" si="31"/>
        <v>26180.81125383325</v>
      </c>
      <c r="AW20" s="58">
        <f t="shared" si="31"/>
        <v>26179.207700062816</v>
      </c>
      <c r="AX20" s="58">
        <f t="shared" si="31"/>
        <v>26177.894821276746</v>
      </c>
      <c r="AY20" s="58">
        <f t="shared" si="31"/>
        <v>26176.819927039531</v>
      </c>
      <c r="AZ20" s="58">
        <f t="shared" si="31"/>
        <v>26175.939878071214</v>
      </c>
      <c r="BA20" s="58">
        <f t="shared" si="31"/>
        <v>26175.219354916637</v>
      </c>
      <c r="BB20" s="58">
        <f t="shared" si="31"/>
        <v>26174.629440451681</v>
      </c>
      <c r="BC20" s="58">
        <f t="shared" si="31"/>
        <v>26174.146459337535</v>
      </c>
      <c r="BD20" s="58">
        <f t="shared" si="31"/>
        <v>26173.751027846229</v>
      </c>
      <c r="BE20" s="58">
        <f t="shared" si="31"/>
        <v>26173.427275923561</v>
      </c>
      <c r="BF20" s="58">
        <f t="shared" si="31"/>
        <v>26173.162210268107</v>
      </c>
      <c r="BG20" s="58">
        <f t="shared" si="31"/>
        <v>26172.945192864398</v>
      </c>
      <c r="BH20" s="58">
        <f t="shared" si="31"/>
        <v>26172.767514042032</v>
      </c>
      <c r="BI20" s="58">
        <f t="shared" si="31"/>
        <v>26172.622042925988</v>
      </c>
      <c r="BJ20" s="58">
        <f t="shared" si="31"/>
        <v>26172.502941249597</v>
      </c>
      <c r="BK20" s="58">
        <f t="shared" si="31"/>
        <v>26172.405429044396</v>
      </c>
      <c r="BL20" s="58">
        <f t="shared" si="31"/>
        <v>26172.325592803194</v>
      </c>
      <c r="BM20" s="58">
        <f t="shared" si="31"/>
        <v>26172.260228417315</v>
      </c>
      <c r="BN20" s="58">
        <f t="shared" si="31"/>
        <v>26172.206712584437</v>
      </c>
      <c r="BO20" s="58">
        <f t="shared" si="31"/>
        <v>26172.162897526287</v>
      </c>
      <c r="BP20" s="58">
        <f t="shared" si="31"/>
        <v>26172.127024790727</v>
      </c>
      <c r="BQ20" s="58">
        <f t="shared" si="31"/>
        <v>0.13265467892995647</v>
      </c>
      <c r="BR20" s="58">
        <f t="shared" si="31"/>
        <v>0.10860846517964105</v>
      </c>
      <c r="BS20" s="58">
        <f t="shared" si="31"/>
        <v>8.8921090487171353E-2</v>
      </c>
      <c r="BT20" s="58">
        <f t="shared" si="31"/>
        <v>7.280243137907709E-2</v>
      </c>
      <c r="BU20" s="58">
        <f t="shared" si="31"/>
        <v>5.9605589468899926E-2</v>
      </c>
      <c r="BV20" s="58">
        <f t="shared" si="31"/>
        <v>4.8800929153529495E-2</v>
      </c>
      <c r="BW20" s="58">
        <f t="shared" ref="BW20:DY20" si="32">SUM(BW21:BW22)</f>
        <v>3.9954821476774399E-2</v>
      </c>
      <c r="BX20" s="58">
        <f t="shared" si="32"/>
        <v>3.2712241076775853E-2</v>
      </c>
      <c r="BY20" s="58">
        <f t="shared" si="32"/>
        <v>2.6782517771657161E-2</v>
      </c>
      <c r="BZ20" s="58">
        <f t="shared" si="32"/>
        <v>2.1927670944513311E-2</v>
      </c>
      <c r="CA20" s="58">
        <f t="shared" si="32"/>
        <v>1.7952858545647578E-2</v>
      </c>
      <c r="CB20" s="58">
        <f t="shared" si="32"/>
        <v>1.4698557396980508E-2</v>
      </c>
      <c r="CC20" s="58">
        <f t="shared" si="32"/>
        <v>1.20341609667898E-2</v>
      </c>
      <c r="CD20" s="58">
        <f t="shared" si="32"/>
        <v>9.8527376710014578E-3</v>
      </c>
      <c r="CE20" s="58">
        <f t="shared" si="32"/>
        <v>8.0667393332588301E-3</v>
      </c>
      <c r="CF20" s="58">
        <f t="shared" si="32"/>
        <v>6.6044875692027839E-3</v>
      </c>
      <c r="CG20" s="58">
        <f t="shared" si="32"/>
        <v>5.4072970812275587E-3</v>
      </c>
      <c r="CH20" s="58">
        <f t="shared" si="32"/>
        <v>4.4271204114298161E-3</v>
      </c>
      <c r="CI20" s="58">
        <f t="shared" si="32"/>
        <v>3.6246196284168346E-3</v>
      </c>
      <c r="CJ20" s="58">
        <f t="shared" si="32"/>
        <v>2.9675875579949513E-3</v>
      </c>
      <c r="CK20" s="58">
        <f t="shared" si="32"/>
        <v>2.4296551961820578E-3</v>
      </c>
      <c r="CL20" s="58">
        <f t="shared" si="32"/>
        <v>1.9892334284899692E-3</v>
      </c>
      <c r="CM20" s="58">
        <f t="shared" si="32"/>
        <v>1.6286465829554835E-3</v>
      </c>
      <c r="CN20" s="58">
        <f t="shared" si="32"/>
        <v>1.333423043361026E-3</v>
      </c>
      <c r="CO20" s="58">
        <f t="shared" si="32"/>
        <v>1.0917144524625079E-3</v>
      </c>
      <c r="CP20" s="58">
        <f t="shared" si="32"/>
        <v>8.9382019581074655E-4</v>
      </c>
      <c r="CQ20" s="58">
        <f t="shared" si="32"/>
        <v>7.3179808203244212E-4</v>
      </c>
      <c r="CR20" s="58">
        <f t="shared" si="32"/>
        <v>5.9914559480344243E-4</v>
      </c>
      <c r="CS20" s="58">
        <f t="shared" si="32"/>
        <v>4.9053892403677808E-4</v>
      </c>
      <c r="CT20" s="58">
        <f t="shared" si="32"/>
        <v>4.0161930269069454E-4</v>
      </c>
      <c r="CU20" s="58">
        <f t="shared" si="32"/>
        <v>3.2881807414260653E-4</v>
      </c>
      <c r="CV20" s="58">
        <f t="shared" si="32"/>
        <v>2.6921346946842813E-4</v>
      </c>
      <c r="CW20" s="58">
        <f t="shared" si="32"/>
        <v>2.2041334659662182E-4</v>
      </c>
      <c r="CX20" s="58">
        <f t="shared" si="32"/>
        <v>1.8045918524749053E-4</v>
      </c>
      <c r="CY20" s="58">
        <f t="shared" si="32"/>
        <v>1.4774748463751707E-4</v>
      </c>
      <c r="CZ20" s="58">
        <f t="shared" si="32"/>
        <v>1.20965409362652E-4</v>
      </c>
      <c r="DA20" s="58">
        <f t="shared" si="32"/>
        <v>9.9038100703870152E-5</v>
      </c>
      <c r="DB20" s="58">
        <f t="shared" si="32"/>
        <v>8.1085538772692666E-5</v>
      </c>
      <c r="DC20" s="58">
        <f t="shared" si="32"/>
        <v>6.6387224223100604E-5</v>
      </c>
      <c r="DD20" s="58">
        <f t="shared" si="32"/>
        <v>5.4353262082936028E-5</v>
      </c>
      <c r="DE20" s="58">
        <f t="shared" si="32"/>
        <v>4.4500687197407171E-5</v>
      </c>
      <c r="DF20" s="58">
        <f t="shared" si="32"/>
        <v>3.643408114162077E-5</v>
      </c>
      <c r="DG20" s="58">
        <f t="shared" si="32"/>
        <v>2.9829702690783492E-5</v>
      </c>
      <c r="DH20" s="58">
        <f t="shared" si="32"/>
        <v>2.4422494948117492E-5</v>
      </c>
      <c r="DI20" s="58">
        <f t="shared" si="32"/>
        <v>1.9995447680915455E-5</v>
      </c>
      <c r="DJ20" s="58">
        <f t="shared" si="32"/>
        <v>1.6370887937927308E-5</v>
      </c>
      <c r="DK20" s="58">
        <f t="shared" si="32"/>
        <v>1.3403349409974434E-5</v>
      </c>
      <c r="DL20" s="58">
        <f t="shared" si="32"/>
        <v>1.0973734356195702E-5</v>
      </c>
      <c r="DM20" s="58">
        <f t="shared" si="32"/>
        <v>8.984533793525834E-6</v>
      </c>
      <c r="DN20" s="58">
        <f t="shared" si="32"/>
        <v>7.355914118827989E-6</v>
      </c>
      <c r="DO20" s="58">
        <f t="shared" si="32"/>
        <v>6.0225131060850034E-6</v>
      </c>
      <c r="DP20" s="58">
        <f t="shared" si="32"/>
        <v>4.9308166907669761E-6</v>
      </c>
      <c r="DQ20" s="58">
        <f t="shared" si="32"/>
        <v>4.037011262521132E-6</v>
      </c>
      <c r="DR20" s="58">
        <f t="shared" si="32"/>
        <v>3.3052252711482236E-6</v>
      </c>
      <c r="DS20" s="58">
        <f t="shared" si="32"/>
        <v>2.7060895753395634E-6</v>
      </c>
      <c r="DT20" s="58">
        <f t="shared" si="32"/>
        <v>2.2155587559142382E-6</v>
      </c>
      <c r="DU20" s="58">
        <f t="shared" si="32"/>
        <v>1.813946088718176E-6</v>
      </c>
      <c r="DV20" s="58">
        <f t="shared" si="32"/>
        <v>1.4851334472590928E-6</v>
      </c>
      <c r="DW20" s="58">
        <f t="shared" si="32"/>
        <v>1.2159244256957373E-6</v>
      </c>
      <c r="DX20" s="58">
        <f t="shared" si="32"/>
        <v>9.9551472073578414E-7</v>
      </c>
      <c r="DY20" s="58">
        <f t="shared" si="32"/>
        <v>8.1505851700822597E-7</v>
      </c>
    </row>
    <row r="21" spans="1:129" x14ac:dyDescent="0.45">
      <c r="A21" s="3">
        <v>46022</v>
      </c>
      <c r="B21" s="2" t="s">
        <v>19</v>
      </c>
      <c r="C21" s="6" t="s">
        <v>5</v>
      </c>
      <c r="D21" s="17">
        <v>0</v>
      </c>
      <c r="E21" s="2" t="s">
        <v>49</v>
      </c>
      <c r="F21" s="2">
        <v>120</v>
      </c>
      <c r="G21" s="2" t="s">
        <v>43</v>
      </c>
      <c r="H21" s="2">
        <v>120</v>
      </c>
      <c r="I21" s="14">
        <v>23989.094000000001</v>
      </c>
      <c r="J21" s="55">
        <f>IF(J$1&lt;=$F21,$I21*(90%*EXP(-20%*J$1)),0)</f>
        <v>17676.548096650647</v>
      </c>
      <c r="K21" s="55">
        <f t="shared" ref="K21:BV21" si="33">IF(K$1&lt;=$F21,$I21*(90%*EXP(-20%*K$1)),0)</f>
        <v>14472.333534989952</v>
      </c>
      <c r="L21" s="55">
        <f t="shared" si="33"/>
        <v>11848.944533898053</v>
      </c>
      <c r="M21" s="55">
        <f t="shared" si="33"/>
        <v>9701.0952814175907</v>
      </c>
      <c r="N21" s="55">
        <f t="shared" si="33"/>
        <v>7942.5850454362817</v>
      </c>
      <c r="O21" s="55">
        <f t="shared" si="33"/>
        <v>6502.8386356359615</v>
      </c>
      <c r="P21" s="55">
        <f t="shared" si="33"/>
        <v>5324.0739732988268</v>
      </c>
      <c r="Q21" s="55">
        <f t="shared" si="33"/>
        <v>4358.9830936018325</v>
      </c>
      <c r="R21" s="55">
        <f t="shared" si="33"/>
        <v>3568.8335108788192</v>
      </c>
      <c r="S21" s="55">
        <f t="shared" si="33"/>
        <v>2921.9137479717538</v>
      </c>
      <c r="T21" s="55">
        <f t="shared" si="33"/>
        <v>2392.2606433058222</v>
      </c>
      <c r="U21" s="55">
        <f t="shared" si="33"/>
        <v>1958.6173580525926</v>
      </c>
      <c r="V21" s="55">
        <f t="shared" si="33"/>
        <v>1603.5802645500069</v>
      </c>
      <c r="W21" s="55">
        <f t="shared" si="33"/>
        <v>1312.9004776160161</v>
      </c>
      <c r="X21" s="55">
        <f t="shared" si="33"/>
        <v>1074.9119967550032</v>
      </c>
      <c r="Y21" s="55">
        <f t="shared" si="33"/>
        <v>880.06350859578095</v>
      </c>
      <c r="Z21" s="55">
        <f t="shared" si="33"/>
        <v>720.53505914907453</v>
      </c>
      <c r="AA21" s="55">
        <f t="shared" si="33"/>
        <v>589.92421159621017</v>
      </c>
      <c r="AB21" s="55">
        <f t="shared" si="33"/>
        <v>482.98909401909981</v>
      </c>
      <c r="AC21" s="55">
        <f t="shared" si="33"/>
        <v>395.43802467470982</v>
      </c>
      <c r="AD21" s="55">
        <f t="shared" si="33"/>
        <v>323.75727173759469</v>
      </c>
      <c r="AE21" s="55">
        <f t="shared" si="33"/>
        <v>265.07003490419368</v>
      </c>
      <c r="AF21" s="55">
        <f t="shared" si="33"/>
        <v>217.02098929551738</v>
      </c>
      <c r="AG21" s="55">
        <f t="shared" si="33"/>
        <v>177.68175799964757</v>
      </c>
      <c r="AH21" s="55">
        <f t="shared" si="33"/>
        <v>145.47351953527129</v>
      </c>
      <c r="AI21" s="55">
        <f t="shared" si="33"/>
        <v>119.10364420201714</v>
      </c>
      <c r="AJ21" s="55">
        <f t="shared" si="33"/>
        <v>97.513816311849482</v>
      </c>
      <c r="AK21" s="55">
        <f t="shared" si="33"/>
        <v>79.837560264508511</v>
      </c>
      <c r="AL21" s="55">
        <f t="shared" si="33"/>
        <v>65.365465839269802</v>
      </c>
      <c r="AM21" s="55">
        <f t="shared" si="33"/>
        <v>53.516717071878496</v>
      </c>
      <c r="AN21" s="55">
        <f t="shared" si="33"/>
        <v>43.815782070520363</v>
      </c>
      <c r="AO21" s="55">
        <f t="shared" si="33"/>
        <v>35.873328251297863</v>
      </c>
      <c r="AP21" s="55">
        <f t="shared" si="33"/>
        <v>29.37059705459874</v>
      </c>
      <c r="AQ21" s="55">
        <f t="shared" si="33"/>
        <v>24.046611044861578</v>
      </c>
      <c r="AR21" s="55">
        <f t="shared" si="33"/>
        <v>19.687699969732851</v>
      </c>
      <c r="AS21" s="55">
        <f t="shared" si="33"/>
        <v>16.118925422592731</v>
      </c>
      <c r="AT21" s="55">
        <f t="shared" si="33"/>
        <v>13.197059950047171</v>
      </c>
      <c r="AU21" s="55">
        <f t="shared" si="33"/>
        <v>10.804838831317392</v>
      </c>
      <c r="AV21" s="55">
        <f t="shared" si="33"/>
        <v>8.8462538332507101</v>
      </c>
      <c r="AW21" s="55">
        <f t="shared" si="33"/>
        <v>7.2427000628163425</v>
      </c>
      <c r="AX21" s="55">
        <f t="shared" si="33"/>
        <v>5.929821276747564</v>
      </c>
      <c r="AY21" s="55">
        <f t="shared" si="33"/>
        <v>4.8549270395293762</v>
      </c>
      <c r="AZ21" s="55">
        <f t="shared" si="33"/>
        <v>3.974878071212546</v>
      </c>
      <c r="BA21" s="55">
        <f t="shared" si="33"/>
        <v>3.2543549166370007</v>
      </c>
      <c r="BB21" s="55">
        <f t="shared" si="33"/>
        <v>2.6644404516812461</v>
      </c>
      <c r="BC21" s="55">
        <f t="shared" si="33"/>
        <v>2.1814593375364222</v>
      </c>
      <c r="BD21" s="55">
        <f t="shared" si="33"/>
        <v>1.7860278462301917</v>
      </c>
      <c r="BE21" s="55">
        <f t="shared" si="33"/>
        <v>1.4622759235622893</v>
      </c>
      <c r="BF21" s="55">
        <f t="shared" si="33"/>
        <v>1.1972102681059555</v>
      </c>
      <c r="BG21" s="55">
        <f t="shared" si="33"/>
        <v>0.98019286439908215</v>
      </c>
      <c r="BH21" s="55">
        <f t="shared" si="33"/>
        <v>0.80251404203112386</v>
      </c>
      <c r="BI21" s="55">
        <f t="shared" si="33"/>
        <v>0.65704292598779768</v>
      </c>
      <c r="BJ21" s="55">
        <f t="shared" si="33"/>
        <v>0.53794124959854961</v>
      </c>
      <c r="BK21" s="55">
        <f t="shared" si="33"/>
        <v>0.44042904439553154</v>
      </c>
      <c r="BL21" s="55">
        <f t="shared" si="33"/>
        <v>0.36059280319536968</v>
      </c>
      <c r="BM21" s="55">
        <f t="shared" si="33"/>
        <v>0.29522841731464522</v>
      </c>
      <c r="BN21" s="55">
        <f t="shared" si="33"/>
        <v>0.24171258443804036</v>
      </c>
      <c r="BO21" s="55">
        <f t="shared" si="33"/>
        <v>0.19789752628538185</v>
      </c>
      <c r="BP21" s="55">
        <f t="shared" si="33"/>
        <v>0.16202479072790052</v>
      </c>
      <c r="BQ21" s="55">
        <f t="shared" si="33"/>
        <v>0.13265467892995647</v>
      </c>
      <c r="BR21" s="55">
        <f t="shared" si="33"/>
        <v>0.10860846517964105</v>
      </c>
      <c r="BS21" s="55">
        <f t="shared" si="33"/>
        <v>8.8921090487171353E-2</v>
      </c>
      <c r="BT21" s="55">
        <f t="shared" si="33"/>
        <v>7.280243137907709E-2</v>
      </c>
      <c r="BU21" s="55">
        <f t="shared" si="33"/>
        <v>5.9605589468899926E-2</v>
      </c>
      <c r="BV21" s="55">
        <f t="shared" si="33"/>
        <v>4.8800929153529495E-2</v>
      </c>
      <c r="BW21" s="55">
        <f t="shared" ref="BW21:DY21" si="34">IF(BW$1&lt;=$F21,$I21*(90%*EXP(-20%*BW$1)),0)</f>
        <v>3.9954821476774399E-2</v>
      </c>
      <c r="BX21" s="55">
        <f t="shared" si="34"/>
        <v>3.2712241076775853E-2</v>
      </c>
      <c r="BY21" s="55">
        <f t="shared" si="34"/>
        <v>2.6782517771657161E-2</v>
      </c>
      <c r="BZ21" s="55">
        <f t="shared" si="34"/>
        <v>2.1927670944513311E-2</v>
      </c>
      <c r="CA21" s="55">
        <f t="shared" si="34"/>
        <v>1.7952858545647578E-2</v>
      </c>
      <c r="CB21" s="55">
        <f t="shared" si="34"/>
        <v>1.4698557396980508E-2</v>
      </c>
      <c r="CC21" s="55">
        <f t="shared" si="34"/>
        <v>1.20341609667898E-2</v>
      </c>
      <c r="CD21" s="55">
        <f t="shared" si="34"/>
        <v>9.8527376710014578E-3</v>
      </c>
      <c r="CE21" s="55">
        <f t="shared" si="34"/>
        <v>8.0667393332588301E-3</v>
      </c>
      <c r="CF21" s="55">
        <f t="shared" si="34"/>
        <v>6.6044875692027839E-3</v>
      </c>
      <c r="CG21" s="55">
        <f t="shared" si="34"/>
        <v>5.4072970812275587E-3</v>
      </c>
      <c r="CH21" s="55">
        <f t="shared" si="34"/>
        <v>4.4271204114298161E-3</v>
      </c>
      <c r="CI21" s="55">
        <f t="shared" si="34"/>
        <v>3.6246196284168346E-3</v>
      </c>
      <c r="CJ21" s="55">
        <f t="shared" si="34"/>
        <v>2.9675875579949513E-3</v>
      </c>
      <c r="CK21" s="55">
        <f t="shared" si="34"/>
        <v>2.4296551961820578E-3</v>
      </c>
      <c r="CL21" s="55">
        <f t="shared" si="34"/>
        <v>1.9892334284899692E-3</v>
      </c>
      <c r="CM21" s="55">
        <f t="shared" si="34"/>
        <v>1.6286465829554835E-3</v>
      </c>
      <c r="CN21" s="55">
        <f t="shared" si="34"/>
        <v>1.333423043361026E-3</v>
      </c>
      <c r="CO21" s="55">
        <f t="shared" si="34"/>
        <v>1.0917144524625079E-3</v>
      </c>
      <c r="CP21" s="55">
        <f t="shared" si="34"/>
        <v>8.9382019581074655E-4</v>
      </c>
      <c r="CQ21" s="55">
        <f t="shared" si="34"/>
        <v>7.3179808203244212E-4</v>
      </c>
      <c r="CR21" s="55">
        <f t="shared" si="34"/>
        <v>5.9914559480344243E-4</v>
      </c>
      <c r="CS21" s="55">
        <f t="shared" si="34"/>
        <v>4.9053892403677808E-4</v>
      </c>
      <c r="CT21" s="55">
        <f t="shared" si="34"/>
        <v>4.0161930269069454E-4</v>
      </c>
      <c r="CU21" s="55">
        <f t="shared" si="34"/>
        <v>3.2881807414260653E-4</v>
      </c>
      <c r="CV21" s="55">
        <f t="shared" si="34"/>
        <v>2.6921346946842813E-4</v>
      </c>
      <c r="CW21" s="55">
        <f t="shared" si="34"/>
        <v>2.2041334659662182E-4</v>
      </c>
      <c r="CX21" s="55">
        <f t="shared" si="34"/>
        <v>1.8045918524749053E-4</v>
      </c>
      <c r="CY21" s="55">
        <f t="shared" si="34"/>
        <v>1.4774748463751707E-4</v>
      </c>
      <c r="CZ21" s="55">
        <f t="shared" si="34"/>
        <v>1.20965409362652E-4</v>
      </c>
      <c r="DA21" s="55">
        <f t="shared" si="34"/>
        <v>9.9038100703870152E-5</v>
      </c>
      <c r="DB21" s="55">
        <f t="shared" si="34"/>
        <v>8.1085538772692666E-5</v>
      </c>
      <c r="DC21" s="55">
        <f t="shared" si="34"/>
        <v>6.6387224223100604E-5</v>
      </c>
      <c r="DD21" s="55">
        <f t="shared" si="34"/>
        <v>5.4353262082936028E-5</v>
      </c>
      <c r="DE21" s="55">
        <f t="shared" si="34"/>
        <v>4.4500687197407171E-5</v>
      </c>
      <c r="DF21" s="55">
        <f t="shared" si="34"/>
        <v>3.643408114162077E-5</v>
      </c>
      <c r="DG21" s="55">
        <f t="shared" si="34"/>
        <v>2.9829702690783492E-5</v>
      </c>
      <c r="DH21" s="55">
        <f t="shared" si="34"/>
        <v>2.4422494948117492E-5</v>
      </c>
      <c r="DI21" s="55">
        <f t="shared" si="34"/>
        <v>1.9995447680915455E-5</v>
      </c>
      <c r="DJ21" s="55">
        <f t="shared" si="34"/>
        <v>1.6370887937927308E-5</v>
      </c>
      <c r="DK21" s="55">
        <f t="shared" si="34"/>
        <v>1.3403349409974434E-5</v>
      </c>
      <c r="DL21" s="55">
        <f t="shared" si="34"/>
        <v>1.0973734356195702E-5</v>
      </c>
      <c r="DM21" s="55">
        <f t="shared" si="34"/>
        <v>8.984533793525834E-6</v>
      </c>
      <c r="DN21" s="55">
        <f t="shared" si="34"/>
        <v>7.355914118827989E-6</v>
      </c>
      <c r="DO21" s="55">
        <f t="shared" si="34"/>
        <v>6.0225131060850034E-6</v>
      </c>
      <c r="DP21" s="55">
        <f t="shared" si="34"/>
        <v>4.9308166907669761E-6</v>
      </c>
      <c r="DQ21" s="55">
        <f t="shared" si="34"/>
        <v>4.037011262521132E-6</v>
      </c>
      <c r="DR21" s="55">
        <f t="shared" si="34"/>
        <v>3.3052252711482236E-6</v>
      </c>
      <c r="DS21" s="55">
        <f t="shared" si="34"/>
        <v>2.7060895753395634E-6</v>
      </c>
      <c r="DT21" s="55">
        <f t="shared" si="34"/>
        <v>2.2155587559142382E-6</v>
      </c>
      <c r="DU21" s="55">
        <f t="shared" si="34"/>
        <v>1.813946088718176E-6</v>
      </c>
      <c r="DV21" s="55">
        <f t="shared" si="34"/>
        <v>1.4851334472590928E-6</v>
      </c>
      <c r="DW21" s="55">
        <f t="shared" si="34"/>
        <v>1.2159244256957373E-6</v>
      </c>
      <c r="DX21" s="55">
        <f t="shared" si="34"/>
        <v>9.9551472073578414E-7</v>
      </c>
      <c r="DY21" s="55">
        <f t="shared" si="34"/>
        <v>8.1505851700822597E-7</v>
      </c>
    </row>
    <row r="22" spans="1:129" x14ac:dyDescent="0.45">
      <c r="A22" s="3">
        <v>46022</v>
      </c>
      <c r="B22" s="2" t="s">
        <v>19</v>
      </c>
      <c r="C22" s="6" t="s">
        <v>6</v>
      </c>
      <c r="D22" s="17">
        <v>8.3386457267199329E-3</v>
      </c>
      <c r="E22" s="2" t="s">
        <v>45</v>
      </c>
      <c r="F22" s="2">
        <v>60</v>
      </c>
      <c r="G22" s="2" t="s">
        <v>45</v>
      </c>
      <c r="H22" s="2">
        <v>60</v>
      </c>
      <c r="I22" s="14">
        <v>26171.965</v>
      </c>
      <c r="J22" s="55">
        <f t="shared" ref="J22:BU22" si="35">IF(J$1&lt;$F22,$I22,0)</f>
        <v>26171.965</v>
      </c>
      <c r="K22" s="55">
        <f t="shared" si="35"/>
        <v>26171.965</v>
      </c>
      <c r="L22" s="55">
        <f t="shared" si="35"/>
        <v>26171.965</v>
      </c>
      <c r="M22" s="55">
        <f t="shared" si="35"/>
        <v>26171.965</v>
      </c>
      <c r="N22" s="55">
        <f t="shared" si="35"/>
        <v>26171.965</v>
      </c>
      <c r="O22" s="55">
        <f t="shared" si="35"/>
        <v>26171.965</v>
      </c>
      <c r="P22" s="55">
        <f t="shared" si="35"/>
        <v>26171.965</v>
      </c>
      <c r="Q22" s="55">
        <f t="shared" si="35"/>
        <v>26171.965</v>
      </c>
      <c r="R22" s="55">
        <f t="shared" si="35"/>
        <v>26171.965</v>
      </c>
      <c r="S22" s="55">
        <f t="shared" si="35"/>
        <v>26171.965</v>
      </c>
      <c r="T22" s="55">
        <f t="shared" si="35"/>
        <v>26171.965</v>
      </c>
      <c r="U22" s="55">
        <f t="shared" si="35"/>
        <v>26171.965</v>
      </c>
      <c r="V22" s="55">
        <f t="shared" si="35"/>
        <v>26171.965</v>
      </c>
      <c r="W22" s="55">
        <f t="shared" si="35"/>
        <v>26171.965</v>
      </c>
      <c r="X22" s="55">
        <f t="shared" si="35"/>
        <v>26171.965</v>
      </c>
      <c r="Y22" s="55">
        <f t="shared" si="35"/>
        <v>26171.965</v>
      </c>
      <c r="Z22" s="55">
        <f t="shared" si="35"/>
        <v>26171.965</v>
      </c>
      <c r="AA22" s="55">
        <f t="shared" si="35"/>
        <v>26171.965</v>
      </c>
      <c r="AB22" s="55">
        <f t="shared" si="35"/>
        <v>26171.965</v>
      </c>
      <c r="AC22" s="55">
        <f t="shared" si="35"/>
        <v>26171.965</v>
      </c>
      <c r="AD22" s="55">
        <f t="shared" si="35"/>
        <v>26171.965</v>
      </c>
      <c r="AE22" s="55">
        <f t="shared" si="35"/>
        <v>26171.965</v>
      </c>
      <c r="AF22" s="55">
        <f t="shared" si="35"/>
        <v>26171.965</v>
      </c>
      <c r="AG22" s="55">
        <f t="shared" si="35"/>
        <v>26171.965</v>
      </c>
      <c r="AH22" s="55">
        <f t="shared" si="35"/>
        <v>26171.965</v>
      </c>
      <c r="AI22" s="55">
        <f t="shared" si="35"/>
        <v>26171.965</v>
      </c>
      <c r="AJ22" s="55">
        <f t="shared" si="35"/>
        <v>26171.965</v>
      </c>
      <c r="AK22" s="55">
        <f t="shared" si="35"/>
        <v>26171.965</v>
      </c>
      <c r="AL22" s="55">
        <f t="shared" si="35"/>
        <v>26171.965</v>
      </c>
      <c r="AM22" s="55">
        <f t="shared" si="35"/>
        <v>26171.965</v>
      </c>
      <c r="AN22" s="55">
        <f t="shared" si="35"/>
        <v>26171.965</v>
      </c>
      <c r="AO22" s="55">
        <f t="shared" si="35"/>
        <v>26171.965</v>
      </c>
      <c r="AP22" s="55">
        <f t="shared" si="35"/>
        <v>26171.965</v>
      </c>
      <c r="AQ22" s="55">
        <f t="shared" si="35"/>
        <v>26171.965</v>
      </c>
      <c r="AR22" s="55">
        <f t="shared" si="35"/>
        <v>26171.965</v>
      </c>
      <c r="AS22" s="55">
        <f t="shared" si="35"/>
        <v>26171.965</v>
      </c>
      <c r="AT22" s="55">
        <f t="shared" si="35"/>
        <v>26171.965</v>
      </c>
      <c r="AU22" s="55">
        <f t="shared" si="35"/>
        <v>26171.965</v>
      </c>
      <c r="AV22" s="55">
        <f t="shared" si="35"/>
        <v>26171.965</v>
      </c>
      <c r="AW22" s="55">
        <f t="shared" si="35"/>
        <v>26171.965</v>
      </c>
      <c r="AX22" s="55">
        <f t="shared" si="35"/>
        <v>26171.965</v>
      </c>
      <c r="AY22" s="55">
        <f t="shared" si="35"/>
        <v>26171.965</v>
      </c>
      <c r="AZ22" s="55">
        <f t="shared" si="35"/>
        <v>26171.965</v>
      </c>
      <c r="BA22" s="55">
        <f t="shared" si="35"/>
        <v>26171.965</v>
      </c>
      <c r="BB22" s="55">
        <f t="shared" si="35"/>
        <v>26171.965</v>
      </c>
      <c r="BC22" s="55">
        <f t="shared" si="35"/>
        <v>26171.965</v>
      </c>
      <c r="BD22" s="55">
        <f t="shared" si="35"/>
        <v>26171.965</v>
      </c>
      <c r="BE22" s="55">
        <f t="shared" si="35"/>
        <v>26171.965</v>
      </c>
      <c r="BF22" s="55">
        <f t="shared" si="35"/>
        <v>26171.965</v>
      </c>
      <c r="BG22" s="55">
        <f t="shared" si="35"/>
        <v>26171.965</v>
      </c>
      <c r="BH22" s="55">
        <f t="shared" si="35"/>
        <v>26171.965</v>
      </c>
      <c r="BI22" s="55">
        <f t="shared" si="35"/>
        <v>26171.965</v>
      </c>
      <c r="BJ22" s="55">
        <f t="shared" si="35"/>
        <v>26171.965</v>
      </c>
      <c r="BK22" s="55">
        <f t="shared" si="35"/>
        <v>26171.965</v>
      </c>
      <c r="BL22" s="55">
        <f t="shared" si="35"/>
        <v>26171.965</v>
      </c>
      <c r="BM22" s="55">
        <f t="shared" si="35"/>
        <v>26171.965</v>
      </c>
      <c r="BN22" s="55">
        <f t="shared" si="35"/>
        <v>26171.965</v>
      </c>
      <c r="BO22" s="55">
        <f t="shared" si="35"/>
        <v>26171.965</v>
      </c>
      <c r="BP22" s="55">
        <f t="shared" si="35"/>
        <v>26171.965</v>
      </c>
      <c r="BQ22" s="55">
        <f t="shared" si="35"/>
        <v>0</v>
      </c>
      <c r="BR22" s="55">
        <f t="shared" si="35"/>
        <v>0</v>
      </c>
      <c r="BS22" s="55">
        <f t="shared" si="35"/>
        <v>0</v>
      </c>
      <c r="BT22" s="55">
        <f t="shared" si="35"/>
        <v>0</v>
      </c>
      <c r="BU22" s="55">
        <f t="shared" si="35"/>
        <v>0</v>
      </c>
      <c r="BV22" s="55">
        <f t="shared" ref="BV22:DY22" si="36">IF(BV$1&lt;$F22,$I22,0)</f>
        <v>0</v>
      </c>
      <c r="BW22" s="55">
        <f t="shared" si="36"/>
        <v>0</v>
      </c>
      <c r="BX22" s="55">
        <f t="shared" si="36"/>
        <v>0</v>
      </c>
      <c r="BY22" s="55">
        <f t="shared" si="36"/>
        <v>0</v>
      </c>
      <c r="BZ22" s="55">
        <f t="shared" si="36"/>
        <v>0</v>
      </c>
      <c r="CA22" s="55">
        <f t="shared" si="36"/>
        <v>0</v>
      </c>
      <c r="CB22" s="55">
        <f t="shared" si="36"/>
        <v>0</v>
      </c>
      <c r="CC22" s="55">
        <f t="shared" si="36"/>
        <v>0</v>
      </c>
      <c r="CD22" s="55">
        <f t="shared" si="36"/>
        <v>0</v>
      </c>
      <c r="CE22" s="55">
        <f t="shared" si="36"/>
        <v>0</v>
      </c>
      <c r="CF22" s="55">
        <f t="shared" si="36"/>
        <v>0</v>
      </c>
      <c r="CG22" s="55">
        <f t="shared" si="36"/>
        <v>0</v>
      </c>
      <c r="CH22" s="55">
        <f t="shared" si="36"/>
        <v>0</v>
      </c>
      <c r="CI22" s="55">
        <f t="shared" si="36"/>
        <v>0</v>
      </c>
      <c r="CJ22" s="55">
        <f t="shared" si="36"/>
        <v>0</v>
      </c>
      <c r="CK22" s="55">
        <f t="shared" si="36"/>
        <v>0</v>
      </c>
      <c r="CL22" s="55">
        <f t="shared" si="36"/>
        <v>0</v>
      </c>
      <c r="CM22" s="55">
        <f t="shared" si="36"/>
        <v>0</v>
      </c>
      <c r="CN22" s="55">
        <f t="shared" si="36"/>
        <v>0</v>
      </c>
      <c r="CO22" s="55">
        <f t="shared" si="36"/>
        <v>0</v>
      </c>
      <c r="CP22" s="55">
        <f t="shared" si="36"/>
        <v>0</v>
      </c>
      <c r="CQ22" s="55">
        <f t="shared" si="36"/>
        <v>0</v>
      </c>
      <c r="CR22" s="55">
        <f t="shared" si="36"/>
        <v>0</v>
      </c>
      <c r="CS22" s="55">
        <f t="shared" si="36"/>
        <v>0</v>
      </c>
      <c r="CT22" s="55">
        <f t="shared" si="36"/>
        <v>0</v>
      </c>
      <c r="CU22" s="55">
        <f t="shared" si="36"/>
        <v>0</v>
      </c>
      <c r="CV22" s="55">
        <f t="shared" si="36"/>
        <v>0</v>
      </c>
      <c r="CW22" s="55">
        <f t="shared" si="36"/>
        <v>0</v>
      </c>
      <c r="CX22" s="55">
        <f t="shared" si="36"/>
        <v>0</v>
      </c>
      <c r="CY22" s="55">
        <f t="shared" si="36"/>
        <v>0</v>
      </c>
      <c r="CZ22" s="55">
        <f t="shared" si="36"/>
        <v>0</v>
      </c>
      <c r="DA22" s="55">
        <f t="shared" si="36"/>
        <v>0</v>
      </c>
      <c r="DB22" s="55">
        <f t="shared" si="36"/>
        <v>0</v>
      </c>
      <c r="DC22" s="55">
        <f t="shared" si="36"/>
        <v>0</v>
      </c>
      <c r="DD22" s="55">
        <f t="shared" si="36"/>
        <v>0</v>
      </c>
      <c r="DE22" s="55">
        <f t="shared" si="36"/>
        <v>0</v>
      </c>
      <c r="DF22" s="55">
        <f t="shared" si="36"/>
        <v>0</v>
      </c>
      <c r="DG22" s="55">
        <f t="shared" si="36"/>
        <v>0</v>
      </c>
      <c r="DH22" s="55">
        <f t="shared" si="36"/>
        <v>0</v>
      </c>
      <c r="DI22" s="55">
        <f t="shared" si="36"/>
        <v>0</v>
      </c>
      <c r="DJ22" s="55">
        <f t="shared" si="36"/>
        <v>0</v>
      </c>
      <c r="DK22" s="55">
        <f t="shared" si="36"/>
        <v>0</v>
      </c>
      <c r="DL22" s="55">
        <f t="shared" si="36"/>
        <v>0</v>
      </c>
      <c r="DM22" s="55">
        <f t="shared" si="36"/>
        <v>0</v>
      </c>
      <c r="DN22" s="55">
        <f t="shared" si="36"/>
        <v>0</v>
      </c>
      <c r="DO22" s="55">
        <f t="shared" si="36"/>
        <v>0</v>
      </c>
      <c r="DP22" s="55">
        <f t="shared" si="36"/>
        <v>0</v>
      </c>
      <c r="DQ22" s="55">
        <f t="shared" si="36"/>
        <v>0</v>
      </c>
      <c r="DR22" s="55">
        <f t="shared" si="36"/>
        <v>0</v>
      </c>
      <c r="DS22" s="55">
        <f t="shared" si="36"/>
        <v>0</v>
      </c>
      <c r="DT22" s="55">
        <f t="shared" si="36"/>
        <v>0</v>
      </c>
      <c r="DU22" s="55">
        <f t="shared" si="36"/>
        <v>0</v>
      </c>
      <c r="DV22" s="55">
        <f t="shared" si="36"/>
        <v>0</v>
      </c>
      <c r="DW22" s="55">
        <f t="shared" si="36"/>
        <v>0</v>
      </c>
      <c r="DX22" s="55">
        <f t="shared" si="36"/>
        <v>0</v>
      </c>
      <c r="DY22" s="55">
        <f t="shared" si="36"/>
        <v>0</v>
      </c>
    </row>
    <row r="23" spans="1:129" x14ac:dyDescent="0.45">
      <c r="A23" s="3">
        <v>46022</v>
      </c>
      <c r="B23" s="2" t="s">
        <v>19</v>
      </c>
      <c r="C23" s="4" t="s">
        <v>53</v>
      </c>
      <c r="D23" s="17">
        <v>0</v>
      </c>
      <c r="E23" s="2" t="s">
        <v>43</v>
      </c>
      <c r="F23" s="2">
        <v>120</v>
      </c>
      <c r="G23" s="2" t="s">
        <v>43</v>
      </c>
      <c r="H23" s="2">
        <v>120</v>
      </c>
      <c r="I23" s="13">
        <v>2297.337</v>
      </c>
      <c r="J23" s="58">
        <f t="shared" ref="J23:Y24" si="37">IF(J$1&lt;$F23,$I23*(($F23-J$1)/$F23),0)</f>
        <v>2278.1925249999999</v>
      </c>
      <c r="K23" s="58">
        <f t="shared" si="37"/>
        <v>2259.0480499999999</v>
      </c>
      <c r="L23" s="58">
        <f t="shared" si="37"/>
        <v>2239.9035749999998</v>
      </c>
      <c r="M23" s="58">
        <f t="shared" si="37"/>
        <v>2220.7591000000002</v>
      </c>
      <c r="N23" s="58">
        <f t="shared" si="37"/>
        <v>2201.6146250000002</v>
      </c>
      <c r="O23" s="58">
        <f t="shared" si="37"/>
        <v>2182.4701500000001</v>
      </c>
      <c r="P23" s="58">
        <f t="shared" si="37"/>
        <v>2163.325675</v>
      </c>
      <c r="Q23" s="58">
        <f t="shared" si="37"/>
        <v>2144.1812</v>
      </c>
      <c r="R23" s="58">
        <f t="shared" si="37"/>
        <v>2125.0367249999999</v>
      </c>
      <c r="S23" s="58">
        <f t="shared" si="37"/>
        <v>2105.8922499999999</v>
      </c>
      <c r="T23" s="58">
        <f t="shared" si="37"/>
        <v>2086.7477749999998</v>
      </c>
      <c r="U23" s="58">
        <f t="shared" si="37"/>
        <v>2067.6033000000002</v>
      </c>
      <c r="V23" s="58">
        <f t="shared" si="37"/>
        <v>2048.4588250000002</v>
      </c>
      <c r="W23" s="58">
        <f t="shared" si="37"/>
        <v>2029.3143499999999</v>
      </c>
      <c r="X23" s="58">
        <f t="shared" si="37"/>
        <v>2010.169875</v>
      </c>
      <c r="Y23" s="58">
        <f t="shared" si="37"/>
        <v>1991.0254</v>
      </c>
      <c r="Z23" s="58">
        <f t="shared" ref="Z23:CK24" si="38">IF(Z$1&lt;$F23,$I23*(($F23-Z$1)/$F23),0)</f>
        <v>1971.8809249999999</v>
      </c>
      <c r="AA23" s="58">
        <f t="shared" si="38"/>
        <v>1952.7364499999999</v>
      </c>
      <c r="AB23" s="58">
        <f t="shared" si="38"/>
        <v>1933.591975</v>
      </c>
      <c r="AC23" s="58">
        <f t="shared" si="38"/>
        <v>1914.4475</v>
      </c>
      <c r="AD23" s="58">
        <f t="shared" si="38"/>
        <v>1895.3030249999999</v>
      </c>
      <c r="AE23" s="58">
        <f t="shared" si="38"/>
        <v>1876.1585499999999</v>
      </c>
      <c r="AF23" s="58">
        <f t="shared" si="38"/>
        <v>1857.014075</v>
      </c>
      <c r="AG23" s="58">
        <f t="shared" si="38"/>
        <v>1837.8696</v>
      </c>
      <c r="AH23" s="58">
        <f t="shared" si="38"/>
        <v>1818.7251249999999</v>
      </c>
      <c r="AI23" s="58">
        <f t="shared" si="38"/>
        <v>1799.5806499999999</v>
      </c>
      <c r="AJ23" s="58">
        <f t="shared" si="38"/>
        <v>1780.436175</v>
      </c>
      <c r="AK23" s="58">
        <f t="shared" si="38"/>
        <v>1761.2917000000002</v>
      </c>
      <c r="AL23" s="58">
        <f t="shared" si="38"/>
        <v>1742.1472249999999</v>
      </c>
      <c r="AM23" s="58">
        <f t="shared" si="38"/>
        <v>1723.0027500000001</v>
      </c>
      <c r="AN23" s="58">
        <f t="shared" si="38"/>
        <v>1703.858275</v>
      </c>
      <c r="AO23" s="58">
        <f t="shared" si="38"/>
        <v>1684.7137999999998</v>
      </c>
      <c r="AP23" s="58">
        <f t="shared" si="38"/>
        <v>1665.5693249999999</v>
      </c>
      <c r="AQ23" s="58">
        <f t="shared" si="38"/>
        <v>1646.4248500000001</v>
      </c>
      <c r="AR23" s="58">
        <f t="shared" si="38"/>
        <v>1627.280375</v>
      </c>
      <c r="AS23" s="58">
        <f t="shared" si="38"/>
        <v>1608.1359</v>
      </c>
      <c r="AT23" s="58">
        <f t="shared" si="38"/>
        <v>1588.9914249999999</v>
      </c>
      <c r="AU23" s="58">
        <f t="shared" si="38"/>
        <v>1569.8469500000001</v>
      </c>
      <c r="AV23" s="58">
        <f t="shared" si="38"/>
        <v>1550.702475</v>
      </c>
      <c r="AW23" s="58">
        <f t="shared" si="38"/>
        <v>1531.558</v>
      </c>
      <c r="AX23" s="58">
        <f t="shared" si="38"/>
        <v>1512.4135249999999</v>
      </c>
      <c r="AY23" s="58">
        <f t="shared" si="38"/>
        <v>1493.2690500000001</v>
      </c>
      <c r="AZ23" s="58">
        <f t="shared" si="38"/>
        <v>1474.124575</v>
      </c>
      <c r="BA23" s="58">
        <f t="shared" si="38"/>
        <v>1454.9801</v>
      </c>
      <c r="BB23" s="58">
        <f t="shared" si="38"/>
        <v>1435.8356249999999</v>
      </c>
      <c r="BC23" s="58">
        <f t="shared" si="38"/>
        <v>1416.6911500000001</v>
      </c>
      <c r="BD23" s="58">
        <f t="shared" si="38"/>
        <v>1397.5466749999998</v>
      </c>
      <c r="BE23" s="58">
        <f t="shared" si="38"/>
        <v>1378.4022</v>
      </c>
      <c r="BF23" s="58">
        <f t="shared" si="38"/>
        <v>1359.2577249999999</v>
      </c>
      <c r="BG23" s="58">
        <f t="shared" si="38"/>
        <v>1340.1132500000001</v>
      </c>
      <c r="BH23" s="58">
        <f t="shared" si="38"/>
        <v>1320.9687749999998</v>
      </c>
      <c r="BI23" s="58">
        <f t="shared" si="38"/>
        <v>1301.8243</v>
      </c>
      <c r="BJ23" s="58">
        <f t="shared" si="38"/>
        <v>1282.6798249999999</v>
      </c>
      <c r="BK23" s="58">
        <f t="shared" si="38"/>
        <v>1263.5353500000001</v>
      </c>
      <c r="BL23" s="58">
        <f t="shared" si="38"/>
        <v>1244.3908749999998</v>
      </c>
      <c r="BM23" s="58">
        <f t="shared" si="38"/>
        <v>1225.2464</v>
      </c>
      <c r="BN23" s="58">
        <f t="shared" si="38"/>
        <v>1206.1019249999999</v>
      </c>
      <c r="BO23" s="58">
        <f t="shared" si="38"/>
        <v>1186.9574500000001</v>
      </c>
      <c r="BP23" s="58">
        <f t="shared" si="38"/>
        <v>1167.8129749999998</v>
      </c>
      <c r="BQ23" s="58">
        <f t="shared" si="38"/>
        <v>1148.6685</v>
      </c>
      <c r="BR23" s="58">
        <f t="shared" si="38"/>
        <v>1129.5240249999999</v>
      </c>
      <c r="BS23" s="58">
        <f t="shared" si="38"/>
        <v>1110.3795500000001</v>
      </c>
      <c r="BT23" s="58">
        <f t="shared" si="38"/>
        <v>1091.2350750000001</v>
      </c>
      <c r="BU23" s="58">
        <f t="shared" si="38"/>
        <v>1072.0906</v>
      </c>
      <c r="BV23" s="58">
        <f t="shared" si="38"/>
        <v>1052.9461249999999</v>
      </c>
      <c r="BW23" s="58">
        <f t="shared" si="38"/>
        <v>1033.8016500000001</v>
      </c>
      <c r="BX23" s="58">
        <f t="shared" si="38"/>
        <v>1014.6571749999999</v>
      </c>
      <c r="BY23" s="58">
        <f t="shared" si="38"/>
        <v>995.5127</v>
      </c>
      <c r="BZ23" s="58">
        <f t="shared" si="38"/>
        <v>976.36822499999994</v>
      </c>
      <c r="CA23" s="58">
        <f t="shared" si="38"/>
        <v>957.22375</v>
      </c>
      <c r="CB23" s="58">
        <f t="shared" si="38"/>
        <v>938.07927499999994</v>
      </c>
      <c r="CC23" s="58">
        <f t="shared" si="38"/>
        <v>918.9348</v>
      </c>
      <c r="CD23" s="58">
        <f t="shared" si="38"/>
        <v>899.79032499999994</v>
      </c>
      <c r="CE23" s="58">
        <f t="shared" si="38"/>
        <v>880.64585000000011</v>
      </c>
      <c r="CF23" s="58">
        <f t="shared" si="38"/>
        <v>861.50137500000005</v>
      </c>
      <c r="CG23" s="58">
        <f t="shared" si="38"/>
        <v>842.35689999999988</v>
      </c>
      <c r="CH23" s="58">
        <f t="shared" si="38"/>
        <v>823.21242500000005</v>
      </c>
      <c r="CI23" s="58">
        <f t="shared" si="38"/>
        <v>804.06795</v>
      </c>
      <c r="CJ23" s="58">
        <f t="shared" si="38"/>
        <v>784.92347500000005</v>
      </c>
      <c r="CK23" s="58">
        <f t="shared" si="38"/>
        <v>765.779</v>
      </c>
      <c r="CL23" s="58">
        <f t="shared" ref="CL23:DY24" si="39">IF(CL$1&lt;$F23,$I23*(($F23-CL$1)/$F23),0)</f>
        <v>746.63452500000005</v>
      </c>
      <c r="CM23" s="58">
        <f t="shared" si="39"/>
        <v>727.49005</v>
      </c>
      <c r="CN23" s="58">
        <f t="shared" si="39"/>
        <v>708.34557500000005</v>
      </c>
      <c r="CO23" s="58">
        <f t="shared" si="39"/>
        <v>689.2011</v>
      </c>
      <c r="CP23" s="58">
        <f t="shared" si="39"/>
        <v>670.05662500000005</v>
      </c>
      <c r="CQ23" s="58">
        <f t="shared" si="39"/>
        <v>650.91215</v>
      </c>
      <c r="CR23" s="58">
        <f t="shared" si="39"/>
        <v>631.76767500000005</v>
      </c>
      <c r="CS23" s="58">
        <f t="shared" si="39"/>
        <v>612.6232</v>
      </c>
      <c r="CT23" s="58">
        <f t="shared" si="39"/>
        <v>593.47872500000005</v>
      </c>
      <c r="CU23" s="58">
        <f t="shared" si="39"/>
        <v>574.33425</v>
      </c>
      <c r="CV23" s="58">
        <f t="shared" si="39"/>
        <v>555.18977500000005</v>
      </c>
      <c r="CW23" s="58">
        <f t="shared" si="39"/>
        <v>536.0453</v>
      </c>
      <c r="CX23" s="58">
        <f t="shared" si="39"/>
        <v>516.90082500000005</v>
      </c>
      <c r="CY23" s="58">
        <f t="shared" si="39"/>
        <v>497.75635</v>
      </c>
      <c r="CZ23" s="58">
        <f t="shared" si="39"/>
        <v>478.611875</v>
      </c>
      <c r="DA23" s="58">
        <f t="shared" si="39"/>
        <v>459.4674</v>
      </c>
      <c r="DB23" s="58">
        <f t="shared" si="39"/>
        <v>440.32292500000005</v>
      </c>
      <c r="DC23" s="58">
        <f t="shared" si="39"/>
        <v>421.17844999999994</v>
      </c>
      <c r="DD23" s="58">
        <f t="shared" si="39"/>
        <v>402.033975</v>
      </c>
      <c r="DE23" s="58">
        <f t="shared" si="39"/>
        <v>382.8895</v>
      </c>
      <c r="DF23" s="58">
        <f t="shared" si="39"/>
        <v>363.745025</v>
      </c>
      <c r="DG23" s="58">
        <f t="shared" si="39"/>
        <v>344.60055</v>
      </c>
      <c r="DH23" s="58">
        <f t="shared" si="39"/>
        <v>325.456075</v>
      </c>
      <c r="DI23" s="58">
        <f t="shared" si="39"/>
        <v>306.3116</v>
      </c>
      <c r="DJ23" s="58">
        <f t="shared" si="39"/>
        <v>287.167125</v>
      </c>
      <c r="DK23" s="58">
        <f t="shared" si="39"/>
        <v>268.02265</v>
      </c>
      <c r="DL23" s="58">
        <f t="shared" si="39"/>
        <v>248.878175</v>
      </c>
      <c r="DM23" s="58">
        <f t="shared" si="39"/>
        <v>229.7337</v>
      </c>
      <c r="DN23" s="58">
        <f t="shared" si="39"/>
        <v>210.58922499999997</v>
      </c>
      <c r="DO23" s="58">
        <f t="shared" si="39"/>
        <v>191.44475</v>
      </c>
      <c r="DP23" s="58">
        <f t="shared" si="39"/>
        <v>172.300275</v>
      </c>
      <c r="DQ23" s="58">
        <f t="shared" si="39"/>
        <v>153.1558</v>
      </c>
      <c r="DR23" s="58">
        <f t="shared" si="39"/>
        <v>134.011325</v>
      </c>
      <c r="DS23" s="58">
        <f t="shared" si="39"/>
        <v>114.86685</v>
      </c>
      <c r="DT23" s="58">
        <f t="shared" si="39"/>
        <v>95.722375</v>
      </c>
      <c r="DU23" s="58">
        <f t="shared" si="39"/>
        <v>76.5779</v>
      </c>
      <c r="DV23" s="58">
        <f t="shared" si="39"/>
        <v>57.433425</v>
      </c>
      <c r="DW23" s="58">
        <f t="shared" si="39"/>
        <v>38.28895</v>
      </c>
      <c r="DX23" s="58">
        <f t="shared" si="39"/>
        <v>19.144475</v>
      </c>
      <c r="DY23" s="58">
        <f t="shared" si="39"/>
        <v>0</v>
      </c>
    </row>
    <row r="24" spans="1:129" x14ac:dyDescent="0.45">
      <c r="A24" s="3">
        <v>46022</v>
      </c>
      <c r="B24" s="2" t="s">
        <v>19</v>
      </c>
      <c r="C24" s="4" t="s">
        <v>22</v>
      </c>
      <c r="D24" s="17">
        <v>0</v>
      </c>
      <c r="E24" s="2" t="s">
        <v>43</v>
      </c>
      <c r="F24" s="2">
        <v>120</v>
      </c>
      <c r="G24" s="2" t="s">
        <v>43</v>
      </c>
      <c r="H24" s="2">
        <v>120</v>
      </c>
      <c r="I24" s="13">
        <v>2994.7869999999998</v>
      </c>
      <c r="J24" s="58">
        <f t="shared" si="37"/>
        <v>2969.8304416666665</v>
      </c>
      <c r="K24" s="58">
        <f t="shared" ref="K24:BV24" si="40">IF(K$1&lt;$F24,$I24*(($F24-K$1)/$F24),0)</f>
        <v>2944.8738833333332</v>
      </c>
      <c r="L24" s="58">
        <f t="shared" si="40"/>
        <v>2919.9173249999999</v>
      </c>
      <c r="M24" s="58">
        <f t="shared" si="40"/>
        <v>2894.9607666666666</v>
      </c>
      <c r="N24" s="58">
        <f t="shared" si="40"/>
        <v>2870.0042083333333</v>
      </c>
      <c r="O24" s="58">
        <f t="shared" si="40"/>
        <v>2845.0476499999995</v>
      </c>
      <c r="P24" s="58">
        <f t="shared" si="40"/>
        <v>2820.0910916666662</v>
      </c>
      <c r="Q24" s="58">
        <f t="shared" si="40"/>
        <v>2795.1345333333334</v>
      </c>
      <c r="R24" s="58">
        <f t="shared" si="40"/>
        <v>2770.1779750000001</v>
      </c>
      <c r="S24" s="58">
        <f t="shared" si="40"/>
        <v>2745.2214166666663</v>
      </c>
      <c r="T24" s="58">
        <f t="shared" si="40"/>
        <v>2720.264858333333</v>
      </c>
      <c r="U24" s="58">
        <f t="shared" si="40"/>
        <v>2695.3082999999997</v>
      </c>
      <c r="V24" s="58">
        <f t="shared" si="40"/>
        <v>2670.3517416666668</v>
      </c>
      <c r="W24" s="58">
        <f t="shared" si="40"/>
        <v>2645.3951833333331</v>
      </c>
      <c r="X24" s="58">
        <f t="shared" si="40"/>
        <v>2620.4386249999998</v>
      </c>
      <c r="Y24" s="58">
        <f t="shared" si="40"/>
        <v>2595.4820666666665</v>
      </c>
      <c r="Z24" s="58">
        <f t="shared" si="40"/>
        <v>2570.5255083333332</v>
      </c>
      <c r="AA24" s="58">
        <f t="shared" si="40"/>
        <v>2545.5689499999999</v>
      </c>
      <c r="AB24" s="58">
        <f t="shared" si="40"/>
        <v>2520.6123916666666</v>
      </c>
      <c r="AC24" s="58">
        <f t="shared" si="40"/>
        <v>2495.6558333333332</v>
      </c>
      <c r="AD24" s="58">
        <f t="shared" si="40"/>
        <v>2470.6992749999995</v>
      </c>
      <c r="AE24" s="58">
        <f t="shared" si="40"/>
        <v>2445.7427166666666</v>
      </c>
      <c r="AF24" s="58">
        <f t="shared" si="40"/>
        <v>2420.7861583333333</v>
      </c>
      <c r="AG24" s="58">
        <f t="shared" si="40"/>
        <v>2395.8296</v>
      </c>
      <c r="AH24" s="58">
        <f t="shared" si="40"/>
        <v>2370.8730416666663</v>
      </c>
      <c r="AI24" s="58">
        <f t="shared" si="40"/>
        <v>2345.916483333333</v>
      </c>
      <c r="AJ24" s="58">
        <f t="shared" si="40"/>
        <v>2320.9599250000001</v>
      </c>
      <c r="AK24" s="58">
        <f t="shared" si="40"/>
        <v>2296.0033666666668</v>
      </c>
      <c r="AL24" s="58">
        <f t="shared" si="40"/>
        <v>2271.046808333333</v>
      </c>
      <c r="AM24" s="58">
        <f t="shared" si="40"/>
        <v>2246.0902499999997</v>
      </c>
      <c r="AN24" s="58">
        <f t="shared" si="40"/>
        <v>2221.1336916666664</v>
      </c>
      <c r="AO24" s="58">
        <f t="shared" si="40"/>
        <v>2196.1771333333331</v>
      </c>
      <c r="AP24" s="58">
        <f t="shared" si="40"/>
        <v>2171.2205749999998</v>
      </c>
      <c r="AQ24" s="58">
        <f t="shared" si="40"/>
        <v>2146.2640166666665</v>
      </c>
      <c r="AR24" s="58">
        <f t="shared" si="40"/>
        <v>2121.3074583333332</v>
      </c>
      <c r="AS24" s="58">
        <f t="shared" si="40"/>
        <v>2096.3508999999999</v>
      </c>
      <c r="AT24" s="58">
        <f t="shared" si="40"/>
        <v>2071.3943416666666</v>
      </c>
      <c r="AU24" s="58">
        <f t="shared" si="40"/>
        <v>2046.4377833333333</v>
      </c>
      <c r="AV24" s="58">
        <f t="shared" si="40"/>
        <v>2021.481225</v>
      </c>
      <c r="AW24" s="58">
        <f t="shared" si="40"/>
        <v>1996.5246666666665</v>
      </c>
      <c r="AX24" s="58">
        <f t="shared" si="40"/>
        <v>1971.5681083333332</v>
      </c>
      <c r="AY24" s="58">
        <f t="shared" si="40"/>
        <v>1946.6115499999999</v>
      </c>
      <c r="AZ24" s="58">
        <f t="shared" si="40"/>
        <v>1921.6549916666668</v>
      </c>
      <c r="BA24" s="58">
        <f t="shared" si="40"/>
        <v>1896.698433333333</v>
      </c>
      <c r="BB24" s="58">
        <f t="shared" si="40"/>
        <v>1871.7418749999999</v>
      </c>
      <c r="BC24" s="58">
        <f t="shared" si="40"/>
        <v>1846.7853166666666</v>
      </c>
      <c r="BD24" s="58">
        <f t="shared" si="40"/>
        <v>1821.8287583333331</v>
      </c>
      <c r="BE24" s="58">
        <f t="shared" si="40"/>
        <v>1796.8721999999998</v>
      </c>
      <c r="BF24" s="58">
        <f t="shared" si="40"/>
        <v>1771.9156416666665</v>
      </c>
      <c r="BG24" s="58">
        <f t="shared" si="40"/>
        <v>1746.9590833333334</v>
      </c>
      <c r="BH24" s="58">
        <f t="shared" si="40"/>
        <v>1722.0025249999997</v>
      </c>
      <c r="BI24" s="58">
        <f t="shared" si="40"/>
        <v>1697.0459666666666</v>
      </c>
      <c r="BJ24" s="58">
        <f t="shared" si="40"/>
        <v>1672.0894083333333</v>
      </c>
      <c r="BK24" s="58">
        <f t="shared" si="40"/>
        <v>1647.13285</v>
      </c>
      <c r="BL24" s="58">
        <f t="shared" si="40"/>
        <v>1622.1762916666664</v>
      </c>
      <c r="BM24" s="58">
        <f t="shared" si="40"/>
        <v>1597.2197333333331</v>
      </c>
      <c r="BN24" s="58">
        <f t="shared" si="40"/>
        <v>1572.263175</v>
      </c>
      <c r="BO24" s="58">
        <f t="shared" si="40"/>
        <v>1547.3066166666667</v>
      </c>
      <c r="BP24" s="58">
        <f t="shared" si="40"/>
        <v>1522.3500583333332</v>
      </c>
      <c r="BQ24" s="58">
        <f t="shared" si="40"/>
        <v>1497.3934999999999</v>
      </c>
      <c r="BR24" s="58">
        <f t="shared" si="40"/>
        <v>1472.4369416666666</v>
      </c>
      <c r="BS24" s="58">
        <f t="shared" si="40"/>
        <v>1447.4803833333333</v>
      </c>
      <c r="BT24" s="58">
        <f t="shared" si="40"/>
        <v>1422.5238249999998</v>
      </c>
      <c r="BU24" s="58">
        <f t="shared" si="40"/>
        <v>1397.5672666666667</v>
      </c>
      <c r="BV24" s="58">
        <f t="shared" si="40"/>
        <v>1372.6107083333332</v>
      </c>
      <c r="BW24" s="58">
        <f t="shared" si="38"/>
        <v>1347.6541499999998</v>
      </c>
      <c r="BX24" s="58">
        <f t="shared" si="38"/>
        <v>1322.6975916666665</v>
      </c>
      <c r="BY24" s="58">
        <f t="shared" si="38"/>
        <v>1297.7410333333332</v>
      </c>
      <c r="BZ24" s="58">
        <f t="shared" si="38"/>
        <v>1272.7844749999999</v>
      </c>
      <c r="CA24" s="58">
        <f t="shared" si="38"/>
        <v>1247.8279166666666</v>
      </c>
      <c r="CB24" s="58">
        <f t="shared" si="38"/>
        <v>1222.8713583333333</v>
      </c>
      <c r="CC24" s="58">
        <f t="shared" si="38"/>
        <v>1197.9148</v>
      </c>
      <c r="CD24" s="58">
        <f t="shared" si="38"/>
        <v>1172.9582416666665</v>
      </c>
      <c r="CE24" s="58">
        <f t="shared" si="38"/>
        <v>1148.0016833333334</v>
      </c>
      <c r="CF24" s="58">
        <f t="shared" si="38"/>
        <v>1123.0451249999999</v>
      </c>
      <c r="CG24" s="58">
        <f t="shared" si="38"/>
        <v>1098.0885666666666</v>
      </c>
      <c r="CH24" s="58">
        <f t="shared" si="38"/>
        <v>1073.1320083333333</v>
      </c>
      <c r="CI24" s="58">
        <f t="shared" si="38"/>
        <v>1048.17545</v>
      </c>
      <c r="CJ24" s="58">
        <f t="shared" si="38"/>
        <v>1023.2188916666667</v>
      </c>
      <c r="CK24" s="58">
        <f t="shared" si="38"/>
        <v>998.26233333333323</v>
      </c>
      <c r="CL24" s="58">
        <f t="shared" si="39"/>
        <v>973.30577499999993</v>
      </c>
      <c r="CM24" s="58">
        <f t="shared" si="39"/>
        <v>948.34921666666651</v>
      </c>
      <c r="CN24" s="58">
        <f t="shared" si="39"/>
        <v>923.39265833333332</v>
      </c>
      <c r="CO24" s="58">
        <f t="shared" si="39"/>
        <v>898.4360999999999</v>
      </c>
      <c r="CP24" s="58">
        <f t="shared" si="39"/>
        <v>873.47954166666671</v>
      </c>
      <c r="CQ24" s="58">
        <f t="shared" si="39"/>
        <v>848.52298333333329</v>
      </c>
      <c r="CR24" s="58">
        <f t="shared" si="39"/>
        <v>823.56642499999998</v>
      </c>
      <c r="CS24" s="58">
        <f t="shared" si="39"/>
        <v>798.60986666666656</v>
      </c>
      <c r="CT24" s="58">
        <f t="shared" si="39"/>
        <v>773.65330833333337</v>
      </c>
      <c r="CU24" s="58">
        <f t="shared" si="39"/>
        <v>748.69674999999995</v>
      </c>
      <c r="CV24" s="58">
        <f t="shared" si="39"/>
        <v>723.74019166666665</v>
      </c>
      <c r="CW24" s="58">
        <f t="shared" si="39"/>
        <v>698.78363333333334</v>
      </c>
      <c r="CX24" s="58">
        <f t="shared" si="39"/>
        <v>673.82707499999992</v>
      </c>
      <c r="CY24" s="58">
        <f t="shared" si="39"/>
        <v>648.87051666666662</v>
      </c>
      <c r="CZ24" s="58">
        <f t="shared" si="39"/>
        <v>623.91395833333331</v>
      </c>
      <c r="DA24" s="58">
        <f t="shared" si="39"/>
        <v>598.95740000000001</v>
      </c>
      <c r="DB24" s="58">
        <f t="shared" si="39"/>
        <v>574.0008416666667</v>
      </c>
      <c r="DC24" s="58">
        <f t="shared" si="39"/>
        <v>549.04428333333328</v>
      </c>
      <c r="DD24" s="58">
        <f t="shared" si="39"/>
        <v>524.08772499999998</v>
      </c>
      <c r="DE24" s="58">
        <f t="shared" si="39"/>
        <v>499.13116666666662</v>
      </c>
      <c r="DF24" s="58">
        <f t="shared" si="39"/>
        <v>474.17460833333325</v>
      </c>
      <c r="DG24" s="58">
        <f t="shared" si="39"/>
        <v>449.21804999999995</v>
      </c>
      <c r="DH24" s="58">
        <f t="shared" si="39"/>
        <v>424.26149166666664</v>
      </c>
      <c r="DI24" s="58">
        <f t="shared" si="39"/>
        <v>399.30493333333328</v>
      </c>
      <c r="DJ24" s="58">
        <f t="shared" si="39"/>
        <v>374.34837499999998</v>
      </c>
      <c r="DK24" s="58">
        <f t="shared" si="39"/>
        <v>349.39181666666667</v>
      </c>
      <c r="DL24" s="58">
        <f t="shared" si="39"/>
        <v>324.43525833333331</v>
      </c>
      <c r="DM24" s="58">
        <f t="shared" si="39"/>
        <v>299.4787</v>
      </c>
      <c r="DN24" s="58">
        <f t="shared" si="39"/>
        <v>274.52214166666664</v>
      </c>
      <c r="DO24" s="58">
        <f t="shared" si="39"/>
        <v>249.56558333333331</v>
      </c>
      <c r="DP24" s="58">
        <f t="shared" si="39"/>
        <v>224.60902499999997</v>
      </c>
      <c r="DQ24" s="58">
        <f t="shared" si="39"/>
        <v>199.65246666666664</v>
      </c>
      <c r="DR24" s="58">
        <f t="shared" si="39"/>
        <v>174.69590833333334</v>
      </c>
      <c r="DS24" s="58">
        <f t="shared" si="39"/>
        <v>149.73935</v>
      </c>
      <c r="DT24" s="58">
        <f t="shared" si="39"/>
        <v>124.78279166666665</v>
      </c>
      <c r="DU24" s="58">
        <f t="shared" si="39"/>
        <v>99.82623333333332</v>
      </c>
      <c r="DV24" s="58">
        <f t="shared" si="39"/>
        <v>74.869675000000001</v>
      </c>
      <c r="DW24" s="58">
        <f t="shared" si="39"/>
        <v>49.91311666666666</v>
      </c>
      <c r="DX24" s="58">
        <f t="shared" si="39"/>
        <v>24.95655833333333</v>
      </c>
      <c r="DY24" s="58">
        <f t="shared" si="39"/>
        <v>0</v>
      </c>
    </row>
    <row r="25" spans="1:129" x14ac:dyDescent="0.45">
      <c r="A25" s="3">
        <v>46022</v>
      </c>
      <c r="B25" s="2" t="s">
        <v>19</v>
      </c>
      <c r="C25" s="4" t="s">
        <v>32</v>
      </c>
      <c r="D25" s="17">
        <v>3.5000000000000003E-2</v>
      </c>
      <c r="E25" s="2" t="s">
        <v>45</v>
      </c>
      <c r="F25" s="2">
        <v>72</v>
      </c>
      <c r="G25" s="2" t="s">
        <v>45</v>
      </c>
      <c r="H25" s="2">
        <v>72</v>
      </c>
      <c r="I25" s="59">
        <v>130</v>
      </c>
      <c r="J25" s="58">
        <f t="shared" ref="J25:BU25" si="41">IF(J$1&lt;$F25,$I25,0)</f>
        <v>130</v>
      </c>
      <c r="K25" s="58">
        <f t="shared" si="41"/>
        <v>130</v>
      </c>
      <c r="L25" s="58">
        <f t="shared" si="41"/>
        <v>130</v>
      </c>
      <c r="M25" s="58">
        <f t="shared" si="41"/>
        <v>130</v>
      </c>
      <c r="N25" s="58">
        <f t="shared" si="41"/>
        <v>130</v>
      </c>
      <c r="O25" s="58">
        <f t="shared" si="41"/>
        <v>130</v>
      </c>
      <c r="P25" s="58">
        <f t="shared" si="41"/>
        <v>130</v>
      </c>
      <c r="Q25" s="58">
        <f t="shared" si="41"/>
        <v>130</v>
      </c>
      <c r="R25" s="58">
        <f t="shared" si="41"/>
        <v>130</v>
      </c>
      <c r="S25" s="58">
        <f t="shared" si="41"/>
        <v>130</v>
      </c>
      <c r="T25" s="58">
        <f t="shared" si="41"/>
        <v>130</v>
      </c>
      <c r="U25" s="58">
        <f t="shared" si="41"/>
        <v>130</v>
      </c>
      <c r="V25" s="58">
        <f t="shared" si="41"/>
        <v>130</v>
      </c>
      <c r="W25" s="58">
        <f t="shared" si="41"/>
        <v>130</v>
      </c>
      <c r="X25" s="58">
        <f t="shared" si="41"/>
        <v>130</v>
      </c>
      <c r="Y25" s="58">
        <f t="shared" si="41"/>
        <v>130</v>
      </c>
      <c r="Z25" s="58">
        <f t="shared" si="41"/>
        <v>130</v>
      </c>
      <c r="AA25" s="58">
        <f t="shared" si="41"/>
        <v>130</v>
      </c>
      <c r="AB25" s="58">
        <f t="shared" si="41"/>
        <v>130</v>
      </c>
      <c r="AC25" s="58">
        <f t="shared" si="41"/>
        <v>130</v>
      </c>
      <c r="AD25" s="58">
        <f t="shared" si="41"/>
        <v>130</v>
      </c>
      <c r="AE25" s="58">
        <f t="shared" si="41"/>
        <v>130</v>
      </c>
      <c r="AF25" s="58">
        <f t="shared" si="41"/>
        <v>130</v>
      </c>
      <c r="AG25" s="58">
        <f t="shared" si="41"/>
        <v>130</v>
      </c>
      <c r="AH25" s="58">
        <f t="shared" si="41"/>
        <v>130</v>
      </c>
      <c r="AI25" s="58">
        <f t="shared" si="41"/>
        <v>130</v>
      </c>
      <c r="AJ25" s="58">
        <f t="shared" si="41"/>
        <v>130</v>
      </c>
      <c r="AK25" s="58">
        <f t="shared" si="41"/>
        <v>130</v>
      </c>
      <c r="AL25" s="58">
        <f t="shared" si="41"/>
        <v>130</v>
      </c>
      <c r="AM25" s="58">
        <f t="shared" si="41"/>
        <v>130</v>
      </c>
      <c r="AN25" s="58">
        <f t="shared" si="41"/>
        <v>130</v>
      </c>
      <c r="AO25" s="58">
        <f t="shared" si="41"/>
        <v>130</v>
      </c>
      <c r="AP25" s="58">
        <f t="shared" si="41"/>
        <v>130</v>
      </c>
      <c r="AQ25" s="58">
        <f t="shared" si="41"/>
        <v>130</v>
      </c>
      <c r="AR25" s="58">
        <f t="shared" si="41"/>
        <v>130</v>
      </c>
      <c r="AS25" s="58">
        <f t="shared" si="41"/>
        <v>130</v>
      </c>
      <c r="AT25" s="58">
        <f t="shared" si="41"/>
        <v>130</v>
      </c>
      <c r="AU25" s="58">
        <f t="shared" si="41"/>
        <v>130</v>
      </c>
      <c r="AV25" s="58">
        <f t="shared" si="41"/>
        <v>130</v>
      </c>
      <c r="AW25" s="58">
        <f t="shared" si="41"/>
        <v>130</v>
      </c>
      <c r="AX25" s="58">
        <f t="shared" si="41"/>
        <v>130</v>
      </c>
      <c r="AY25" s="58">
        <f t="shared" si="41"/>
        <v>130</v>
      </c>
      <c r="AZ25" s="58">
        <f t="shared" si="41"/>
        <v>130</v>
      </c>
      <c r="BA25" s="58">
        <f t="shared" si="41"/>
        <v>130</v>
      </c>
      <c r="BB25" s="58">
        <f t="shared" si="41"/>
        <v>130</v>
      </c>
      <c r="BC25" s="58">
        <f t="shared" si="41"/>
        <v>130</v>
      </c>
      <c r="BD25" s="58">
        <f t="shared" si="41"/>
        <v>130</v>
      </c>
      <c r="BE25" s="58">
        <f t="shared" si="41"/>
        <v>130</v>
      </c>
      <c r="BF25" s="58">
        <f t="shared" si="41"/>
        <v>130</v>
      </c>
      <c r="BG25" s="58">
        <f t="shared" si="41"/>
        <v>130</v>
      </c>
      <c r="BH25" s="58">
        <f t="shared" si="41"/>
        <v>130</v>
      </c>
      <c r="BI25" s="58">
        <f t="shared" si="41"/>
        <v>130</v>
      </c>
      <c r="BJ25" s="58">
        <f t="shared" si="41"/>
        <v>130</v>
      </c>
      <c r="BK25" s="58">
        <f t="shared" si="41"/>
        <v>130</v>
      </c>
      <c r="BL25" s="58">
        <f t="shared" si="41"/>
        <v>130</v>
      </c>
      <c r="BM25" s="58">
        <f t="shared" si="41"/>
        <v>130</v>
      </c>
      <c r="BN25" s="58">
        <f t="shared" si="41"/>
        <v>130</v>
      </c>
      <c r="BO25" s="58">
        <f t="shared" si="41"/>
        <v>130</v>
      </c>
      <c r="BP25" s="58">
        <f t="shared" si="41"/>
        <v>130</v>
      </c>
      <c r="BQ25" s="58">
        <f t="shared" si="41"/>
        <v>130</v>
      </c>
      <c r="BR25" s="58">
        <f t="shared" si="41"/>
        <v>130</v>
      </c>
      <c r="BS25" s="58">
        <f t="shared" si="41"/>
        <v>130</v>
      </c>
      <c r="BT25" s="58">
        <f t="shared" si="41"/>
        <v>130</v>
      </c>
      <c r="BU25" s="58">
        <f t="shared" si="41"/>
        <v>130</v>
      </c>
      <c r="BV25" s="58">
        <f t="shared" ref="BV25:DY25" si="42">IF(BV$1&lt;$F25,$I25,0)</f>
        <v>130</v>
      </c>
      <c r="BW25" s="58">
        <f t="shared" si="42"/>
        <v>130</v>
      </c>
      <c r="BX25" s="58">
        <f t="shared" si="42"/>
        <v>130</v>
      </c>
      <c r="BY25" s="58">
        <f t="shared" si="42"/>
        <v>130</v>
      </c>
      <c r="BZ25" s="58">
        <f t="shared" si="42"/>
        <v>130</v>
      </c>
      <c r="CA25" s="58">
        <f t="shared" si="42"/>
        <v>130</v>
      </c>
      <c r="CB25" s="58">
        <f t="shared" si="42"/>
        <v>130</v>
      </c>
      <c r="CC25" s="58">
        <f t="shared" si="42"/>
        <v>0</v>
      </c>
      <c r="CD25" s="58">
        <f t="shared" si="42"/>
        <v>0</v>
      </c>
      <c r="CE25" s="58">
        <f t="shared" si="42"/>
        <v>0</v>
      </c>
      <c r="CF25" s="58">
        <f t="shared" si="42"/>
        <v>0</v>
      </c>
      <c r="CG25" s="58">
        <f t="shared" si="42"/>
        <v>0</v>
      </c>
      <c r="CH25" s="58">
        <f t="shared" si="42"/>
        <v>0</v>
      </c>
      <c r="CI25" s="58">
        <f t="shared" si="42"/>
        <v>0</v>
      </c>
      <c r="CJ25" s="58">
        <f t="shared" si="42"/>
        <v>0</v>
      </c>
      <c r="CK25" s="58">
        <f t="shared" si="42"/>
        <v>0</v>
      </c>
      <c r="CL25" s="58">
        <f t="shared" si="42"/>
        <v>0</v>
      </c>
      <c r="CM25" s="58">
        <f t="shared" si="42"/>
        <v>0</v>
      </c>
      <c r="CN25" s="58">
        <f t="shared" si="42"/>
        <v>0</v>
      </c>
      <c r="CO25" s="58">
        <f t="shared" si="42"/>
        <v>0</v>
      </c>
      <c r="CP25" s="58">
        <f t="shared" si="42"/>
        <v>0</v>
      </c>
      <c r="CQ25" s="58">
        <f t="shared" si="42"/>
        <v>0</v>
      </c>
      <c r="CR25" s="58">
        <f t="shared" si="42"/>
        <v>0</v>
      </c>
      <c r="CS25" s="58">
        <f t="shared" si="42"/>
        <v>0</v>
      </c>
      <c r="CT25" s="58">
        <f t="shared" si="42"/>
        <v>0</v>
      </c>
      <c r="CU25" s="58">
        <f t="shared" si="42"/>
        <v>0</v>
      </c>
      <c r="CV25" s="58">
        <f t="shared" si="42"/>
        <v>0</v>
      </c>
      <c r="CW25" s="58">
        <f t="shared" si="42"/>
        <v>0</v>
      </c>
      <c r="CX25" s="58">
        <f t="shared" si="42"/>
        <v>0</v>
      </c>
      <c r="CY25" s="58">
        <f t="shared" si="42"/>
        <v>0</v>
      </c>
      <c r="CZ25" s="58">
        <f t="shared" si="42"/>
        <v>0</v>
      </c>
      <c r="DA25" s="58">
        <f t="shared" si="42"/>
        <v>0</v>
      </c>
      <c r="DB25" s="58">
        <f t="shared" si="42"/>
        <v>0</v>
      </c>
      <c r="DC25" s="58">
        <f t="shared" si="42"/>
        <v>0</v>
      </c>
      <c r="DD25" s="58">
        <f t="shared" si="42"/>
        <v>0</v>
      </c>
      <c r="DE25" s="58">
        <f t="shared" si="42"/>
        <v>0</v>
      </c>
      <c r="DF25" s="58">
        <f t="shared" si="42"/>
        <v>0</v>
      </c>
      <c r="DG25" s="58">
        <f t="shared" si="42"/>
        <v>0</v>
      </c>
      <c r="DH25" s="58">
        <f t="shared" si="42"/>
        <v>0</v>
      </c>
      <c r="DI25" s="58">
        <f t="shared" si="42"/>
        <v>0</v>
      </c>
      <c r="DJ25" s="58">
        <f t="shared" si="42"/>
        <v>0</v>
      </c>
      <c r="DK25" s="58">
        <f t="shared" si="42"/>
        <v>0</v>
      </c>
      <c r="DL25" s="58">
        <f t="shared" si="42"/>
        <v>0</v>
      </c>
      <c r="DM25" s="58">
        <f t="shared" si="42"/>
        <v>0</v>
      </c>
      <c r="DN25" s="58">
        <f t="shared" si="42"/>
        <v>0</v>
      </c>
      <c r="DO25" s="58">
        <f t="shared" si="42"/>
        <v>0</v>
      </c>
      <c r="DP25" s="58">
        <f t="shared" si="42"/>
        <v>0</v>
      </c>
      <c r="DQ25" s="58">
        <f t="shared" si="42"/>
        <v>0</v>
      </c>
      <c r="DR25" s="58">
        <f t="shared" si="42"/>
        <v>0</v>
      </c>
      <c r="DS25" s="58">
        <f t="shared" si="42"/>
        <v>0</v>
      </c>
      <c r="DT25" s="58">
        <f t="shared" si="42"/>
        <v>0</v>
      </c>
      <c r="DU25" s="58">
        <f t="shared" si="42"/>
        <v>0</v>
      </c>
      <c r="DV25" s="58">
        <f t="shared" si="42"/>
        <v>0</v>
      </c>
      <c r="DW25" s="58">
        <f t="shared" si="42"/>
        <v>0</v>
      </c>
      <c r="DX25" s="58">
        <f t="shared" si="42"/>
        <v>0</v>
      </c>
      <c r="DY25" s="58">
        <f t="shared" si="42"/>
        <v>0</v>
      </c>
    </row>
    <row r="26" spans="1:129" x14ac:dyDescent="0.45">
      <c r="A26" s="3">
        <v>46022</v>
      </c>
      <c r="B26" s="2" t="s">
        <v>19</v>
      </c>
      <c r="C26" s="4" t="s">
        <v>23</v>
      </c>
      <c r="D26" s="16"/>
      <c r="E26" s="54"/>
      <c r="F26" s="54"/>
      <c r="G26" s="54"/>
      <c r="H26" s="54"/>
      <c r="I26" s="13">
        <v>25913.849000000002</v>
      </c>
      <c r="J26" s="58">
        <f>SUM(J27:J33)</f>
        <v>25697.900258333335</v>
      </c>
      <c r="K26" s="58">
        <f t="shared" ref="K26:BV26" si="43">SUM(K27:K33)</f>
        <v>25481.951516666664</v>
      </c>
      <c r="L26" s="58">
        <f t="shared" si="43"/>
        <v>25266.002774999997</v>
      </c>
      <c r="M26" s="58">
        <f t="shared" si="43"/>
        <v>25050.054033333334</v>
      </c>
      <c r="N26" s="58">
        <f t="shared" si="43"/>
        <v>24834.105291666667</v>
      </c>
      <c r="O26" s="58">
        <f t="shared" si="43"/>
        <v>24618.15655</v>
      </c>
      <c r="P26" s="58">
        <f t="shared" si="43"/>
        <v>24402.207808333333</v>
      </c>
      <c r="Q26" s="58">
        <f t="shared" si="43"/>
        <v>24186.259066666669</v>
      </c>
      <c r="R26" s="58">
        <f t="shared" si="43"/>
        <v>23970.310325000002</v>
      </c>
      <c r="S26" s="58">
        <f t="shared" si="43"/>
        <v>23754.361583333332</v>
      </c>
      <c r="T26" s="58">
        <f t="shared" si="43"/>
        <v>23538.412841666668</v>
      </c>
      <c r="U26" s="58">
        <f t="shared" si="43"/>
        <v>23322.464100000005</v>
      </c>
      <c r="V26" s="58">
        <f t="shared" si="43"/>
        <v>23106.515358333338</v>
      </c>
      <c r="W26" s="58">
        <f t="shared" si="43"/>
        <v>22890.566616666663</v>
      </c>
      <c r="X26" s="58">
        <f t="shared" si="43"/>
        <v>22674.617875</v>
      </c>
      <c r="Y26" s="58">
        <f t="shared" si="43"/>
        <v>22458.669133333337</v>
      </c>
      <c r="Z26" s="58">
        <f t="shared" si="43"/>
        <v>22242.720391666666</v>
      </c>
      <c r="AA26" s="58">
        <f t="shared" si="43"/>
        <v>22026.771650000002</v>
      </c>
      <c r="AB26" s="58">
        <f t="shared" si="43"/>
        <v>21810.822908333335</v>
      </c>
      <c r="AC26" s="58">
        <f t="shared" si="43"/>
        <v>21594.874166666668</v>
      </c>
      <c r="AD26" s="58">
        <f t="shared" si="43"/>
        <v>21378.925425000001</v>
      </c>
      <c r="AE26" s="58">
        <f t="shared" si="43"/>
        <v>21162.976683333331</v>
      </c>
      <c r="AF26" s="58">
        <f t="shared" si="43"/>
        <v>20947.027941666667</v>
      </c>
      <c r="AG26" s="58">
        <f t="shared" si="43"/>
        <v>20731.0792</v>
      </c>
      <c r="AH26" s="58">
        <f t="shared" si="43"/>
        <v>20515.130458333333</v>
      </c>
      <c r="AI26" s="58">
        <f t="shared" si="43"/>
        <v>20299.181716666666</v>
      </c>
      <c r="AJ26" s="58">
        <f t="shared" si="43"/>
        <v>20083.232974999999</v>
      </c>
      <c r="AK26" s="58">
        <f t="shared" si="43"/>
        <v>19867.284233333336</v>
      </c>
      <c r="AL26" s="58">
        <f t="shared" si="43"/>
        <v>19651.335491666665</v>
      </c>
      <c r="AM26" s="58">
        <f t="shared" si="43"/>
        <v>19435.386750000001</v>
      </c>
      <c r="AN26" s="58">
        <f t="shared" si="43"/>
        <v>19219.438008333334</v>
      </c>
      <c r="AO26" s="58">
        <f t="shared" si="43"/>
        <v>19003.489266666667</v>
      </c>
      <c r="AP26" s="58">
        <f t="shared" si="43"/>
        <v>18787.540525</v>
      </c>
      <c r="AQ26" s="58">
        <f t="shared" si="43"/>
        <v>18571.591783333333</v>
      </c>
      <c r="AR26" s="58">
        <f t="shared" si="43"/>
        <v>18355.64304166667</v>
      </c>
      <c r="AS26" s="58">
        <f t="shared" si="43"/>
        <v>18139.694299999999</v>
      </c>
      <c r="AT26" s="58">
        <f t="shared" si="43"/>
        <v>17923.745558333336</v>
      </c>
      <c r="AU26" s="58">
        <f t="shared" si="43"/>
        <v>17707.796816666669</v>
      </c>
      <c r="AV26" s="58">
        <f t="shared" si="43"/>
        <v>17491.848075000002</v>
      </c>
      <c r="AW26" s="58">
        <f t="shared" si="43"/>
        <v>17275.899333333331</v>
      </c>
      <c r="AX26" s="58">
        <f t="shared" si="43"/>
        <v>17059.950591666668</v>
      </c>
      <c r="AY26" s="58">
        <f t="shared" si="43"/>
        <v>16844.001850000001</v>
      </c>
      <c r="AZ26" s="58">
        <f t="shared" si="43"/>
        <v>16628.053108333334</v>
      </c>
      <c r="BA26" s="58">
        <f t="shared" si="43"/>
        <v>16412.104366666666</v>
      </c>
      <c r="BB26" s="58">
        <f t="shared" si="43"/>
        <v>16196.155625000001</v>
      </c>
      <c r="BC26" s="58">
        <f t="shared" si="43"/>
        <v>15980.206883333336</v>
      </c>
      <c r="BD26" s="58">
        <f t="shared" si="43"/>
        <v>15764.258141666665</v>
      </c>
      <c r="BE26" s="58">
        <f t="shared" si="43"/>
        <v>15548.3094</v>
      </c>
      <c r="BF26" s="58">
        <f t="shared" si="43"/>
        <v>15332.360658333333</v>
      </c>
      <c r="BG26" s="58">
        <f t="shared" si="43"/>
        <v>15116.411916666668</v>
      </c>
      <c r="BH26" s="58">
        <f t="shared" si="43"/>
        <v>14900.463174999999</v>
      </c>
      <c r="BI26" s="58">
        <f t="shared" si="43"/>
        <v>14684.514433333334</v>
      </c>
      <c r="BJ26" s="58">
        <f t="shared" si="43"/>
        <v>14468.565691666665</v>
      </c>
      <c r="BK26" s="58">
        <f t="shared" si="43"/>
        <v>14252.616950000001</v>
      </c>
      <c r="BL26" s="58">
        <f t="shared" si="43"/>
        <v>14036.668208333333</v>
      </c>
      <c r="BM26" s="58">
        <f t="shared" si="43"/>
        <v>13820.719466666664</v>
      </c>
      <c r="BN26" s="58">
        <f t="shared" si="43"/>
        <v>13604.770725</v>
      </c>
      <c r="BO26" s="58">
        <f t="shared" si="43"/>
        <v>13388.821983333335</v>
      </c>
      <c r="BP26" s="58">
        <f t="shared" si="43"/>
        <v>13172.873241666666</v>
      </c>
      <c r="BQ26" s="58">
        <f t="shared" si="43"/>
        <v>12956.924500000001</v>
      </c>
      <c r="BR26" s="58">
        <f t="shared" si="43"/>
        <v>12740.975758333332</v>
      </c>
      <c r="BS26" s="58">
        <f t="shared" si="43"/>
        <v>12525.027016666667</v>
      </c>
      <c r="BT26" s="58">
        <f t="shared" si="43"/>
        <v>12309.078275</v>
      </c>
      <c r="BU26" s="58">
        <f t="shared" si="43"/>
        <v>12093.129533333335</v>
      </c>
      <c r="BV26" s="58">
        <f t="shared" si="43"/>
        <v>11877.180791666666</v>
      </c>
      <c r="BW26" s="58">
        <f t="shared" ref="BW26:DY26" si="44">SUM(BW27:BW33)</f>
        <v>11661.232050000002</v>
      </c>
      <c r="BX26" s="58">
        <f t="shared" si="44"/>
        <v>11445.283308333332</v>
      </c>
      <c r="BY26" s="58">
        <f t="shared" si="44"/>
        <v>11229.334566666668</v>
      </c>
      <c r="BZ26" s="58">
        <f t="shared" si="44"/>
        <v>11013.385825000001</v>
      </c>
      <c r="CA26" s="58">
        <f t="shared" si="44"/>
        <v>10797.437083333334</v>
      </c>
      <c r="CB26" s="58">
        <f t="shared" si="44"/>
        <v>10581.488341666665</v>
      </c>
      <c r="CC26" s="58">
        <f t="shared" si="44"/>
        <v>10365.5396</v>
      </c>
      <c r="CD26" s="58">
        <f t="shared" si="44"/>
        <v>10149.590858333333</v>
      </c>
      <c r="CE26" s="58">
        <f t="shared" si="44"/>
        <v>9933.6421166666678</v>
      </c>
      <c r="CF26" s="58">
        <f t="shared" si="44"/>
        <v>9717.6933750000007</v>
      </c>
      <c r="CG26" s="58">
        <f t="shared" si="44"/>
        <v>9501.7446333333337</v>
      </c>
      <c r="CH26" s="58">
        <f t="shared" si="44"/>
        <v>9285.7958916666666</v>
      </c>
      <c r="CI26" s="58">
        <f t="shared" si="44"/>
        <v>9069.8471499999996</v>
      </c>
      <c r="CJ26" s="58">
        <f t="shared" si="44"/>
        <v>8853.8984083333344</v>
      </c>
      <c r="CK26" s="58">
        <f t="shared" si="44"/>
        <v>8637.9496666666655</v>
      </c>
      <c r="CL26" s="58">
        <f t="shared" si="44"/>
        <v>8422.0009250000003</v>
      </c>
      <c r="CM26" s="58">
        <f t="shared" si="44"/>
        <v>8206.0521833333332</v>
      </c>
      <c r="CN26" s="58">
        <f t="shared" si="44"/>
        <v>7990.103441666668</v>
      </c>
      <c r="CO26" s="58">
        <f t="shared" si="44"/>
        <v>7774.1547</v>
      </c>
      <c r="CP26" s="58">
        <f t="shared" si="44"/>
        <v>7558.2059583333339</v>
      </c>
      <c r="CQ26" s="58">
        <f t="shared" si="44"/>
        <v>7342.2572166666669</v>
      </c>
      <c r="CR26" s="58">
        <f t="shared" si="44"/>
        <v>7126.3084750000007</v>
      </c>
      <c r="CS26" s="58">
        <f t="shared" si="44"/>
        <v>6910.3597333333319</v>
      </c>
      <c r="CT26" s="58">
        <f t="shared" si="44"/>
        <v>6694.4109916666675</v>
      </c>
      <c r="CU26" s="58">
        <f t="shared" si="44"/>
        <v>6478.4622500000005</v>
      </c>
      <c r="CV26" s="58">
        <f t="shared" si="44"/>
        <v>6262.5135083333334</v>
      </c>
      <c r="CW26" s="58">
        <f t="shared" si="44"/>
        <v>6046.5647666666673</v>
      </c>
      <c r="CX26" s="58">
        <f t="shared" si="44"/>
        <v>5830.6160250000012</v>
      </c>
      <c r="CY26" s="58">
        <f t="shared" si="44"/>
        <v>5614.6672833333341</v>
      </c>
      <c r="CZ26" s="58">
        <f t="shared" si="44"/>
        <v>5398.7185416666671</v>
      </c>
      <c r="DA26" s="58">
        <f t="shared" si="44"/>
        <v>5182.7698</v>
      </c>
      <c r="DB26" s="58">
        <f t="shared" si="44"/>
        <v>4966.8210583333339</v>
      </c>
      <c r="DC26" s="58">
        <f t="shared" si="44"/>
        <v>4750.8723166666668</v>
      </c>
      <c r="DD26" s="58">
        <f t="shared" si="44"/>
        <v>4534.9235749999998</v>
      </c>
      <c r="DE26" s="58">
        <f t="shared" si="44"/>
        <v>4318.9748333333328</v>
      </c>
      <c r="DF26" s="58">
        <f t="shared" si="44"/>
        <v>4103.0260916666666</v>
      </c>
      <c r="DG26" s="58">
        <f t="shared" si="44"/>
        <v>3887.07735</v>
      </c>
      <c r="DH26" s="58">
        <f t="shared" si="44"/>
        <v>3671.1286083333334</v>
      </c>
      <c r="DI26" s="58">
        <f t="shared" si="44"/>
        <v>3455.1798666666659</v>
      </c>
      <c r="DJ26" s="58">
        <f t="shared" si="44"/>
        <v>3239.2311250000002</v>
      </c>
      <c r="DK26" s="58">
        <f t="shared" si="44"/>
        <v>3023.2823833333337</v>
      </c>
      <c r="DL26" s="58">
        <f t="shared" si="44"/>
        <v>2807.3336416666671</v>
      </c>
      <c r="DM26" s="58">
        <f t="shared" si="44"/>
        <v>2591.3849</v>
      </c>
      <c r="DN26" s="58">
        <f t="shared" si="44"/>
        <v>2375.4361583333334</v>
      </c>
      <c r="DO26" s="58">
        <f t="shared" si="44"/>
        <v>2159.4874166666664</v>
      </c>
      <c r="DP26" s="58">
        <f t="shared" si="44"/>
        <v>1943.538675</v>
      </c>
      <c r="DQ26" s="58">
        <f t="shared" si="44"/>
        <v>1727.589933333333</v>
      </c>
      <c r="DR26" s="58">
        <f t="shared" si="44"/>
        <v>1511.6411916666668</v>
      </c>
      <c r="DS26" s="58">
        <f t="shared" si="44"/>
        <v>1295.69245</v>
      </c>
      <c r="DT26" s="58">
        <f t="shared" si="44"/>
        <v>1079.7437083333332</v>
      </c>
      <c r="DU26" s="58">
        <f t="shared" si="44"/>
        <v>863.79496666666648</v>
      </c>
      <c r="DV26" s="58">
        <f t="shared" si="44"/>
        <v>647.846225</v>
      </c>
      <c r="DW26" s="58">
        <f t="shared" si="44"/>
        <v>431.89748333333324</v>
      </c>
      <c r="DX26" s="58">
        <f t="shared" si="44"/>
        <v>215.94874166666662</v>
      </c>
      <c r="DY26" s="58">
        <f t="shared" si="44"/>
        <v>0</v>
      </c>
    </row>
    <row r="27" spans="1:129" x14ac:dyDescent="0.45">
      <c r="A27" s="3">
        <v>46022</v>
      </c>
      <c r="B27" s="2" t="s">
        <v>19</v>
      </c>
      <c r="C27" s="6" t="s">
        <v>24</v>
      </c>
      <c r="D27" s="17">
        <v>0</v>
      </c>
      <c r="E27" s="2" t="s">
        <v>43</v>
      </c>
      <c r="F27" s="2">
        <v>120</v>
      </c>
      <c r="G27" s="2" t="s">
        <v>43</v>
      </c>
      <c r="H27" s="2">
        <v>120</v>
      </c>
      <c r="I27" s="14">
        <v>476.541</v>
      </c>
      <c r="J27" s="55">
        <f t="shared" ref="J27:Y33" si="45">IF(J$1&lt;$F27,$I27*(($F27-J$1)/$F27),0)</f>
        <v>472.56982500000004</v>
      </c>
      <c r="K27" s="55">
        <f t="shared" si="45"/>
        <v>468.59864999999996</v>
      </c>
      <c r="L27" s="55">
        <f t="shared" si="45"/>
        <v>464.627475</v>
      </c>
      <c r="M27" s="55">
        <f t="shared" si="45"/>
        <v>460.65629999999999</v>
      </c>
      <c r="N27" s="55">
        <f t="shared" si="45"/>
        <v>456.68512500000003</v>
      </c>
      <c r="O27" s="55">
        <f t="shared" si="45"/>
        <v>452.71394999999995</v>
      </c>
      <c r="P27" s="55">
        <f t="shared" si="45"/>
        <v>448.74277499999999</v>
      </c>
      <c r="Q27" s="55">
        <f t="shared" si="45"/>
        <v>444.77159999999998</v>
      </c>
      <c r="R27" s="55">
        <f t="shared" si="45"/>
        <v>440.80042500000002</v>
      </c>
      <c r="S27" s="55">
        <f t="shared" si="45"/>
        <v>436.82925</v>
      </c>
      <c r="T27" s="55">
        <f t="shared" si="45"/>
        <v>432.85807499999999</v>
      </c>
      <c r="U27" s="55">
        <f t="shared" si="45"/>
        <v>428.88690000000003</v>
      </c>
      <c r="V27" s="55">
        <f t="shared" si="45"/>
        <v>424.91572500000001</v>
      </c>
      <c r="W27" s="55">
        <f t="shared" si="45"/>
        <v>420.94454999999999</v>
      </c>
      <c r="X27" s="55">
        <f t="shared" si="45"/>
        <v>416.97337499999998</v>
      </c>
      <c r="Y27" s="55">
        <f t="shared" si="45"/>
        <v>413.00220000000002</v>
      </c>
      <c r="Z27" s="55">
        <f t="shared" ref="Z27:CK30" si="46">IF(Z$1&lt;$F27,$I27*(($F27-Z$1)/$F27),0)</f>
        <v>409.031025</v>
      </c>
      <c r="AA27" s="55">
        <f t="shared" si="46"/>
        <v>405.05984999999998</v>
      </c>
      <c r="AB27" s="55">
        <f t="shared" si="46"/>
        <v>401.08867500000002</v>
      </c>
      <c r="AC27" s="55">
        <f t="shared" si="46"/>
        <v>397.11750000000001</v>
      </c>
      <c r="AD27" s="55">
        <f t="shared" si="46"/>
        <v>393.14632499999999</v>
      </c>
      <c r="AE27" s="55">
        <f t="shared" si="46"/>
        <v>389.17514999999997</v>
      </c>
      <c r="AF27" s="55">
        <f t="shared" si="46"/>
        <v>385.20397500000001</v>
      </c>
      <c r="AG27" s="55">
        <f t="shared" si="46"/>
        <v>381.2328</v>
      </c>
      <c r="AH27" s="55">
        <f t="shared" si="46"/>
        <v>377.26162499999998</v>
      </c>
      <c r="AI27" s="55">
        <f t="shared" si="46"/>
        <v>373.29045000000002</v>
      </c>
      <c r="AJ27" s="55">
        <f t="shared" si="46"/>
        <v>369.319275</v>
      </c>
      <c r="AK27" s="55">
        <f t="shared" si="46"/>
        <v>365.34810000000004</v>
      </c>
      <c r="AL27" s="55">
        <f t="shared" si="46"/>
        <v>361.37692499999997</v>
      </c>
      <c r="AM27" s="55">
        <f t="shared" si="46"/>
        <v>357.40575000000001</v>
      </c>
      <c r="AN27" s="55">
        <f t="shared" si="46"/>
        <v>353.434575</v>
      </c>
      <c r="AO27" s="55">
        <f t="shared" si="46"/>
        <v>349.46339999999998</v>
      </c>
      <c r="AP27" s="55">
        <f t="shared" si="46"/>
        <v>345.49222499999996</v>
      </c>
      <c r="AQ27" s="55">
        <f t="shared" si="46"/>
        <v>341.52105</v>
      </c>
      <c r="AR27" s="55">
        <f t="shared" si="46"/>
        <v>337.54987500000004</v>
      </c>
      <c r="AS27" s="55">
        <f t="shared" si="46"/>
        <v>333.57869999999997</v>
      </c>
      <c r="AT27" s="55">
        <f t="shared" si="46"/>
        <v>329.60752500000001</v>
      </c>
      <c r="AU27" s="55">
        <f t="shared" si="46"/>
        <v>325.63634999999999</v>
      </c>
      <c r="AV27" s="55">
        <f t="shared" si="46"/>
        <v>321.66517500000003</v>
      </c>
      <c r="AW27" s="55">
        <f t="shared" si="46"/>
        <v>317.69399999999996</v>
      </c>
      <c r="AX27" s="55">
        <f t="shared" si="46"/>
        <v>313.722825</v>
      </c>
      <c r="AY27" s="55">
        <f t="shared" si="46"/>
        <v>309.75164999999998</v>
      </c>
      <c r="AZ27" s="55">
        <f t="shared" si="46"/>
        <v>305.78047500000002</v>
      </c>
      <c r="BA27" s="55">
        <f t="shared" si="46"/>
        <v>301.80930000000001</v>
      </c>
      <c r="BB27" s="55">
        <f t="shared" si="46"/>
        <v>297.83812499999999</v>
      </c>
      <c r="BC27" s="55">
        <f t="shared" si="46"/>
        <v>293.86695000000003</v>
      </c>
      <c r="BD27" s="55">
        <f t="shared" si="46"/>
        <v>289.89577499999996</v>
      </c>
      <c r="BE27" s="55">
        <f t="shared" si="46"/>
        <v>285.9246</v>
      </c>
      <c r="BF27" s="55">
        <f t="shared" si="46"/>
        <v>281.95342499999998</v>
      </c>
      <c r="BG27" s="55">
        <f t="shared" si="46"/>
        <v>277.98225000000002</v>
      </c>
      <c r="BH27" s="55">
        <f t="shared" si="46"/>
        <v>274.01107500000001</v>
      </c>
      <c r="BI27" s="55">
        <f t="shared" si="46"/>
        <v>270.03989999999999</v>
      </c>
      <c r="BJ27" s="55">
        <f t="shared" si="46"/>
        <v>266.06872500000003</v>
      </c>
      <c r="BK27" s="55">
        <f t="shared" si="46"/>
        <v>262.09755000000001</v>
      </c>
      <c r="BL27" s="55">
        <f t="shared" si="46"/>
        <v>258.126375</v>
      </c>
      <c r="BM27" s="55">
        <f t="shared" si="46"/>
        <v>254.15520000000001</v>
      </c>
      <c r="BN27" s="55">
        <f t="shared" si="46"/>
        <v>250.18402500000002</v>
      </c>
      <c r="BO27" s="55">
        <f t="shared" si="46"/>
        <v>246.21285000000003</v>
      </c>
      <c r="BP27" s="55">
        <f t="shared" si="46"/>
        <v>242.24167499999999</v>
      </c>
      <c r="BQ27" s="55">
        <f t="shared" si="46"/>
        <v>238.2705</v>
      </c>
      <c r="BR27" s="55">
        <f t="shared" si="46"/>
        <v>234.29932499999998</v>
      </c>
      <c r="BS27" s="55">
        <f t="shared" si="46"/>
        <v>230.32814999999999</v>
      </c>
      <c r="BT27" s="55">
        <f t="shared" si="46"/>
        <v>226.35697499999998</v>
      </c>
      <c r="BU27" s="55">
        <f t="shared" si="46"/>
        <v>222.38579999999999</v>
      </c>
      <c r="BV27" s="55">
        <f t="shared" si="46"/>
        <v>218.414625</v>
      </c>
      <c r="BW27" s="55">
        <f t="shared" si="46"/>
        <v>214.44345000000001</v>
      </c>
      <c r="BX27" s="55">
        <f t="shared" si="46"/>
        <v>210.472275</v>
      </c>
      <c r="BY27" s="55">
        <f t="shared" si="46"/>
        <v>206.50110000000001</v>
      </c>
      <c r="BZ27" s="55">
        <f t="shared" si="46"/>
        <v>202.52992499999999</v>
      </c>
      <c r="CA27" s="55">
        <f t="shared" si="46"/>
        <v>198.55875</v>
      </c>
      <c r="CB27" s="55">
        <f t="shared" si="46"/>
        <v>194.58757499999999</v>
      </c>
      <c r="CC27" s="55">
        <f t="shared" si="46"/>
        <v>190.6164</v>
      </c>
      <c r="CD27" s="55">
        <f t="shared" si="46"/>
        <v>186.64522500000001</v>
      </c>
      <c r="CE27" s="55">
        <f t="shared" si="46"/>
        <v>182.67405000000002</v>
      </c>
      <c r="CF27" s="55">
        <f t="shared" si="46"/>
        <v>178.70287500000001</v>
      </c>
      <c r="CG27" s="55">
        <f t="shared" si="46"/>
        <v>174.73169999999999</v>
      </c>
      <c r="CH27" s="55">
        <f t="shared" si="46"/>
        <v>170.760525</v>
      </c>
      <c r="CI27" s="55">
        <f t="shared" si="46"/>
        <v>166.78934999999998</v>
      </c>
      <c r="CJ27" s="55">
        <f t="shared" si="46"/>
        <v>162.818175</v>
      </c>
      <c r="CK27" s="55">
        <f t="shared" si="46"/>
        <v>158.84699999999998</v>
      </c>
      <c r="CL27" s="55">
        <f t="shared" ref="CL27:DY30" si="47">IF(CL$1&lt;$F27,$I27*(($F27-CL$1)/$F27),0)</f>
        <v>154.87582499999999</v>
      </c>
      <c r="CM27" s="55">
        <f t="shared" si="47"/>
        <v>150.90465</v>
      </c>
      <c r="CN27" s="55">
        <f t="shared" si="47"/>
        <v>146.93347500000002</v>
      </c>
      <c r="CO27" s="55">
        <f t="shared" si="47"/>
        <v>142.9623</v>
      </c>
      <c r="CP27" s="55">
        <f t="shared" si="47"/>
        <v>138.99112500000001</v>
      </c>
      <c r="CQ27" s="55">
        <f t="shared" si="47"/>
        <v>135.01994999999999</v>
      </c>
      <c r="CR27" s="55">
        <f t="shared" si="47"/>
        <v>131.04877500000001</v>
      </c>
      <c r="CS27" s="55">
        <f t="shared" si="47"/>
        <v>127.0776</v>
      </c>
      <c r="CT27" s="55">
        <f t="shared" si="47"/>
        <v>123.10642500000002</v>
      </c>
      <c r="CU27" s="55">
        <f t="shared" si="47"/>
        <v>119.13525</v>
      </c>
      <c r="CV27" s="55">
        <f t="shared" si="47"/>
        <v>115.164075</v>
      </c>
      <c r="CW27" s="55">
        <f t="shared" si="47"/>
        <v>111.19289999999999</v>
      </c>
      <c r="CX27" s="55">
        <f t="shared" si="47"/>
        <v>107.22172500000001</v>
      </c>
      <c r="CY27" s="55">
        <f t="shared" si="47"/>
        <v>103.25055</v>
      </c>
      <c r="CZ27" s="55">
        <f t="shared" si="47"/>
        <v>99.279375000000002</v>
      </c>
      <c r="DA27" s="55">
        <f t="shared" si="47"/>
        <v>95.308199999999999</v>
      </c>
      <c r="DB27" s="55">
        <f t="shared" si="47"/>
        <v>91.337025000000011</v>
      </c>
      <c r="DC27" s="55">
        <f t="shared" si="47"/>
        <v>87.365849999999995</v>
      </c>
      <c r="DD27" s="55">
        <f t="shared" si="47"/>
        <v>83.394674999999992</v>
      </c>
      <c r="DE27" s="55">
        <f t="shared" si="47"/>
        <v>79.42349999999999</v>
      </c>
      <c r="DF27" s="55">
        <f t="shared" si="47"/>
        <v>75.452325000000002</v>
      </c>
      <c r="DG27" s="55">
        <f t="shared" si="47"/>
        <v>71.48115</v>
      </c>
      <c r="DH27" s="55">
        <f t="shared" si="47"/>
        <v>67.509974999999997</v>
      </c>
      <c r="DI27" s="55">
        <f t="shared" si="47"/>
        <v>63.538800000000002</v>
      </c>
      <c r="DJ27" s="55">
        <f t="shared" si="47"/>
        <v>59.567625</v>
      </c>
      <c r="DK27" s="55">
        <f t="shared" si="47"/>
        <v>55.596449999999997</v>
      </c>
      <c r="DL27" s="55">
        <f t="shared" si="47"/>
        <v>51.625275000000002</v>
      </c>
      <c r="DM27" s="55">
        <f t="shared" si="47"/>
        <v>47.6541</v>
      </c>
      <c r="DN27" s="55">
        <f t="shared" si="47"/>
        <v>43.682924999999997</v>
      </c>
      <c r="DO27" s="55">
        <f t="shared" si="47"/>
        <v>39.711749999999995</v>
      </c>
      <c r="DP27" s="55">
        <f t="shared" si="47"/>
        <v>35.740575</v>
      </c>
      <c r="DQ27" s="55">
        <f t="shared" si="47"/>
        <v>31.769400000000001</v>
      </c>
      <c r="DR27" s="55">
        <f t="shared" si="47"/>
        <v>27.798224999999999</v>
      </c>
      <c r="DS27" s="55">
        <f t="shared" si="47"/>
        <v>23.82705</v>
      </c>
      <c r="DT27" s="55">
        <f t="shared" si="47"/>
        <v>19.855874999999997</v>
      </c>
      <c r="DU27" s="55">
        <f t="shared" si="47"/>
        <v>15.8847</v>
      </c>
      <c r="DV27" s="55">
        <f t="shared" si="47"/>
        <v>11.913525</v>
      </c>
      <c r="DW27" s="55">
        <f t="shared" si="47"/>
        <v>7.9423500000000002</v>
      </c>
      <c r="DX27" s="55">
        <f t="shared" si="47"/>
        <v>3.9711750000000001</v>
      </c>
      <c r="DY27" s="55">
        <f t="shared" si="47"/>
        <v>0</v>
      </c>
    </row>
    <row r="28" spans="1:129" x14ac:dyDescent="0.45">
      <c r="A28" s="3">
        <v>46022</v>
      </c>
      <c r="B28" s="2" t="s">
        <v>19</v>
      </c>
      <c r="C28" s="6" t="s">
        <v>25</v>
      </c>
      <c r="D28" s="17">
        <v>0</v>
      </c>
      <c r="E28" s="2" t="s">
        <v>43</v>
      </c>
      <c r="F28" s="2">
        <v>120</v>
      </c>
      <c r="G28" s="2" t="s">
        <v>43</v>
      </c>
      <c r="H28" s="2">
        <v>120</v>
      </c>
      <c r="I28" s="14">
        <v>18000.179</v>
      </c>
      <c r="J28" s="55">
        <f t="shared" si="45"/>
        <v>17850.177508333334</v>
      </c>
      <c r="K28" s="55">
        <f t="shared" ref="K28:BV31" si="48">IF(K$1&lt;$F28,$I28*(($F28-K$1)/$F28),0)</f>
        <v>17700.176016666665</v>
      </c>
      <c r="L28" s="55">
        <f t="shared" si="48"/>
        <v>17550.174524999999</v>
      </c>
      <c r="M28" s="55">
        <f t="shared" si="48"/>
        <v>17400.173033333333</v>
      </c>
      <c r="N28" s="55">
        <f t="shared" si="48"/>
        <v>17250.171541666667</v>
      </c>
      <c r="O28" s="55">
        <f t="shared" si="48"/>
        <v>17100.170050000001</v>
      </c>
      <c r="P28" s="55">
        <f t="shared" si="48"/>
        <v>16950.168558333335</v>
      </c>
      <c r="Q28" s="55">
        <f t="shared" si="48"/>
        <v>16800.167066666669</v>
      </c>
      <c r="R28" s="55">
        <f t="shared" si="48"/>
        <v>16650.165574999999</v>
      </c>
      <c r="S28" s="55">
        <f t="shared" si="48"/>
        <v>16500.164083333333</v>
      </c>
      <c r="T28" s="55">
        <f t="shared" si="48"/>
        <v>16350.162591666667</v>
      </c>
      <c r="U28" s="55">
        <f t="shared" si="48"/>
        <v>16200.161100000001</v>
      </c>
      <c r="V28" s="55">
        <f t="shared" si="48"/>
        <v>16050.159608333335</v>
      </c>
      <c r="W28" s="55">
        <f t="shared" si="48"/>
        <v>15900.158116666666</v>
      </c>
      <c r="X28" s="55">
        <f t="shared" si="48"/>
        <v>15750.156625</v>
      </c>
      <c r="Y28" s="55">
        <f t="shared" si="48"/>
        <v>15600.155133333334</v>
      </c>
      <c r="Z28" s="55">
        <f t="shared" si="48"/>
        <v>15450.153641666666</v>
      </c>
      <c r="AA28" s="55">
        <f t="shared" si="48"/>
        <v>15300.15215</v>
      </c>
      <c r="AB28" s="55">
        <f t="shared" si="48"/>
        <v>15150.150658333334</v>
      </c>
      <c r="AC28" s="55">
        <f t="shared" si="48"/>
        <v>15000.149166666668</v>
      </c>
      <c r="AD28" s="55">
        <f t="shared" si="48"/>
        <v>14850.147675</v>
      </c>
      <c r="AE28" s="55">
        <f t="shared" si="48"/>
        <v>14700.146183333332</v>
      </c>
      <c r="AF28" s="55">
        <f t="shared" si="48"/>
        <v>14550.144691666666</v>
      </c>
      <c r="AG28" s="55">
        <f t="shared" si="48"/>
        <v>14400.1432</v>
      </c>
      <c r="AH28" s="55">
        <f t="shared" si="48"/>
        <v>14250.141708333333</v>
      </c>
      <c r="AI28" s="55">
        <f t="shared" si="48"/>
        <v>14100.140216666667</v>
      </c>
      <c r="AJ28" s="55">
        <f t="shared" si="48"/>
        <v>13950.138725000001</v>
      </c>
      <c r="AK28" s="55">
        <f t="shared" si="48"/>
        <v>13800.137233333335</v>
      </c>
      <c r="AL28" s="55">
        <f t="shared" si="48"/>
        <v>13650.135741666667</v>
      </c>
      <c r="AM28" s="55">
        <f t="shared" si="48"/>
        <v>13500.134249999999</v>
      </c>
      <c r="AN28" s="55">
        <f t="shared" si="48"/>
        <v>13350.132758333333</v>
      </c>
      <c r="AO28" s="55">
        <f t="shared" si="48"/>
        <v>13200.131266666665</v>
      </c>
      <c r="AP28" s="55">
        <f t="shared" si="48"/>
        <v>13050.129774999999</v>
      </c>
      <c r="AQ28" s="55">
        <f t="shared" si="48"/>
        <v>12900.128283333333</v>
      </c>
      <c r="AR28" s="55">
        <f t="shared" si="48"/>
        <v>12750.126791666667</v>
      </c>
      <c r="AS28" s="55">
        <f t="shared" si="48"/>
        <v>12600.1253</v>
      </c>
      <c r="AT28" s="55">
        <f t="shared" si="48"/>
        <v>12450.123808333334</v>
      </c>
      <c r="AU28" s="55">
        <f t="shared" si="48"/>
        <v>12300.122316666668</v>
      </c>
      <c r="AV28" s="55">
        <f t="shared" si="48"/>
        <v>12150.120825</v>
      </c>
      <c r="AW28" s="55">
        <f t="shared" si="48"/>
        <v>12000.119333333332</v>
      </c>
      <c r="AX28" s="55">
        <f t="shared" si="48"/>
        <v>11850.117841666666</v>
      </c>
      <c r="AY28" s="55">
        <f t="shared" si="48"/>
        <v>11700.11635</v>
      </c>
      <c r="AZ28" s="55">
        <f t="shared" si="48"/>
        <v>11550.114858333334</v>
      </c>
      <c r="BA28" s="55">
        <f t="shared" si="48"/>
        <v>11400.113366666666</v>
      </c>
      <c r="BB28" s="55">
        <f t="shared" si="48"/>
        <v>11250.111875000001</v>
      </c>
      <c r="BC28" s="55">
        <f t="shared" si="48"/>
        <v>11100.110383333335</v>
      </c>
      <c r="BD28" s="55">
        <f t="shared" si="48"/>
        <v>10950.108891666665</v>
      </c>
      <c r="BE28" s="55">
        <f t="shared" si="48"/>
        <v>10800.107399999999</v>
      </c>
      <c r="BF28" s="55">
        <f t="shared" si="48"/>
        <v>10650.105908333333</v>
      </c>
      <c r="BG28" s="55">
        <f t="shared" si="48"/>
        <v>10500.104416666667</v>
      </c>
      <c r="BH28" s="55">
        <f t="shared" si="48"/>
        <v>10350.102924999999</v>
      </c>
      <c r="BI28" s="55">
        <f t="shared" si="48"/>
        <v>10200.101433333333</v>
      </c>
      <c r="BJ28" s="55">
        <f t="shared" si="48"/>
        <v>10050.099941666667</v>
      </c>
      <c r="BK28" s="55">
        <f t="shared" si="48"/>
        <v>9900.0984500000013</v>
      </c>
      <c r="BL28" s="55">
        <f t="shared" si="48"/>
        <v>9750.0969583333335</v>
      </c>
      <c r="BM28" s="55">
        <f t="shared" si="48"/>
        <v>9600.0954666666657</v>
      </c>
      <c r="BN28" s="55">
        <f t="shared" si="48"/>
        <v>9450.0939749999998</v>
      </c>
      <c r="BO28" s="55">
        <f t="shared" si="48"/>
        <v>9300.0924833333338</v>
      </c>
      <c r="BP28" s="55">
        <f t="shared" si="48"/>
        <v>9150.090991666666</v>
      </c>
      <c r="BQ28" s="55">
        <f t="shared" si="48"/>
        <v>9000.0895</v>
      </c>
      <c r="BR28" s="55">
        <f t="shared" si="48"/>
        <v>8850.0880083333323</v>
      </c>
      <c r="BS28" s="55">
        <f t="shared" si="48"/>
        <v>8700.0865166666663</v>
      </c>
      <c r="BT28" s="55">
        <f t="shared" si="48"/>
        <v>8550.0850250000003</v>
      </c>
      <c r="BU28" s="55">
        <f t="shared" si="48"/>
        <v>8400.0835333333343</v>
      </c>
      <c r="BV28" s="55">
        <f t="shared" si="48"/>
        <v>8250.0820416666666</v>
      </c>
      <c r="BW28" s="55">
        <f t="shared" si="46"/>
        <v>8100.0805500000006</v>
      </c>
      <c r="BX28" s="55">
        <f t="shared" si="46"/>
        <v>7950.0790583333328</v>
      </c>
      <c r="BY28" s="55">
        <f t="shared" si="46"/>
        <v>7800.0775666666668</v>
      </c>
      <c r="BZ28" s="55">
        <f t="shared" si="46"/>
        <v>7650.0760749999999</v>
      </c>
      <c r="CA28" s="55">
        <f t="shared" si="46"/>
        <v>7500.074583333334</v>
      </c>
      <c r="CB28" s="55">
        <f t="shared" si="46"/>
        <v>7350.0730916666662</v>
      </c>
      <c r="CC28" s="55">
        <f t="shared" si="46"/>
        <v>7200.0716000000002</v>
      </c>
      <c r="CD28" s="55">
        <f t="shared" si="46"/>
        <v>7050.0701083333333</v>
      </c>
      <c r="CE28" s="55">
        <f t="shared" si="46"/>
        <v>6900.0686166666674</v>
      </c>
      <c r="CF28" s="55">
        <f t="shared" si="46"/>
        <v>6750.0671249999996</v>
      </c>
      <c r="CG28" s="55">
        <f t="shared" si="46"/>
        <v>6600.0656333333327</v>
      </c>
      <c r="CH28" s="55">
        <f t="shared" si="46"/>
        <v>6450.0641416666667</v>
      </c>
      <c r="CI28" s="55">
        <f t="shared" si="46"/>
        <v>6300.0626499999998</v>
      </c>
      <c r="CJ28" s="55">
        <f t="shared" si="46"/>
        <v>6150.0611583333339</v>
      </c>
      <c r="CK28" s="55">
        <f t="shared" si="46"/>
        <v>6000.0596666666661</v>
      </c>
      <c r="CL28" s="55">
        <f t="shared" si="47"/>
        <v>5850.0581750000001</v>
      </c>
      <c r="CM28" s="55">
        <f t="shared" si="47"/>
        <v>5700.0566833333332</v>
      </c>
      <c r="CN28" s="55">
        <f t="shared" si="47"/>
        <v>5550.0551916666673</v>
      </c>
      <c r="CO28" s="55">
        <f t="shared" si="47"/>
        <v>5400.0536999999995</v>
      </c>
      <c r="CP28" s="55">
        <f t="shared" si="47"/>
        <v>5250.0522083333335</v>
      </c>
      <c r="CQ28" s="55">
        <f t="shared" si="47"/>
        <v>5100.0507166666666</v>
      </c>
      <c r="CR28" s="55">
        <f t="shared" si="47"/>
        <v>4950.0492250000007</v>
      </c>
      <c r="CS28" s="55">
        <f t="shared" si="47"/>
        <v>4800.0477333333329</v>
      </c>
      <c r="CT28" s="55">
        <f t="shared" si="47"/>
        <v>4650.0462416666669</v>
      </c>
      <c r="CU28" s="55">
        <f t="shared" si="47"/>
        <v>4500.04475</v>
      </c>
      <c r="CV28" s="55">
        <f t="shared" si="47"/>
        <v>4350.0432583333331</v>
      </c>
      <c r="CW28" s="55">
        <f t="shared" si="47"/>
        <v>4200.0417666666672</v>
      </c>
      <c r="CX28" s="55">
        <f t="shared" si="47"/>
        <v>4050.0402750000003</v>
      </c>
      <c r="CY28" s="55">
        <f t="shared" si="47"/>
        <v>3900.0387833333334</v>
      </c>
      <c r="CZ28" s="55">
        <f t="shared" si="47"/>
        <v>3750.037291666667</v>
      </c>
      <c r="DA28" s="55">
        <f t="shared" si="47"/>
        <v>3600.0358000000001</v>
      </c>
      <c r="DB28" s="55">
        <f t="shared" si="47"/>
        <v>3450.0343083333337</v>
      </c>
      <c r="DC28" s="55">
        <f t="shared" si="47"/>
        <v>3300.0328166666663</v>
      </c>
      <c r="DD28" s="55">
        <f t="shared" si="47"/>
        <v>3150.0313249999999</v>
      </c>
      <c r="DE28" s="55">
        <f t="shared" si="47"/>
        <v>3000.029833333333</v>
      </c>
      <c r="DF28" s="55">
        <f t="shared" si="47"/>
        <v>2850.0283416666666</v>
      </c>
      <c r="DG28" s="55">
        <f t="shared" si="47"/>
        <v>2700.0268499999997</v>
      </c>
      <c r="DH28" s="55">
        <f t="shared" si="47"/>
        <v>2550.0253583333333</v>
      </c>
      <c r="DI28" s="55">
        <f t="shared" si="47"/>
        <v>2400.0238666666664</v>
      </c>
      <c r="DJ28" s="55">
        <f t="shared" si="47"/>
        <v>2250.022375</v>
      </c>
      <c r="DK28" s="55">
        <f t="shared" si="47"/>
        <v>2100.0208833333336</v>
      </c>
      <c r="DL28" s="55">
        <f t="shared" si="47"/>
        <v>1950.0193916666667</v>
      </c>
      <c r="DM28" s="55">
        <f t="shared" si="47"/>
        <v>1800.0179000000001</v>
      </c>
      <c r="DN28" s="55">
        <f t="shared" si="47"/>
        <v>1650.0164083333332</v>
      </c>
      <c r="DO28" s="55">
        <f t="shared" si="47"/>
        <v>1500.0149166666665</v>
      </c>
      <c r="DP28" s="55">
        <f t="shared" si="47"/>
        <v>1350.0134249999999</v>
      </c>
      <c r="DQ28" s="55">
        <f t="shared" si="47"/>
        <v>1200.0119333333332</v>
      </c>
      <c r="DR28" s="55">
        <f t="shared" si="47"/>
        <v>1050.0104416666668</v>
      </c>
      <c r="DS28" s="55">
        <f t="shared" si="47"/>
        <v>900.00895000000003</v>
      </c>
      <c r="DT28" s="55">
        <f t="shared" si="47"/>
        <v>750.00745833333326</v>
      </c>
      <c r="DU28" s="55">
        <f t="shared" si="47"/>
        <v>600.00596666666661</v>
      </c>
      <c r="DV28" s="55">
        <f t="shared" si="47"/>
        <v>450.00447500000001</v>
      </c>
      <c r="DW28" s="55">
        <f t="shared" si="47"/>
        <v>300.0029833333333</v>
      </c>
      <c r="DX28" s="55">
        <f t="shared" si="47"/>
        <v>150.00149166666665</v>
      </c>
      <c r="DY28" s="55">
        <f t="shared" si="47"/>
        <v>0</v>
      </c>
    </row>
    <row r="29" spans="1:129" x14ac:dyDescent="0.45">
      <c r="A29" s="3">
        <v>46022</v>
      </c>
      <c r="B29" s="2" t="s">
        <v>19</v>
      </c>
      <c r="C29" s="6" t="s">
        <v>26</v>
      </c>
      <c r="D29" s="17">
        <v>0</v>
      </c>
      <c r="E29" s="2" t="s">
        <v>43</v>
      </c>
      <c r="F29" s="2">
        <v>120</v>
      </c>
      <c r="G29" s="2" t="s">
        <v>43</v>
      </c>
      <c r="H29" s="2">
        <v>120</v>
      </c>
      <c r="I29" s="14">
        <v>2.2200000000000002</v>
      </c>
      <c r="J29" s="55">
        <f t="shared" si="45"/>
        <v>2.2015000000000002</v>
      </c>
      <c r="K29" s="55">
        <f t="shared" si="48"/>
        <v>2.1830000000000003</v>
      </c>
      <c r="L29" s="55">
        <f t="shared" si="48"/>
        <v>2.1645000000000003</v>
      </c>
      <c r="M29" s="55">
        <f t="shared" si="48"/>
        <v>2.1460000000000004</v>
      </c>
      <c r="N29" s="55">
        <f t="shared" si="48"/>
        <v>2.1275000000000004</v>
      </c>
      <c r="O29" s="55">
        <f t="shared" si="48"/>
        <v>2.109</v>
      </c>
      <c r="P29" s="55">
        <f t="shared" si="48"/>
        <v>2.0905</v>
      </c>
      <c r="Q29" s="55">
        <f t="shared" si="48"/>
        <v>2.0720000000000001</v>
      </c>
      <c r="R29" s="55">
        <f t="shared" si="48"/>
        <v>2.0535000000000001</v>
      </c>
      <c r="S29" s="55">
        <f t="shared" si="48"/>
        <v>2.0350000000000001</v>
      </c>
      <c r="T29" s="55">
        <f t="shared" si="48"/>
        <v>2.0165000000000002</v>
      </c>
      <c r="U29" s="55">
        <f t="shared" si="48"/>
        <v>1.9980000000000002</v>
      </c>
      <c r="V29" s="55">
        <f t="shared" si="48"/>
        <v>1.9795000000000003</v>
      </c>
      <c r="W29" s="55">
        <f t="shared" si="48"/>
        <v>1.9610000000000001</v>
      </c>
      <c r="X29" s="55">
        <f t="shared" si="48"/>
        <v>1.9425000000000001</v>
      </c>
      <c r="Y29" s="55">
        <f t="shared" si="48"/>
        <v>1.9240000000000002</v>
      </c>
      <c r="Z29" s="55">
        <f t="shared" si="48"/>
        <v>1.9055</v>
      </c>
      <c r="AA29" s="55">
        <f t="shared" si="48"/>
        <v>1.887</v>
      </c>
      <c r="AB29" s="55">
        <f t="shared" si="48"/>
        <v>1.8685000000000003</v>
      </c>
      <c r="AC29" s="55">
        <f t="shared" si="48"/>
        <v>1.8500000000000003</v>
      </c>
      <c r="AD29" s="55">
        <f t="shared" si="48"/>
        <v>1.8315000000000001</v>
      </c>
      <c r="AE29" s="55">
        <f t="shared" si="48"/>
        <v>1.8130000000000002</v>
      </c>
      <c r="AF29" s="55">
        <f t="shared" si="48"/>
        <v>1.7945000000000002</v>
      </c>
      <c r="AG29" s="55">
        <f t="shared" si="48"/>
        <v>1.7760000000000002</v>
      </c>
      <c r="AH29" s="55">
        <f t="shared" si="48"/>
        <v>1.7575000000000001</v>
      </c>
      <c r="AI29" s="55">
        <f t="shared" si="48"/>
        <v>1.7390000000000001</v>
      </c>
      <c r="AJ29" s="55">
        <f t="shared" si="48"/>
        <v>1.7205000000000001</v>
      </c>
      <c r="AK29" s="55">
        <f t="shared" si="48"/>
        <v>1.7020000000000002</v>
      </c>
      <c r="AL29" s="55">
        <f t="shared" si="48"/>
        <v>1.6835</v>
      </c>
      <c r="AM29" s="55">
        <f t="shared" si="48"/>
        <v>1.665</v>
      </c>
      <c r="AN29" s="55">
        <f t="shared" si="48"/>
        <v>1.6465000000000003</v>
      </c>
      <c r="AO29" s="55">
        <f t="shared" si="48"/>
        <v>1.6280000000000001</v>
      </c>
      <c r="AP29" s="55">
        <f t="shared" si="48"/>
        <v>1.6095000000000002</v>
      </c>
      <c r="AQ29" s="55">
        <f t="shared" si="48"/>
        <v>1.5910000000000002</v>
      </c>
      <c r="AR29" s="55">
        <f t="shared" si="48"/>
        <v>1.5725000000000002</v>
      </c>
      <c r="AS29" s="55">
        <f t="shared" si="48"/>
        <v>1.554</v>
      </c>
      <c r="AT29" s="55">
        <f t="shared" si="48"/>
        <v>1.5355000000000001</v>
      </c>
      <c r="AU29" s="55">
        <f t="shared" si="48"/>
        <v>1.5170000000000001</v>
      </c>
      <c r="AV29" s="55">
        <f t="shared" si="48"/>
        <v>1.4985000000000002</v>
      </c>
      <c r="AW29" s="55">
        <f t="shared" si="48"/>
        <v>1.48</v>
      </c>
      <c r="AX29" s="55">
        <f t="shared" si="48"/>
        <v>1.4615</v>
      </c>
      <c r="AY29" s="55">
        <f t="shared" si="48"/>
        <v>1.4430000000000003</v>
      </c>
      <c r="AZ29" s="55">
        <f t="shared" si="48"/>
        <v>1.4245000000000003</v>
      </c>
      <c r="BA29" s="55">
        <f t="shared" si="48"/>
        <v>1.4060000000000001</v>
      </c>
      <c r="BB29" s="55">
        <f t="shared" si="48"/>
        <v>1.3875000000000002</v>
      </c>
      <c r="BC29" s="55">
        <f t="shared" si="48"/>
        <v>1.3690000000000002</v>
      </c>
      <c r="BD29" s="55">
        <f t="shared" si="48"/>
        <v>1.3505</v>
      </c>
      <c r="BE29" s="55">
        <f t="shared" si="48"/>
        <v>1.3320000000000001</v>
      </c>
      <c r="BF29" s="55">
        <f t="shared" si="48"/>
        <v>1.3135000000000001</v>
      </c>
      <c r="BG29" s="55">
        <f t="shared" si="48"/>
        <v>1.2950000000000002</v>
      </c>
      <c r="BH29" s="55">
        <f t="shared" si="48"/>
        <v>1.2765</v>
      </c>
      <c r="BI29" s="55">
        <f t="shared" si="48"/>
        <v>1.258</v>
      </c>
      <c r="BJ29" s="55">
        <f t="shared" si="48"/>
        <v>1.2395</v>
      </c>
      <c r="BK29" s="55">
        <f t="shared" si="48"/>
        <v>1.2210000000000003</v>
      </c>
      <c r="BL29" s="55">
        <f t="shared" si="48"/>
        <v>1.2025000000000001</v>
      </c>
      <c r="BM29" s="55">
        <f t="shared" si="48"/>
        <v>1.1840000000000002</v>
      </c>
      <c r="BN29" s="55">
        <f t="shared" si="48"/>
        <v>1.1655000000000002</v>
      </c>
      <c r="BO29" s="55">
        <f t="shared" si="48"/>
        <v>1.1470000000000002</v>
      </c>
      <c r="BP29" s="55">
        <f t="shared" si="48"/>
        <v>1.1285000000000001</v>
      </c>
      <c r="BQ29" s="55">
        <f t="shared" si="48"/>
        <v>1.1100000000000001</v>
      </c>
      <c r="BR29" s="55">
        <f t="shared" si="48"/>
        <v>1.0915000000000001</v>
      </c>
      <c r="BS29" s="55">
        <f t="shared" si="48"/>
        <v>1.0730000000000002</v>
      </c>
      <c r="BT29" s="55">
        <f t="shared" si="48"/>
        <v>1.0545</v>
      </c>
      <c r="BU29" s="55">
        <f t="shared" si="48"/>
        <v>1.036</v>
      </c>
      <c r="BV29" s="55">
        <f t="shared" si="48"/>
        <v>1.0175000000000001</v>
      </c>
      <c r="BW29" s="55">
        <f t="shared" si="46"/>
        <v>0.99900000000000011</v>
      </c>
      <c r="BX29" s="55">
        <f t="shared" si="46"/>
        <v>0.98050000000000004</v>
      </c>
      <c r="BY29" s="55">
        <f t="shared" si="46"/>
        <v>0.96200000000000008</v>
      </c>
      <c r="BZ29" s="55">
        <f t="shared" si="46"/>
        <v>0.94350000000000001</v>
      </c>
      <c r="CA29" s="55">
        <f t="shared" si="46"/>
        <v>0.92500000000000016</v>
      </c>
      <c r="CB29" s="55">
        <f t="shared" si="46"/>
        <v>0.90650000000000008</v>
      </c>
      <c r="CC29" s="55">
        <f t="shared" si="46"/>
        <v>0.88800000000000012</v>
      </c>
      <c r="CD29" s="55">
        <f t="shared" si="46"/>
        <v>0.86950000000000005</v>
      </c>
      <c r="CE29" s="55">
        <f t="shared" si="46"/>
        <v>0.85100000000000009</v>
      </c>
      <c r="CF29" s="55">
        <f t="shared" si="46"/>
        <v>0.83250000000000002</v>
      </c>
      <c r="CG29" s="55">
        <f t="shared" si="46"/>
        <v>0.81400000000000006</v>
      </c>
      <c r="CH29" s="55">
        <f t="shared" si="46"/>
        <v>0.7955000000000001</v>
      </c>
      <c r="CI29" s="55">
        <f t="shared" si="46"/>
        <v>0.77700000000000002</v>
      </c>
      <c r="CJ29" s="55">
        <f t="shared" si="46"/>
        <v>0.75850000000000006</v>
      </c>
      <c r="CK29" s="55">
        <f t="shared" si="46"/>
        <v>0.74</v>
      </c>
      <c r="CL29" s="55">
        <f t="shared" si="47"/>
        <v>0.72150000000000014</v>
      </c>
      <c r="CM29" s="55">
        <f t="shared" si="47"/>
        <v>0.70300000000000007</v>
      </c>
      <c r="CN29" s="55">
        <f t="shared" si="47"/>
        <v>0.68450000000000011</v>
      </c>
      <c r="CO29" s="55">
        <f t="shared" si="47"/>
        <v>0.66600000000000004</v>
      </c>
      <c r="CP29" s="55">
        <f t="shared" si="47"/>
        <v>0.64750000000000008</v>
      </c>
      <c r="CQ29" s="55">
        <f t="shared" si="47"/>
        <v>0.629</v>
      </c>
      <c r="CR29" s="55">
        <f t="shared" si="47"/>
        <v>0.61050000000000015</v>
      </c>
      <c r="CS29" s="55">
        <f t="shared" si="47"/>
        <v>0.59200000000000008</v>
      </c>
      <c r="CT29" s="55">
        <f t="shared" si="47"/>
        <v>0.57350000000000012</v>
      </c>
      <c r="CU29" s="55">
        <f t="shared" si="47"/>
        <v>0.55500000000000005</v>
      </c>
      <c r="CV29" s="55">
        <f t="shared" si="47"/>
        <v>0.53650000000000009</v>
      </c>
      <c r="CW29" s="55">
        <f t="shared" si="47"/>
        <v>0.51800000000000002</v>
      </c>
      <c r="CX29" s="55">
        <f t="shared" si="47"/>
        <v>0.49950000000000006</v>
      </c>
      <c r="CY29" s="55">
        <f t="shared" si="47"/>
        <v>0.48100000000000004</v>
      </c>
      <c r="CZ29" s="55">
        <f t="shared" si="47"/>
        <v>0.46250000000000008</v>
      </c>
      <c r="DA29" s="55">
        <f t="shared" si="47"/>
        <v>0.44400000000000006</v>
      </c>
      <c r="DB29" s="55">
        <f t="shared" si="47"/>
        <v>0.42550000000000004</v>
      </c>
      <c r="DC29" s="55">
        <f t="shared" si="47"/>
        <v>0.40700000000000003</v>
      </c>
      <c r="DD29" s="55">
        <f t="shared" si="47"/>
        <v>0.38850000000000001</v>
      </c>
      <c r="DE29" s="55">
        <f t="shared" si="47"/>
        <v>0.37</v>
      </c>
      <c r="DF29" s="55">
        <f t="shared" si="47"/>
        <v>0.35150000000000003</v>
      </c>
      <c r="DG29" s="55">
        <f t="shared" si="47"/>
        <v>0.33300000000000002</v>
      </c>
      <c r="DH29" s="55">
        <f t="shared" si="47"/>
        <v>0.3145</v>
      </c>
      <c r="DI29" s="55">
        <f t="shared" si="47"/>
        <v>0.29600000000000004</v>
      </c>
      <c r="DJ29" s="55">
        <f t="shared" si="47"/>
        <v>0.27750000000000002</v>
      </c>
      <c r="DK29" s="55">
        <f t="shared" si="47"/>
        <v>0.25900000000000001</v>
      </c>
      <c r="DL29" s="55">
        <f t="shared" si="47"/>
        <v>0.24050000000000002</v>
      </c>
      <c r="DM29" s="55">
        <f t="shared" si="47"/>
        <v>0.22200000000000003</v>
      </c>
      <c r="DN29" s="55">
        <f t="shared" si="47"/>
        <v>0.20350000000000001</v>
      </c>
      <c r="DO29" s="55">
        <f t="shared" si="47"/>
        <v>0.185</v>
      </c>
      <c r="DP29" s="55">
        <f t="shared" si="47"/>
        <v>0.16650000000000001</v>
      </c>
      <c r="DQ29" s="55">
        <f t="shared" si="47"/>
        <v>0.14800000000000002</v>
      </c>
      <c r="DR29" s="55">
        <f t="shared" si="47"/>
        <v>0.1295</v>
      </c>
      <c r="DS29" s="55">
        <f t="shared" si="47"/>
        <v>0.11100000000000002</v>
      </c>
      <c r="DT29" s="55">
        <f t="shared" si="47"/>
        <v>9.2499999999999999E-2</v>
      </c>
      <c r="DU29" s="55">
        <f t="shared" si="47"/>
        <v>7.400000000000001E-2</v>
      </c>
      <c r="DV29" s="55">
        <f t="shared" si="47"/>
        <v>5.5500000000000008E-2</v>
      </c>
      <c r="DW29" s="55">
        <f t="shared" si="47"/>
        <v>3.7000000000000005E-2</v>
      </c>
      <c r="DX29" s="55">
        <f t="shared" si="47"/>
        <v>1.8500000000000003E-2</v>
      </c>
      <c r="DY29" s="55">
        <f t="shared" si="47"/>
        <v>0</v>
      </c>
    </row>
    <row r="30" spans="1:129" x14ac:dyDescent="0.45">
      <c r="A30" s="3">
        <v>46022</v>
      </c>
      <c r="B30" s="2" t="s">
        <v>19</v>
      </c>
      <c r="C30" s="6" t="s">
        <v>27</v>
      </c>
      <c r="D30" s="17">
        <v>0</v>
      </c>
      <c r="E30" s="2" t="s">
        <v>43</v>
      </c>
      <c r="F30" s="2">
        <v>120</v>
      </c>
      <c r="G30" s="2" t="s">
        <v>43</v>
      </c>
      <c r="H30" s="2">
        <v>120</v>
      </c>
      <c r="I30" s="14">
        <v>429.97500000000002</v>
      </c>
      <c r="J30" s="55">
        <f t="shared" si="45"/>
        <v>426.39187500000003</v>
      </c>
      <c r="K30" s="55">
        <f t="shared" si="48"/>
        <v>422.80874999999997</v>
      </c>
      <c r="L30" s="55">
        <f t="shared" si="48"/>
        <v>419.22562500000004</v>
      </c>
      <c r="M30" s="55">
        <f t="shared" si="48"/>
        <v>415.64250000000004</v>
      </c>
      <c r="N30" s="55">
        <f t="shared" si="48"/>
        <v>412.05937500000005</v>
      </c>
      <c r="O30" s="55">
        <f t="shared" si="48"/>
        <v>408.47624999999999</v>
      </c>
      <c r="P30" s="55">
        <f t="shared" si="48"/>
        <v>404.893125</v>
      </c>
      <c r="Q30" s="55">
        <f t="shared" si="48"/>
        <v>401.31</v>
      </c>
      <c r="R30" s="55">
        <f t="shared" si="48"/>
        <v>397.72687500000006</v>
      </c>
      <c r="S30" s="55">
        <f t="shared" si="48"/>
        <v>394.14375000000001</v>
      </c>
      <c r="T30" s="55">
        <f t="shared" si="48"/>
        <v>390.56062500000002</v>
      </c>
      <c r="U30" s="55">
        <f t="shared" si="48"/>
        <v>386.97750000000002</v>
      </c>
      <c r="V30" s="55">
        <f t="shared" si="48"/>
        <v>383.39437500000003</v>
      </c>
      <c r="W30" s="55">
        <f t="shared" si="48"/>
        <v>379.81125000000003</v>
      </c>
      <c r="X30" s="55">
        <f t="shared" si="48"/>
        <v>376.22812500000003</v>
      </c>
      <c r="Y30" s="55">
        <f t="shared" si="48"/>
        <v>372.64500000000004</v>
      </c>
      <c r="Z30" s="55">
        <f t="shared" si="48"/>
        <v>369.06187499999999</v>
      </c>
      <c r="AA30" s="55">
        <f t="shared" si="48"/>
        <v>365.47874999999999</v>
      </c>
      <c r="AB30" s="55">
        <f t="shared" si="48"/>
        <v>361.895625</v>
      </c>
      <c r="AC30" s="55">
        <f t="shared" si="48"/>
        <v>358.31250000000006</v>
      </c>
      <c r="AD30" s="55">
        <f t="shared" si="48"/>
        <v>354.729375</v>
      </c>
      <c r="AE30" s="55">
        <f t="shared" si="48"/>
        <v>351.14625000000001</v>
      </c>
      <c r="AF30" s="55">
        <f t="shared" si="48"/>
        <v>347.56312500000001</v>
      </c>
      <c r="AG30" s="55">
        <f t="shared" si="48"/>
        <v>343.98</v>
      </c>
      <c r="AH30" s="55">
        <f t="shared" si="48"/>
        <v>340.39687500000002</v>
      </c>
      <c r="AI30" s="55">
        <f t="shared" si="48"/>
        <v>336.81375000000003</v>
      </c>
      <c r="AJ30" s="55">
        <f t="shared" si="48"/>
        <v>333.23062500000003</v>
      </c>
      <c r="AK30" s="55">
        <f t="shared" si="48"/>
        <v>329.64750000000004</v>
      </c>
      <c r="AL30" s="55">
        <f t="shared" si="48"/>
        <v>326.06437499999998</v>
      </c>
      <c r="AM30" s="55">
        <f t="shared" si="48"/>
        <v>322.48125000000005</v>
      </c>
      <c r="AN30" s="55">
        <f t="shared" si="48"/>
        <v>318.89812500000005</v>
      </c>
      <c r="AO30" s="55">
        <f t="shared" si="48"/>
        <v>315.315</v>
      </c>
      <c r="AP30" s="55">
        <f t="shared" si="48"/>
        <v>311.731875</v>
      </c>
      <c r="AQ30" s="55">
        <f t="shared" si="48"/>
        <v>308.14875000000001</v>
      </c>
      <c r="AR30" s="55">
        <f t="shared" si="48"/>
        <v>304.56562500000001</v>
      </c>
      <c r="AS30" s="55">
        <f t="shared" si="48"/>
        <v>300.98250000000002</v>
      </c>
      <c r="AT30" s="55">
        <f t="shared" si="48"/>
        <v>297.39937500000002</v>
      </c>
      <c r="AU30" s="55">
        <f t="shared" si="48"/>
        <v>293.81625000000003</v>
      </c>
      <c r="AV30" s="55">
        <f t="shared" si="48"/>
        <v>290.23312500000003</v>
      </c>
      <c r="AW30" s="55">
        <f t="shared" si="48"/>
        <v>286.64999999999998</v>
      </c>
      <c r="AX30" s="55">
        <f t="shared" si="48"/>
        <v>283.06687500000004</v>
      </c>
      <c r="AY30" s="55">
        <f t="shared" si="48"/>
        <v>279.48375000000004</v>
      </c>
      <c r="AZ30" s="55">
        <f t="shared" si="48"/>
        <v>275.90062500000005</v>
      </c>
      <c r="BA30" s="55">
        <f t="shared" si="48"/>
        <v>272.3175</v>
      </c>
      <c r="BB30" s="55">
        <f t="shared" si="48"/>
        <v>268.734375</v>
      </c>
      <c r="BC30" s="55">
        <f t="shared" si="48"/>
        <v>265.15125</v>
      </c>
      <c r="BD30" s="55">
        <f t="shared" si="48"/>
        <v>261.56812500000001</v>
      </c>
      <c r="BE30" s="55">
        <f t="shared" si="48"/>
        <v>257.98500000000001</v>
      </c>
      <c r="BF30" s="55">
        <f t="shared" si="48"/>
        <v>254.40187500000002</v>
      </c>
      <c r="BG30" s="55">
        <f t="shared" si="48"/>
        <v>250.81875000000002</v>
      </c>
      <c r="BH30" s="55">
        <f t="shared" si="48"/>
        <v>247.235625</v>
      </c>
      <c r="BI30" s="55">
        <f t="shared" si="48"/>
        <v>243.6525</v>
      </c>
      <c r="BJ30" s="55">
        <f t="shared" si="48"/>
        <v>240.06937500000001</v>
      </c>
      <c r="BK30" s="55">
        <f t="shared" si="48"/>
        <v>236.48625000000004</v>
      </c>
      <c r="BL30" s="55">
        <f t="shared" si="48"/>
        <v>232.90312499999999</v>
      </c>
      <c r="BM30" s="55">
        <f t="shared" si="48"/>
        <v>229.32000000000002</v>
      </c>
      <c r="BN30" s="55">
        <f t="shared" si="48"/>
        <v>225.73687500000003</v>
      </c>
      <c r="BO30" s="55">
        <f t="shared" si="48"/>
        <v>222.15375000000003</v>
      </c>
      <c r="BP30" s="55">
        <f t="shared" si="48"/>
        <v>218.57062500000001</v>
      </c>
      <c r="BQ30" s="55">
        <f t="shared" si="48"/>
        <v>214.98750000000001</v>
      </c>
      <c r="BR30" s="55">
        <f t="shared" si="48"/>
        <v>211.40437499999999</v>
      </c>
      <c r="BS30" s="55">
        <f t="shared" si="48"/>
        <v>207.82125000000002</v>
      </c>
      <c r="BT30" s="55">
        <f t="shared" si="48"/>
        <v>204.238125</v>
      </c>
      <c r="BU30" s="55">
        <f t="shared" si="48"/>
        <v>200.655</v>
      </c>
      <c r="BV30" s="55">
        <f t="shared" si="48"/>
        <v>197.07187500000001</v>
      </c>
      <c r="BW30" s="55">
        <f t="shared" si="46"/>
        <v>193.48875000000001</v>
      </c>
      <c r="BX30" s="55">
        <f t="shared" si="46"/>
        <v>189.90562500000001</v>
      </c>
      <c r="BY30" s="55">
        <f t="shared" si="46"/>
        <v>186.32250000000002</v>
      </c>
      <c r="BZ30" s="55">
        <f t="shared" si="46"/>
        <v>182.739375</v>
      </c>
      <c r="CA30" s="55">
        <f t="shared" si="46"/>
        <v>179.15625000000003</v>
      </c>
      <c r="CB30" s="55">
        <f t="shared" si="46"/>
        <v>175.573125</v>
      </c>
      <c r="CC30" s="55">
        <f t="shared" si="46"/>
        <v>171.99</v>
      </c>
      <c r="CD30" s="55">
        <f t="shared" si="46"/>
        <v>168.40687500000001</v>
      </c>
      <c r="CE30" s="55">
        <f t="shared" si="46"/>
        <v>164.82375000000002</v>
      </c>
      <c r="CF30" s="55">
        <f t="shared" si="46"/>
        <v>161.24062500000002</v>
      </c>
      <c r="CG30" s="55">
        <f t="shared" si="46"/>
        <v>157.6575</v>
      </c>
      <c r="CH30" s="55">
        <f t="shared" si="46"/>
        <v>154.074375</v>
      </c>
      <c r="CI30" s="55">
        <f t="shared" si="46"/>
        <v>150.49125000000001</v>
      </c>
      <c r="CJ30" s="55">
        <f t="shared" si="46"/>
        <v>146.90812500000001</v>
      </c>
      <c r="CK30" s="55">
        <f t="shared" si="46"/>
        <v>143.32499999999999</v>
      </c>
      <c r="CL30" s="55">
        <f t="shared" si="47"/>
        <v>139.74187500000002</v>
      </c>
      <c r="CM30" s="55">
        <f t="shared" si="47"/>
        <v>136.15875</v>
      </c>
      <c r="CN30" s="55">
        <f t="shared" si="47"/>
        <v>132.575625</v>
      </c>
      <c r="CO30" s="55">
        <f t="shared" si="47"/>
        <v>128.99250000000001</v>
      </c>
      <c r="CP30" s="55">
        <f t="shared" si="47"/>
        <v>125.40937500000001</v>
      </c>
      <c r="CQ30" s="55">
        <f t="shared" si="47"/>
        <v>121.82625</v>
      </c>
      <c r="CR30" s="55">
        <f t="shared" si="47"/>
        <v>118.24312500000002</v>
      </c>
      <c r="CS30" s="55">
        <f t="shared" si="47"/>
        <v>114.66000000000001</v>
      </c>
      <c r="CT30" s="55">
        <f t="shared" si="47"/>
        <v>111.07687500000002</v>
      </c>
      <c r="CU30" s="55">
        <f t="shared" si="47"/>
        <v>107.49375000000001</v>
      </c>
      <c r="CV30" s="55">
        <f t="shared" si="47"/>
        <v>103.91062500000001</v>
      </c>
      <c r="CW30" s="55">
        <f t="shared" si="47"/>
        <v>100.3275</v>
      </c>
      <c r="CX30" s="55">
        <f t="shared" si="47"/>
        <v>96.744375000000005</v>
      </c>
      <c r="CY30" s="55">
        <f t="shared" si="47"/>
        <v>93.16125000000001</v>
      </c>
      <c r="CZ30" s="55">
        <f t="shared" si="47"/>
        <v>89.578125000000014</v>
      </c>
      <c r="DA30" s="55">
        <f t="shared" si="47"/>
        <v>85.995000000000005</v>
      </c>
      <c r="DB30" s="55">
        <f t="shared" si="47"/>
        <v>82.411875000000009</v>
      </c>
      <c r="DC30" s="55">
        <f t="shared" si="47"/>
        <v>78.828749999999999</v>
      </c>
      <c r="DD30" s="55">
        <f t="shared" si="47"/>
        <v>75.245625000000004</v>
      </c>
      <c r="DE30" s="55">
        <f t="shared" si="47"/>
        <v>71.662499999999994</v>
      </c>
      <c r="DF30" s="55">
        <f t="shared" si="47"/>
        <v>68.079374999999999</v>
      </c>
      <c r="DG30" s="55">
        <f t="shared" si="47"/>
        <v>64.496250000000003</v>
      </c>
      <c r="DH30" s="55">
        <f t="shared" si="47"/>
        <v>60.913125000000001</v>
      </c>
      <c r="DI30" s="55">
        <f t="shared" si="47"/>
        <v>57.330000000000005</v>
      </c>
      <c r="DJ30" s="55">
        <f t="shared" si="47"/>
        <v>53.746875000000003</v>
      </c>
      <c r="DK30" s="55">
        <f t="shared" si="47"/>
        <v>50.16375</v>
      </c>
      <c r="DL30" s="55">
        <f t="shared" si="47"/>
        <v>46.580625000000005</v>
      </c>
      <c r="DM30" s="55">
        <f t="shared" si="47"/>
        <v>42.997500000000002</v>
      </c>
      <c r="DN30" s="55">
        <f t="shared" si="47"/>
        <v>39.414375</v>
      </c>
      <c r="DO30" s="55">
        <f t="shared" si="47"/>
        <v>35.831249999999997</v>
      </c>
      <c r="DP30" s="55">
        <f t="shared" si="47"/>
        <v>32.248125000000002</v>
      </c>
      <c r="DQ30" s="55">
        <f t="shared" si="47"/>
        <v>28.665000000000003</v>
      </c>
      <c r="DR30" s="55">
        <f t="shared" si="47"/>
        <v>25.081875</v>
      </c>
      <c r="DS30" s="55">
        <f t="shared" si="47"/>
        <v>21.498750000000001</v>
      </c>
      <c r="DT30" s="55">
        <f t="shared" si="47"/>
        <v>17.915624999999999</v>
      </c>
      <c r="DU30" s="55">
        <f t="shared" si="47"/>
        <v>14.332500000000001</v>
      </c>
      <c r="DV30" s="55">
        <f t="shared" si="47"/>
        <v>10.749375000000001</v>
      </c>
      <c r="DW30" s="55">
        <f t="shared" si="47"/>
        <v>7.1662500000000007</v>
      </c>
      <c r="DX30" s="55">
        <f t="shared" si="47"/>
        <v>3.5831250000000003</v>
      </c>
      <c r="DY30" s="55">
        <f t="shared" si="47"/>
        <v>0</v>
      </c>
    </row>
    <row r="31" spans="1:129" x14ac:dyDescent="0.45">
      <c r="A31" s="3">
        <v>46022</v>
      </c>
      <c r="B31" s="2" t="s">
        <v>19</v>
      </c>
      <c r="C31" s="6" t="s">
        <v>28</v>
      </c>
      <c r="D31" s="17">
        <v>0</v>
      </c>
      <c r="E31" s="2" t="s">
        <v>43</v>
      </c>
      <c r="F31" s="2">
        <v>120</v>
      </c>
      <c r="G31" s="2" t="s">
        <v>43</v>
      </c>
      <c r="H31" s="2">
        <v>120</v>
      </c>
      <c r="I31" s="14">
        <v>7004.9340000000002</v>
      </c>
      <c r="J31" s="55">
        <f t="shared" si="45"/>
        <v>6946.5595500000009</v>
      </c>
      <c r="K31" s="55">
        <f t="shared" si="48"/>
        <v>6888.1850999999997</v>
      </c>
      <c r="L31" s="55">
        <f t="shared" si="48"/>
        <v>6829.8106500000004</v>
      </c>
      <c r="M31" s="55">
        <f t="shared" si="48"/>
        <v>6771.4362000000001</v>
      </c>
      <c r="N31" s="55">
        <f t="shared" si="48"/>
        <v>6713.0617500000008</v>
      </c>
      <c r="O31" s="55">
        <f t="shared" si="48"/>
        <v>6654.6872999999996</v>
      </c>
      <c r="P31" s="55">
        <f t="shared" si="48"/>
        <v>6596.3128500000003</v>
      </c>
      <c r="Q31" s="55">
        <f t="shared" si="48"/>
        <v>6537.9384</v>
      </c>
      <c r="R31" s="55">
        <f t="shared" si="48"/>
        <v>6479.5639500000007</v>
      </c>
      <c r="S31" s="55">
        <f t="shared" si="48"/>
        <v>6421.1894999999995</v>
      </c>
      <c r="T31" s="55">
        <f t="shared" si="48"/>
        <v>6362.8150500000002</v>
      </c>
      <c r="U31" s="55">
        <f t="shared" si="48"/>
        <v>6304.4405999999999</v>
      </c>
      <c r="V31" s="55">
        <f t="shared" si="48"/>
        <v>6246.0661500000006</v>
      </c>
      <c r="W31" s="55">
        <f t="shared" si="48"/>
        <v>6187.6917000000003</v>
      </c>
      <c r="X31" s="55">
        <f t="shared" si="48"/>
        <v>6129.3172500000001</v>
      </c>
      <c r="Y31" s="55">
        <f t="shared" si="48"/>
        <v>6070.9428000000007</v>
      </c>
      <c r="Z31" s="55">
        <f t="shared" si="48"/>
        <v>6012.5683499999996</v>
      </c>
      <c r="AA31" s="55">
        <f t="shared" si="48"/>
        <v>5954.1939000000002</v>
      </c>
      <c r="AB31" s="55">
        <f t="shared" si="48"/>
        <v>5895.81945</v>
      </c>
      <c r="AC31" s="55">
        <f t="shared" si="48"/>
        <v>5837.4450000000006</v>
      </c>
      <c r="AD31" s="55">
        <f t="shared" si="48"/>
        <v>5779.0705499999995</v>
      </c>
      <c r="AE31" s="55">
        <f t="shared" si="48"/>
        <v>5720.6961000000001</v>
      </c>
      <c r="AF31" s="55">
        <f t="shared" si="48"/>
        <v>5662.3216499999999</v>
      </c>
      <c r="AG31" s="55">
        <f t="shared" si="48"/>
        <v>5603.9472000000005</v>
      </c>
      <c r="AH31" s="55">
        <f t="shared" si="48"/>
        <v>5545.5727500000003</v>
      </c>
      <c r="AI31" s="55">
        <f t="shared" si="48"/>
        <v>5487.1983</v>
      </c>
      <c r="AJ31" s="55">
        <f t="shared" si="48"/>
        <v>5428.8238500000007</v>
      </c>
      <c r="AK31" s="55">
        <f t="shared" si="48"/>
        <v>5370.4494000000004</v>
      </c>
      <c r="AL31" s="55">
        <f t="shared" si="48"/>
        <v>5312.0749500000002</v>
      </c>
      <c r="AM31" s="55">
        <f t="shared" si="48"/>
        <v>5253.7004999999999</v>
      </c>
      <c r="AN31" s="55">
        <f t="shared" si="48"/>
        <v>5195.3260500000006</v>
      </c>
      <c r="AO31" s="55">
        <f t="shared" si="48"/>
        <v>5136.9515999999994</v>
      </c>
      <c r="AP31" s="55">
        <f t="shared" si="48"/>
        <v>5078.5771500000001</v>
      </c>
      <c r="AQ31" s="55">
        <f t="shared" si="48"/>
        <v>5020.2026999999998</v>
      </c>
      <c r="AR31" s="55">
        <f t="shared" si="48"/>
        <v>4961.8282500000005</v>
      </c>
      <c r="AS31" s="55">
        <f t="shared" si="48"/>
        <v>4903.4538000000002</v>
      </c>
      <c r="AT31" s="55">
        <f t="shared" si="48"/>
        <v>4845.07935</v>
      </c>
      <c r="AU31" s="55">
        <f t="shared" si="48"/>
        <v>4786.7049000000006</v>
      </c>
      <c r="AV31" s="55">
        <f t="shared" si="48"/>
        <v>4728.3304500000004</v>
      </c>
      <c r="AW31" s="55">
        <f t="shared" si="48"/>
        <v>4669.9560000000001</v>
      </c>
      <c r="AX31" s="55">
        <f t="shared" si="48"/>
        <v>4611.5815499999999</v>
      </c>
      <c r="AY31" s="55">
        <f t="shared" si="48"/>
        <v>4553.2071000000005</v>
      </c>
      <c r="AZ31" s="55">
        <f t="shared" si="48"/>
        <v>4494.8326500000003</v>
      </c>
      <c r="BA31" s="55">
        <f t="shared" si="48"/>
        <v>4436.4582</v>
      </c>
      <c r="BB31" s="55">
        <f t="shared" si="48"/>
        <v>4378.0837499999998</v>
      </c>
      <c r="BC31" s="55">
        <f t="shared" si="48"/>
        <v>4319.7093000000004</v>
      </c>
      <c r="BD31" s="55">
        <f t="shared" si="48"/>
        <v>4261.3348500000002</v>
      </c>
      <c r="BE31" s="55">
        <f t="shared" si="48"/>
        <v>4202.9603999999999</v>
      </c>
      <c r="BF31" s="55">
        <f t="shared" si="48"/>
        <v>4144.5859500000006</v>
      </c>
      <c r="BG31" s="55">
        <f t="shared" si="48"/>
        <v>4086.2115000000003</v>
      </c>
      <c r="BH31" s="55">
        <f t="shared" si="48"/>
        <v>4027.8370499999996</v>
      </c>
      <c r="BI31" s="55">
        <f t="shared" si="48"/>
        <v>3969.4625999999998</v>
      </c>
      <c r="BJ31" s="55">
        <f t="shared" si="48"/>
        <v>3911.08815</v>
      </c>
      <c r="BK31" s="55">
        <f t="shared" si="48"/>
        <v>3852.7137000000002</v>
      </c>
      <c r="BL31" s="55">
        <f t="shared" si="48"/>
        <v>3794.33925</v>
      </c>
      <c r="BM31" s="55">
        <f t="shared" si="48"/>
        <v>3735.9648000000002</v>
      </c>
      <c r="BN31" s="55">
        <f t="shared" si="48"/>
        <v>3677.5903500000004</v>
      </c>
      <c r="BO31" s="55">
        <f t="shared" si="48"/>
        <v>3619.2159000000006</v>
      </c>
      <c r="BP31" s="55">
        <f t="shared" si="48"/>
        <v>3560.8414499999999</v>
      </c>
      <c r="BQ31" s="55">
        <f t="shared" si="48"/>
        <v>3502.4670000000001</v>
      </c>
      <c r="BR31" s="55">
        <f t="shared" si="48"/>
        <v>3444.0925499999998</v>
      </c>
      <c r="BS31" s="55">
        <f t="shared" si="48"/>
        <v>3385.7181</v>
      </c>
      <c r="BT31" s="55">
        <f t="shared" si="48"/>
        <v>3327.3436499999998</v>
      </c>
      <c r="BU31" s="55">
        <f t="shared" si="48"/>
        <v>3268.9692</v>
      </c>
      <c r="BV31" s="55">
        <f t="shared" ref="BV31:DY33" si="49">IF(BV$1&lt;$F31,$I31*(($F31-BV$1)/$F31),0)</f>
        <v>3210.5947499999997</v>
      </c>
      <c r="BW31" s="55">
        <f t="shared" si="49"/>
        <v>3152.2203</v>
      </c>
      <c r="BX31" s="55">
        <f t="shared" si="49"/>
        <v>3093.8458500000002</v>
      </c>
      <c r="BY31" s="55">
        <f t="shared" si="49"/>
        <v>3035.4714000000004</v>
      </c>
      <c r="BZ31" s="55">
        <f t="shared" si="49"/>
        <v>2977.0969500000001</v>
      </c>
      <c r="CA31" s="55">
        <f t="shared" si="49"/>
        <v>2918.7225000000003</v>
      </c>
      <c r="CB31" s="55">
        <f t="shared" si="49"/>
        <v>2860.3480500000001</v>
      </c>
      <c r="CC31" s="55">
        <f t="shared" si="49"/>
        <v>2801.9736000000003</v>
      </c>
      <c r="CD31" s="55">
        <f t="shared" si="49"/>
        <v>2743.59915</v>
      </c>
      <c r="CE31" s="55">
        <f t="shared" si="49"/>
        <v>2685.2247000000002</v>
      </c>
      <c r="CF31" s="55">
        <f t="shared" si="49"/>
        <v>2626.85025</v>
      </c>
      <c r="CG31" s="55">
        <f t="shared" si="49"/>
        <v>2568.4757999999997</v>
      </c>
      <c r="CH31" s="55">
        <f t="shared" si="49"/>
        <v>2510.1013499999999</v>
      </c>
      <c r="CI31" s="55">
        <f t="shared" si="49"/>
        <v>2451.7269000000001</v>
      </c>
      <c r="CJ31" s="55">
        <f t="shared" si="49"/>
        <v>2393.3524500000003</v>
      </c>
      <c r="CK31" s="55">
        <f t="shared" si="49"/>
        <v>2334.9780000000001</v>
      </c>
      <c r="CL31" s="55">
        <f t="shared" si="49"/>
        <v>2276.6035500000003</v>
      </c>
      <c r="CM31" s="55">
        <f t="shared" si="49"/>
        <v>2218.2291</v>
      </c>
      <c r="CN31" s="55">
        <f t="shared" si="49"/>
        <v>2159.8546500000002</v>
      </c>
      <c r="CO31" s="55">
        <f t="shared" si="49"/>
        <v>2101.4802</v>
      </c>
      <c r="CP31" s="55">
        <f t="shared" si="49"/>
        <v>2043.1057500000002</v>
      </c>
      <c r="CQ31" s="55">
        <f t="shared" si="49"/>
        <v>1984.7312999999999</v>
      </c>
      <c r="CR31" s="55">
        <f t="shared" si="49"/>
        <v>1926.3568500000001</v>
      </c>
      <c r="CS31" s="55">
        <f t="shared" si="49"/>
        <v>1867.9824000000001</v>
      </c>
      <c r="CT31" s="55">
        <f t="shared" si="49"/>
        <v>1809.6079500000003</v>
      </c>
      <c r="CU31" s="55">
        <f t="shared" si="49"/>
        <v>1751.2335</v>
      </c>
      <c r="CV31" s="55">
        <f t="shared" si="49"/>
        <v>1692.85905</v>
      </c>
      <c r="CW31" s="55">
        <f t="shared" si="49"/>
        <v>1634.4846</v>
      </c>
      <c r="CX31" s="55">
        <f t="shared" si="49"/>
        <v>1576.11015</v>
      </c>
      <c r="CY31" s="55">
        <f t="shared" si="49"/>
        <v>1517.7357000000002</v>
      </c>
      <c r="CZ31" s="55">
        <f t="shared" si="49"/>
        <v>1459.3612500000002</v>
      </c>
      <c r="DA31" s="55">
        <f t="shared" si="49"/>
        <v>1400.9868000000001</v>
      </c>
      <c r="DB31" s="55">
        <f t="shared" si="49"/>
        <v>1342.6123500000001</v>
      </c>
      <c r="DC31" s="55">
        <f t="shared" si="49"/>
        <v>1284.2378999999999</v>
      </c>
      <c r="DD31" s="55">
        <f t="shared" si="49"/>
        <v>1225.8634500000001</v>
      </c>
      <c r="DE31" s="55">
        <f t="shared" si="49"/>
        <v>1167.489</v>
      </c>
      <c r="DF31" s="55">
        <f t="shared" si="49"/>
        <v>1109.11455</v>
      </c>
      <c r="DG31" s="55">
        <f t="shared" si="49"/>
        <v>1050.7401</v>
      </c>
      <c r="DH31" s="55">
        <f t="shared" si="49"/>
        <v>992.36564999999996</v>
      </c>
      <c r="DI31" s="55">
        <f t="shared" si="49"/>
        <v>933.99120000000005</v>
      </c>
      <c r="DJ31" s="55">
        <f t="shared" si="49"/>
        <v>875.61675000000002</v>
      </c>
      <c r="DK31" s="55">
        <f t="shared" si="49"/>
        <v>817.2423</v>
      </c>
      <c r="DL31" s="55">
        <f t="shared" si="49"/>
        <v>758.86785000000009</v>
      </c>
      <c r="DM31" s="55">
        <f t="shared" si="49"/>
        <v>700.49340000000007</v>
      </c>
      <c r="DN31" s="55">
        <f t="shared" si="49"/>
        <v>642.11894999999993</v>
      </c>
      <c r="DO31" s="55">
        <f t="shared" si="49"/>
        <v>583.74450000000002</v>
      </c>
      <c r="DP31" s="55">
        <f t="shared" si="49"/>
        <v>525.37004999999999</v>
      </c>
      <c r="DQ31" s="55">
        <f t="shared" si="49"/>
        <v>466.99560000000002</v>
      </c>
      <c r="DR31" s="55">
        <f t="shared" si="49"/>
        <v>408.62115</v>
      </c>
      <c r="DS31" s="55">
        <f t="shared" si="49"/>
        <v>350.24670000000003</v>
      </c>
      <c r="DT31" s="55">
        <f t="shared" si="49"/>
        <v>291.87225000000001</v>
      </c>
      <c r="DU31" s="55">
        <f t="shared" si="49"/>
        <v>233.49780000000001</v>
      </c>
      <c r="DV31" s="55">
        <f t="shared" si="49"/>
        <v>175.12335000000002</v>
      </c>
      <c r="DW31" s="55">
        <f t="shared" si="49"/>
        <v>116.74890000000001</v>
      </c>
      <c r="DX31" s="55">
        <f t="shared" si="49"/>
        <v>58.374450000000003</v>
      </c>
      <c r="DY31" s="55">
        <f t="shared" si="49"/>
        <v>0</v>
      </c>
    </row>
    <row r="32" spans="1:129" x14ac:dyDescent="0.45">
      <c r="A32" s="3">
        <v>46022</v>
      </c>
      <c r="B32" s="2" t="s">
        <v>19</v>
      </c>
      <c r="C32" s="6" t="s">
        <v>29</v>
      </c>
      <c r="D32" s="17">
        <v>0</v>
      </c>
      <c r="E32" s="2" t="s">
        <v>43</v>
      </c>
      <c r="F32" s="2">
        <v>120</v>
      </c>
      <c r="G32" s="2" t="s">
        <v>43</v>
      </c>
      <c r="H32" s="2">
        <v>120</v>
      </c>
      <c r="I32" s="14">
        <v>0</v>
      </c>
      <c r="J32" s="55">
        <f t="shared" si="45"/>
        <v>0</v>
      </c>
      <c r="K32" s="55">
        <f t="shared" ref="K32:BV33" si="50">IF(K$1&lt;$F32,$I32*(($F32-K$1)/$F32),0)</f>
        <v>0</v>
      </c>
      <c r="L32" s="55">
        <f t="shared" si="50"/>
        <v>0</v>
      </c>
      <c r="M32" s="55">
        <f t="shared" si="50"/>
        <v>0</v>
      </c>
      <c r="N32" s="55">
        <f t="shared" si="50"/>
        <v>0</v>
      </c>
      <c r="O32" s="55">
        <f t="shared" si="50"/>
        <v>0</v>
      </c>
      <c r="P32" s="55">
        <f t="shared" si="50"/>
        <v>0</v>
      </c>
      <c r="Q32" s="55">
        <f t="shared" si="50"/>
        <v>0</v>
      </c>
      <c r="R32" s="55">
        <f t="shared" si="50"/>
        <v>0</v>
      </c>
      <c r="S32" s="55">
        <f t="shared" si="50"/>
        <v>0</v>
      </c>
      <c r="T32" s="55">
        <f t="shared" si="50"/>
        <v>0</v>
      </c>
      <c r="U32" s="55">
        <f t="shared" si="50"/>
        <v>0</v>
      </c>
      <c r="V32" s="55">
        <f t="shared" si="50"/>
        <v>0</v>
      </c>
      <c r="W32" s="55">
        <f t="shared" si="50"/>
        <v>0</v>
      </c>
      <c r="X32" s="55">
        <f t="shared" si="50"/>
        <v>0</v>
      </c>
      <c r="Y32" s="55">
        <f t="shared" si="50"/>
        <v>0</v>
      </c>
      <c r="Z32" s="55">
        <f t="shared" si="50"/>
        <v>0</v>
      </c>
      <c r="AA32" s="55">
        <f t="shared" si="50"/>
        <v>0</v>
      </c>
      <c r="AB32" s="55">
        <f t="shared" si="50"/>
        <v>0</v>
      </c>
      <c r="AC32" s="55">
        <f t="shared" si="50"/>
        <v>0</v>
      </c>
      <c r="AD32" s="55">
        <f t="shared" si="50"/>
        <v>0</v>
      </c>
      <c r="AE32" s="55">
        <f t="shared" si="50"/>
        <v>0</v>
      </c>
      <c r="AF32" s="55">
        <f t="shared" si="50"/>
        <v>0</v>
      </c>
      <c r="AG32" s="55">
        <f t="shared" si="50"/>
        <v>0</v>
      </c>
      <c r="AH32" s="55">
        <f t="shared" si="50"/>
        <v>0</v>
      </c>
      <c r="AI32" s="55">
        <f t="shared" si="50"/>
        <v>0</v>
      </c>
      <c r="AJ32" s="55">
        <f t="shared" si="50"/>
        <v>0</v>
      </c>
      <c r="AK32" s="55">
        <f t="shared" si="50"/>
        <v>0</v>
      </c>
      <c r="AL32" s="55">
        <f t="shared" si="50"/>
        <v>0</v>
      </c>
      <c r="AM32" s="55">
        <f t="shared" si="50"/>
        <v>0</v>
      </c>
      <c r="AN32" s="55">
        <f t="shared" si="50"/>
        <v>0</v>
      </c>
      <c r="AO32" s="55">
        <f t="shared" si="50"/>
        <v>0</v>
      </c>
      <c r="AP32" s="55">
        <f t="shared" si="50"/>
        <v>0</v>
      </c>
      <c r="AQ32" s="55">
        <f t="shared" si="50"/>
        <v>0</v>
      </c>
      <c r="AR32" s="55">
        <f t="shared" si="50"/>
        <v>0</v>
      </c>
      <c r="AS32" s="55">
        <f t="shared" si="50"/>
        <v>0</v>
      </c>
      <c r="AT32" s="55">
        <f t="shared" si="50"/>
        <v>0</v>
      </c>
      <c r="AU32" s="55">
        <f t="shared" si="50"/>
        <v>0</v>
      </c>
      <c r="AV32" s="55">
        <f t="shared" si="50"/>
        <v>0</v>
      </c>
      <c r="AW32" s="55">
        <f t="shared" si="50"/>
        <v>0</v>
      </c>
      <c r="AX32" s="55">
        <f t="shared" si="50"/>
        <v>0</v>
      </c>
      <c r="AY32" s="55">
        <f t="shared" si="50"/>
        <v>0</v>
      </c>
      <c r="AZ32" s="55">
        <f t="shared" si="50"/>
        <v>0</v>
      </c>
      <c r="BA32" s="55">
        <f t="shared" si="50"/>
        <v>0</v>
      </c>
      <c r="BB32" s="55">
        <f t="shared" si="50"/>
        <v>0</v>
      </c>
      <c r="BC32" s="55">
        <f t="shared" si="50"/>
        <v>0</v>
      </c>
      <c r="BD32" s="55">
        <f t="shared" si="50"/>
        <v>0</v>
      </c>
      <c r="BE32" s="55">
        <f t="shared" si="50"/>
        <v>0</v>
      </c>
      <c r="BF32" s="55">
        <f t="shared" si="50"/>
        <v>0</v>
      </c>
      <c r="BG32" s="55">
        <f t="shared" si="50"/>
        <v>0</v>
      </c>
      <c r="BH32" s="55">
        <f t="shared" si="50"/>
        <v>0</v>
      </c>
      <c r="BI32" s="55">
        <f t="shared" si="50"/>
        <v>0</v>
      </c>
      <c r="BJ32" s="55">
        <f t="shared" si="50"/>
        <v>0</v>
      </c>
      <c r="BK32" s="55">
        <f t="shared" si="50"/>
        <v>0</v>
      </c>
      <c r="BL32" s="55">
        <f t="shared" si="50"/>
        <v>0</v>
      </c>
      <c r="BM32" s="55">
        <f t="shared" si="50"/>
        <v>0</v>
      </c>
      <c r="BN32" s="55">
        <f t="shared" si="50"/>
        <v>0</v>
      </c>
      <c r="BO32" s="55">
        <f t="shared" si="50"/>
        <v>0</v>
      </c>
      <c r="BP32" s="55">
        <f t="shared" si="50"/>
        <v>0</v>
      </c>
      <c r="BQ32" s="55">
        <f t="shared" si="50"/>
        <v>0</v>
      </c>
      <c r="BR32" s="55">
        <f t="shared" si="50"/>
        <v>0</v>
      </c>
      <c r="BS32" s="55">
        <f t="shared" si="50"/>
        <v>0</v>
      </c>
      <c r="BT32" s="55">
        <f t="shared" si="50"/>
        <v>0</v>
      </c>
      <c r="BU32" s="55">
        <f t="shared" si="50"/>
        <v>0</v>
      </c>
      <c r="BV32" s="55">
        <f t="shared" si="50"/>
        <v>0</v>
      </c>
      <c r="BW32" s="55">
        <f t="shared" si="49"/>
        <v>0</v>
      </c>
      <c r="BX32" s="55">
        <f t="shared" si="49"/>
        <v>0</v>
      </c>
      <c r="BY32" s="55">
        <f t="shared" si="49"/>
        <v>0</v>
      </c>
      <c r="BZ32" s="55">
        <f t="shared" si="49"/>
        <v>0</v>
      </c>
      <c r="CA32" s="55">
        <f t="shared" si="49"/>
        <v>0</v>
      </c>
      <c r="CB32" s="55">
        <f t="shared" si="49"/>
        <v>0</v>
      </c>
      <c r="CC32" s="55">
        <f t="shared" si="49"/>
        <v>0</v>
      </c>
      <c r="CD32" s="55">
        <f t="shared" si="49"/>
        <v>0</v>
      </c>
      <c r="CE32" s="55">
        <f t="shared" si="49"/>
        <v>0</v>
      </c>
      <c r="CF32" s="55">
        <f t="shared" si="49"/>
        <v>0</v>
      </c>
      <c r="CG32" s="55">
        <f t="shared" si="49"/>
        <v>0</v>
      </c>
      <c r="CH32" s="55">
        <f t="shared" si="49"/>
        <v>0</v>
      </c>
      <c r="CI32" s="55">
        <f t="shared" si="49"/>
        <v>0</v>
      </c>
      <c r="CJ32" s="55">
        <f t="shared" si="49"/>
        <v>0</v>
      </c>
      <c r="CK32" s="55">
        <f t="shared" si="49"/>
        <v>0</v>
      </c>
      <c r="CL32" s="55">
        <f t="shared" si="49"/>
        <v>0</v>
      </c>
      <c r="CM32" s="55">
        <f t="shared" si="49"/>
        <v>0</v>
      </c>
      <c r="CN32" s="55">
        <f t="shared" si="49"/>
        <v>0</v>
      </c>
      <c r="CO32" s="55">
        <f t="shared" si="49"/>
        <v>0</v>
      </c>
      <c r="CP32" s="55">
        <f t="shared" si="49"/>
        <v>0</v>
      </c>
      <c r="CQ32" s="55">
        <f t="shared" si="49"/>
        <v>0</v>
      </c>
      <c r="CR32" s="55">
        <f t="shared" si="49"/>
        <v>0</v>
      </c>
      <c r="CS32" s="55">
        <f t="shared" si="49"/>
        <v>0</v>
      </c>
      <c r="CT32" s="55">
        <f t="shared" si="49"/>
        <v>0</v>
      </c>
      <c r="CU32" s="55">
        <f t="shared" si="49"/>
        <v>0</v>
      </c>
      <c r="CV32" s="55">
        <f t="shared" si="49"/>
        <v>0</v>
      </c>
      <c r="CW32" s="55">
        <f t="shared" si="49"/>
        <v>0</v>
      </c>
      <c r="CX32" s="55">
        <f t="shared" si="49"/>
        <v>0</v>
      </c>
      <c r="CY32" s="55">
        <f t="shared" si="49"/>
        <v>0</v>
      </c>
      <c r="CZ32" s="55">
        <f t="shared" si="49"/>
        <v>0</v>
      </c>
      <c r="DA32" s="55">
        <f t="shared" si="49"/>
        <v>0</v>
      </c>
      <c r="DB32" s="55">
        <f t="shared" si="49"/>
        <v>0</v>
      </c>
      <c r="DC32" s="55">
        <f t="shared" si="49"/>
        <v>0</v>
      </c>
      <c r="DD32" s="55">
        <f t="shared" si="49"/>
        <v>0</v>
      </c>
      <c r="DE32" s="55">
        <f t="shared" si="49"/>
        <v>0</v>
      </c>
      <c r="DF32" s="55">
        <f t="shared" si="49"/>
        <v>0</v>
      </c>
      <c r="DG32" s="55">
        <f t="shared" si="49"/>
        <v>0</v>
      </c>
      <c r="DH32" s="55">
        <f t="shared" si="49"/>
        <v>0</v>
      </c>
      <c r="DI32" s="55">
        <f t="shared" si="49"/>
        <v>0</v>
      </c>
      <c r="DJ32" s="55">
        <f t="shared" si="49"/>
        <v>0</v>
      </c>
      <c r="DK32" s="55">
        <f t="shared" si="49"/>
        <v>0</v>
      </c>
      <c r="DL32" s="55">
        <f t="shared" si="49"/>
        <v>0</v>
      </c>
      <c r="DM32" s="55">
        <f t="shared" si="49"/>
        <v>0</v>
      </c>
      <c r="DN32" s="55">
        <f t="shared" si="49"/>
        <v>0</v>
      </c>
      <c r="DO32" s="55">
        <f t="shared" si="49"/>
        <v>0</v>
      </c>
      <c r="DP32" s="55">
        <f t="shared" si="49"/>
        <v>0</v>
      </c>
      <c r="DQ32" s="55">
        <f t="shared" si="49"/>
        <v>0</v>
      </c>
      <c r="DR32" s="55">
        <f t="shared" si="49"/>
        <v>0</v>
      </c>
      <c r="DS32" s="55">
        <f t="shared" si="49"/>
        <v>0</v>
      </c>
      <c r="DT32" s="55">
        <f t="shared" si="49"/>
        <v>0</v>
      </c>
      <c r="DU32" s="55">
        <f t="shared" si="49"/>
        <v>0</v>
      </c>
      <c r="DV32" s="55">
        <f t="shared" si="49"/>
        <v>0</v>
      </c>
      <c r="DW32" s="55">
        <f t="shared" si="49"/>
        <v>0</v>
      </c>
      <c r="DX32" s="55">
        <f t="shared" si="49"/>
        <v>0</v>
      </c>
      <c r="DY32" s="55">
        <f t="shared" si="49"/>
        <v>0</v>
      </c>
    </row>
    <row r="33" spans="1:129" x14ac:dyDescent="0.45">
      <c r="A33" s="3">
        <v>46022</v>
      </c>
      <c r="B33" s="2" t="s">
        <v>19</v>
      </c>
      <c r="C33" s="6" t="s">
        <v>30</v>
      </c>
      <c r="D33" s="17">
        <v>0</v>
      </c>
      <c r="E33" s="2" t="s">
        <v>43</v>
      </c>
      <c r="F33" s="2">
        <v>120</v>
      </c>
      <c r="G33" s="2" t="s">
        <v>43</v>
      </c>
      <c r="H33" s="2">
        <v>120</v>
      </c>
      <c r="I33" s="14">
        <v>0</v>
      </c>
      <c r="J33" s="55">
        <f t="shared" si="45"/>
        <v>0</v>
      </c>
      <c r="K33" s="55">
        <f t="shared" si="50"/>
        <v>0</v>
      </c>
      <c r="L33" s="55">
        <f t="shared" si="50"/>
        <v>0</v>
      </c>
      <c r="M33" s="55">
        <f t="shared" si="50"/>
        <v>0</v>
      </c>
      <c r="N33" s="55">
        <f t="shared" si="50"/>
        <v>0</v>
      </c>
      <c r="O33" s="55">
        <f t="shared" si="50"/>
        <v>0</v>
      </c>
      <c r="P33" s="55">
        <f t="shared" si="50"/>
        <v>0</v>
      </c>
      <c r="Q33" s="55">
        <f t="shared" si="50"/>
        <v>0</v>
      </c>
      <c r="R33" s="55">
        <f t="shared" si="50"/>
        <v>0</v>
      </c>
      <c r="S33" s="55">
        <f t="shared" si="50"/>
        <v>0</v>
      </c>
      <c r="T33" s="55">
        <f t="shared" si="50"/>
        <v>0</v>
      </c>
      <c r="U33" s="55">
        <f t="shared" si="50"/>
        <v>0</v>
      </c>
      <c r="V33" s="55">
        <f t="shared" si="50"/>
        <v>0</v>
      </c>
      <c r="W33" s="55">
        <f t="shared" si="50"/>
        <v>0</v>
      </c>
      <c r="X33" s="55">
        <f t="shared" si="50"/>
        <v>0</v>
      </c>
      <c r="Y33" s="55">
        <f t="shared" si="50"/>
        <v>0</v>
      </c>
      <c r="Z33" s="55">
        <f t="shared" si="50"/>
        <v>0</v>
      </c>
      <c r="AA33" s="55">
        <f t="shared" si="50"/>
        <v>0</v>
      </c>
      <c r="AB33" s="55">
        <f t="shared" si="50"/>
        <v>0</v>
      </c>
      <c r="AC33" s="55">
        <f t="shared" si="50"/>
        <v>0</v>
      </c>
      <c r="AD33" s="55">
        <f t="shared" si="50"/>
        <v>0</v>
      </c>
      <c r="AE33" s="55">
        <f t="shared" si="50"/>
        <v>0</v>
      </c>
      <c r="AF33" s="55">
        <f t="shared" si="50"/>
        <v>0</v>
      </c>
      <c r="AG33" s="55">
        <f t="shared" si="50"/>
        <v>0</v>
      </c>
      <c r="AH33" s="55">
        <f t="shared" si="50"/>
        <v>0</v>
      </c>
      <c r="AI33" s="55">
        <f t="shared" si="50"/>
        <v>0</v>
      </c>
      <c r="AJ33" s="55">
        <f t="shared" si="50"/>
        <v>0</v>
      </c>
      <c r="AK33" s="55">
        <f t="shared" si="50"/>
        <v>0</v>
      </c>
      <c r="AL33" s="55">
        <f t="shared" si="50"/>
        <v>0</v>
      </c>
      <c r="AM33" s="55">
        <f t="shared" si="50"/>
        <v>0</v>
      </c>
      <c r="AN33" s="55">
        <f t="shared" si="50"/>
        <v>0</v>
      </c>
      <c r="AO33" s="55">
        <f t="shared" si="50"/>
        <v>0</v>
      </c>
      <c r="AP33" s="55">
        <f t="shared" si="50"/>
        <v>0</v>
      </c>
      <c r="AQ33" s="55">
        <f t="shared" si="50"/>
        <v>0</v>
      </c>
      <c r="AR33" s="55">
        <f t="shared" si="50"/>
        <v>0</v>
      </c>
      <c r="AS33" s="55">
        <f t="shared" si="50"/>
        <v>0</v>
      </c>
      <c r="AT33" s="55">
        <f t="shared" si="50"/>
        <v>0</v>
      </c>
      <c r="AU33" s="55">
        <f t="shared" si="50"/>
        <v>0</v>
      </c>
      <c r="AV33" s="55">
        <f t="shared" si="50"/>
        <v>0</v>
      </c>
      <c r="AW33" s="55">
        <f t="shared" si="50"/>
        <v>0</v>
      </c>
      <c r="AX33" s="55">
        <f t="shared" si="50"/>
        <v>0</v>
      </c>
      <c r="AY33" s="55">
        <f t="shared" si="50"/>
        <v>0</v>
      </c>
      <c r="AZ33" s="55">
        <f t="shared" si="50"/>
        <v>0</v>
      </c>
      <c r="BA33" s="55">
        <f t="shared" si="50"/>
        <v>0</v>
      </c>
      <c r="BB33" s="55">
        <f t="shared" si="50"/>
        <v>0</v>
      </c>
      <c r="BC33" s="55">
        <f t="shared" si="50"/>
        <v>0</v>
      </c>
      <c r="BD33" s="55">
        <f t="shared" si="50"/>
        <v>0</v>
      </c>
      <c r="BE33" s="55">
        <f t="shared" si="50"/>
        <v>0</v>
      </c>
      <c r="BF33" s="55">
        <f t="shared" si="50"/>
        <v>0</v>
      </c>
      <c r="BG33" s="55">
        <f t="shared" si="50"/>
        <v>0</v>
      </c>
      <c r="BH33" s="55">
        <f t="shared" si="50"/>
        <v>0</v>
      </c>
      <c r="BI33" s="55">
        <f t="shared" si="50"/>
        <v>0</v>
      </c>
      <c r="BJ33" s="55">
        <f t="shared" si="50"/>
        <v>0</v>
      </c>
      <c r="BK33" s="55">
        <f t="shared" si="50"/>
        <v>0</v>
      </c>
      <c r="BL33" s="55">
        <f t="shared" si="50"/>
        <v>0</v>
      </c>
      <c r="BM33" s="55">
        <f t="shared" si="50"/>
        <v>0</v>
      </c>
      <c r="BN33" s="55">
        <f t="shared" si="50"/>
        <v>0</v>
      </c>
      <c r="BO33" s="55">
        <f t="shared" si="50"/>
        <v>0</v>
      </c>
      <c r="BP33" s="55">
        <f t="shared" si="50"/>
        <v>0</v>
      </c>
      <c r="BQ33" s="55">
        <f t="shared" si="50"/>
        <v>0</v>
      </c>
      <c r="BR33" s="55">
        <f t="shared" si="50"/>
        <v>0</v>
      </c>
      <c r="BS33" s="55">
        <f t="shared" si="50"/>
        <v>0</v>
      </c>
      <c r="BT33" s="55">
        <f t="shared" si="50"/>
        <v>0</v>
      </c>
      <c r="BU33" s="55">
        <f t="shared" si="50"/>
        <v>0</v>
      </c>
      <c r="BV33" s="55">
        <f t="shared" si="50"/>
        <v>0</v>
      </c>
      <c r="BW33" s="55">
        <f t="shared" si="49"/>
        <v>0</v>
      </c>
      <c r="BX33" s="55">
        <f t="shared" si="49"/>
        <v>0</v>
      </c>
      <c r="BY33" s="55">
        <f t="shared" si="49"/>
        <v>0</v>
      </c>
      <c r="BZ33" s="55">
        <f t="shared" si="49"/>
        <v>0</v>
      </c>
      <c r="CA33" s="55">
        <f t="shared" si="49"/>
        <v>0</v>
      </c>
      <c r="CB33" s="55">
        <f t="shared" si="49"/>
        <v>0</v>
      </c>
      <c r="CC33" s="55">
        <f t="shared" si="49"/>
        <v>0</v>
      </c>
      <c r="CD33" s="55">
        <f t="shared" si="49"/>
        <v>0</v>
      </c>
      <c r="CE33" s="55">
        <f t="shared" si="49"/>
        <v>0</v>
      </c>
      <c r="CF33" s="55">
        <f t="shared" si="49"/>
        <v>0</v>
      </c>
      <c r="CG33" s="55">
        <f t="shared" si="49"/>
        <v>0</v>
      </c>
      <c r="CH33" s="55">
        <f t="shared" si="49"/>
        <v>0</v>
      </c>
      <c r="CI33" s="55">
        <f t="shared" si="49"/>
        <v>0</v>
      </c>
      <c r="CJ33" s="55">
        <f t="shared" si="49"/>
        <v>0</v>
      </c>
      <c r="CK33" s="55">
        <f t="shared" si="49"/>
        <v>0</v>
      </c>
      <c r="CL33" s="55">
        <f t="shared" si="49"/>
        <v>0</v>
      </c>
      <c r="CM33" s="55">
        <f t="shared" si="49"/>
        <v>0</v>
      </c>
      <c r="CN33" s="55">
        <f t="shared" si="49"/>
        <v>0</v>
      </c>
      <c r="CO33" s="55">
        <f t="shared" si="49"/>
        <v>0</v>
      </c>
      <c r="CP33" s="55">
        <f t="shared" si="49"/>
        <v>0</v>
      </c>
      <c r="CQ33" s="55">
        <f t="shared" si="49"/>
        <v>0</v>
      </c>
      <c r="CR33" s="55">
        <f t="shared" si="49"/>
        <v>0</v>
      </c>
      <c r="CS33" s="55">
        <f t="shared" si="49"/>
        <v>0</v>
      </c>
      <c r="CT33" s="55">
        <f t="shared" si="49"/>
        <v>0</v>
      </c>
      <c r="CU33" s="55">
        <f t="shared" si="49"/>
        <v>0</v>
      </c>
      <c r="CV33" s="55">
        <f t="shared" si="49"/>
        <v>0</v>
      </c>
      <c r="CW33" s="55">
        <f t="shared" si="49"/>
        <v>0</v>
      </c>
      <c r="CX33" s="55">
        <f t="shared" si="49"/>
        <v>0</v>
      </c>
      <c r="CY33" s="55">
        <f t="shared" si="49"/>
        <v>0</v>
      </c>
      <c r="CZ33" s="55">
        <f t="shared" si="49"/>
        <v>0</v>
      </c>
      <c r="DA33" s="55">
        <f t="shared" si="49"/>
        <v>0</v>
      </c>
      <c r="DB33" s="55">
        <f t="shared" si="49"/>
        <v>0</v>
      </c>
      <c r="DC33" s="55">
        <f t="shared" si="49"/>
        <v>0</v>
      </c>
      <c r="DD33" s="55">
        <f t="shared" si="49"/>
        <v>0</v>
      </c>
      <c r="DE33" s="55">
        <f t="shared" si="49"/>
        <v>0</v>
      </c>
      <c r="DF33" s="55">
        <f t="shared" si="49"/>
        <v>0</v>
      </c>
      <c r="DG33" s="55">
        <f t="shared" si="49"/>
        <v>0</v>
      </c>
      <c r="DH33" s="55">
        <f t="shared" si="49"/>
        <v>0</v>
      </c>
      <c r="DI33" s="55">
        <f t="shared" si="49"/>
        <v>0</v>
      </c>
      <c r="DJ33" s="55">
        <f t="shared" si="49"/>
        <v>0</v>
      </c>
      <c r="DK33" s="55">
        <f t="shared" si="49"/>
        <v>0</v>
      </c>
      <c r="DL33" s="55">
        <f t="shared" si="49"/>
        <v>0</v>
      </c>
      <c r="DM33" s="55">
        <f t="shared" si="49"/>
        <v>0</v>
      </c>
      <c r="DN33" s="55">
        <f t="shared" si="49"/>
        <v>0</v>
      </c>
      <c r="DO33" s="55">
        <f t="shared" si="49"/>
        <v>0</v>
      </c>
      <c r="DP33" s="55">
        <f t="shared" si="49"/>
        <v>0</v>
      </c>
      <c r="DQ33" s="55">
        <f t="shared" si="49"/>
        <v>0</v>
      </c>
      <c r="DR33" s="55">
        <f t="shared" si="49"/>
        <v>0</v>
      </c>
      <c r="DS33" s="55">
        <f t="shared" si="49"/>
        <v>0</v>
      </c>
      <c r="DT33" s="55">
        <f t="shared" si="49"/>
        <v>0</v>
      </c>
      <c r="DU33" s="55">
        <f t="shared" si="49"/>
        <v>0</v>
      </c>
      <c r="DV33" s="55">
        <f t="shared" si="49"/>
        <v>0</v>
      </c>
      <c r="DW33" s="55">
        <f t="shared" si="49"/>
        <v>0</v>
      </c>
      <c r="DX33" s="55">
        <f t="shared" si="49"/>
        <v>0</v>
      </c>
      <c r="DY33" s="55">
        <f t="shared" si="49"/>
        <v>0</v>
      </c>
    </row>
    <row r="34" spans="1:129" x14ac:dyDescent="0.45">
      <c r="A34" s="72">
        <v>46022</v>
      </c>
      <c r="B34" s="73" t="s">
        <v>19</v>
      </c>
      <c r="C34" s="74" t="s">
        <v>31</v>
      </c>
      <c r="D34" s="75"/>
      <c r="E34" s="54"/>
      <c r="F34" s="54"/>
      <c r="G34" s="54"/>
      <c r="H34" s="54"/>
      <c r="I34" s="82">
        <f>I26+I24+I23+I20+I17+I25</f>
        <v>155592.33199999999</v>
      </c>
      <c r="J34" s="15">
        <f>J17+J20+SUM(J23:J26)</f>
        <v>148452.67632165065</v>
      </c>
      <c r="K34" s="15">
        <f t="shared" ref="K34:BV34" si="51">K17+K20+SUM(K23:K26)</f>
        <v>144610.37198498996</v>
      </c>
      <c r="L34" s="15">
        <f t="shared" si="51"/>
        <v>141348.89320889805</v>
      </c>
      <c r="M34" s="15">
        <f t="shared" si="51"/>
        <v>138562.95418141759</v>
      </c>
      <c r="N34" s="15">
        <f t="shared" si="51"/>
        <v>136355.37417043629</v>
      </c>
      <c r="O34" s="15">
        <f t="shared" si="51"/>
        <v>134655.57798563596</v>
      </c>
      <c r="P34" s="15">
        <f t="shared" si="51"/>
        <v>133216.76354829883</v>
      </c>
      <c r="Q34" s="15">
        <f t="shared" si="51"/>
        <v>131991.62289360183</v>
      </c>
      <c r="R34" s="15">
        <f t="shared" si="51"/>
        <v>130941.42353587883</v>
      </c>
      <c r="S34" s="15">
        <f t="shared" si="51"/>
        <v>130034.45399797175</v>
      </c>
      <c r="T34" s="15">
        <f t="shared" si="51"/>
        <v>129244.75111830582</v>
      </c>
      <c r="U34" s="15">
        <f t="shared" si="51"/>
        <v>128551.0580580526</v>
      </c>
      <c r="V34" s="15">
        <f t="shared" si="51"/>
        <v>127935.97118955001</v>
      </c>
      <c r="W34" s="15">
        <f t="shared" si="51"/>
        <v>127385.24162761602</v>
      </c>
      <c r="X34" s="15">
        <f t="shared" si="51"/>
        <v>126887.20337175501</v>
      </c>
      <c r="Y34" s="15">
        <f t="shared" si="51"/>
        <v>126432.30510859578</v>
      </c>
      <c r="Z34" s="15">
        <f t="shared" si="51"/>
        <v>126012.72688414909</v>
      </c>
      <c r="AA34" s="15">
        <f t="shared" si="51"/>
        <v>125622.06626159622</v>
      </c>
      <c r="AB34" s="15">
        <f t="shared" si="51"/>
        <v>125255.08136901911</v>
      </c>
      <c r="AC34" s="15">
        <f t="shared" si="51"/>
        <v>124907.48052467473</v>
      </c>
      <c r="AD34" s="15">
        <f t="shared" si="51"/>
        <v>124575.74999673761</v>
      </c>
      <c r="AE34" s="15">
        <f t="shared" si="51"/>
        <v>124257.0129849042</v>
      </c>
      <c r="AF34" s="15">
        <f t="shared" si="51"/>
        <v>123948.91416429552</v>
      </c>
      <c r="AG34" s="15">
        <f t="shared" si="51"/>
        <v>51444.425157999649</v>
      </c>
      <c r="AH34" s="15">
        <f t="shared" si="51"/>
        <v>51152.167144535269</v>
      </c>
      <c r="AI34" s="15">
        <f t="shared" si="51"/>
        <v>50865.747494202013</v>
      </c>
      <c r="AJ34" s="15">
        <f t="shared" si="51"/>
        <v>50584.107891311847</v>
      </c>
      <c r="AK34" s="15">
        <f t="shared" si="51"/>
        <v>50306.381860264519</v>
      </c>
      <c r="AL34" s="15">
        <f t="shared" si="51"/>
        <v>50031.859990839264</v>
      </c>
      <c r="AM34" s="15">
        <f t="shared" si="51"/>
        <v>49759.96146707188</v>
      </c>
      <c r="AN34" s="15">
        <f t="shared" si="51"/>
        <v>49490.210757070519</v>
      </c>
      <c r="AO34" s="15">
        <f t="shared" si="51"/>
        <v>49222.218528251295</v>
      </c>
      <c r="AP34" s="15">
        <f t="shared" si="51"/>
        <v>48955.666022054604</v>
      </c>
      <c r="AQ34" s="15">
        <f t="shared" si="51"/>
        <v>48690.292261044859</v>
      </c>
      <c r="AR34" s="15">
        <f t="shared" si="51"/>
        <v>48425.883574969732</v>
      </c>
      <c r="AS34" s="15">
        <f t="shared" si="51"/>
        <v>48162.265025422588</v>
      </c>
      <c r="AT34" s="15">
        <f t="shared" si="51"/>
        <v>47899.293384950048</v>
      </c>
      <c r="AU34" s="15">
        <f t="shared" si="51"/>
        <v>47636.851388831317</v>
      </c>
      <c r="AV34" s="15">
        <f t="shared" si="51"/>
        <v>47374.843028833253</v>
      </c>
      <c r="AW34" s="15">
        <f t="shared" si="51"/>
        <v>47113.189700062809</v>
      </c>
      <c r="AX34" s="15">
        <f t="shared" si="51"/>
        <v>46851.827046276747</v>
      </c>
      <c r="AY34" s="15">
        <f t="shared" si="51"/>
        <v>46590.702377039532</v>
      </c>
      <c r="AZ34" s="15">
        <f t="shared" si="51"/>
        <v>46329.77255307122</v>
      </c>
      <c r="BA34" s="15">
        <f t="shared" si="51"/>
        <v>46069.002254916632</v>
      </c>
      <c r="BB34" s="15">
        <f t="shared" si="51"/>
        <v>45808.36256545168</v>
      </c>
      <c r="BC34" s="15">
        <f t="shared" si="51"/>
        <v>45547.829809337534</v>
      </c>
      <c r="BD34" s="15">
        <f t="shared" si="51"/>
        <v>45287.384602846229</v>
      </c>
      <c r="BE34" s="15">
        <f t="shared" si="51"/>
        <v>45027.011075923561</v>
      </c>
      <c r="BF34" s="15">
        <f t="shared" si="51"/>
        <v>44766.696235268108</v>
      </c>
      <c r="BG34" s="15">
        <f t="shared" si="51"/>
        <v>44506.429442864399</v>
      </c>
      <c r="BH34" s="15">
        <f t="shared" si="51"/>
        <v>44246.201989042034</v>
      </c>
      <c r="BI34" s="15">
        <f t="shared" si="51"/>
        <v>43986.006742925994</v>
      </c>
      <c r="BJ34" s="15">
        <f t="shared" si="51"/>
        <v>43725.837866249596</v>
      </c>
      <c r="BK34" s="15">
        <f t="shared" si="51"/>
        <v>43465.6905790444</v>
      </c>
      <c r="BL34" s="15">
        <f t="shared" si="51"/>
        <v>43205.560967803191</v>
      </c>
      <c r="BM34" s="15">
        <f t="shared" si="51"/>
        <v>42945.445828417316</v>
      </c>
      <c r="BN34" s="15">
        <f t="shared" si="51"/>
        <v>42685.342537584438</v>
      </c>
      <c r="BO34" s="15">
        <f t="shared" si="51"/>
        <v>42425.248947526285</v>
      </c>
      <c r="BP34" s="15">
        <f t="shared" si="51"/>
        <v>42165.163299790729</v>
      </c>
      <c r="BQ34" s="15">
        <f t="shared" si="51"/>
        <v>15733.11915467893</v>
      </c>
      <c r="BR34" s="15">
        <f t="shared" si="51"/>
        <v>15473.045333465179</v>
      </c>
      <c r="BS34" s="15">
        <f t="shared" si="51"/>
        <v>15212.975871090488</v>
      </c>
      <c r="BT34" s="15">
        <f t="shared" si="51"/>
        <v>14952.90997743138</v>
      </c>
      <c r="BU34" s="15">
        <f t="shared" si="51"/>
        <v>14692.84700558947</v>
      </c>
      <c r="BV34" s="15">
        <f t="shared" si="51"/>
        <v>14432.786425929151</v>
      </c>
      <c r="BW34" s="15">
        <f t="shared" ref="BW34:DY34" si="52">BW17+BW20+SUM(BW23:BW26)</f>
        <v>14172.727804821479</v>
      </c>
      <c r="BX34" s="15">
        <f t="shared" si="52"/>
        <v>13912.670787241075</v>
      </c>
      <c r="BY34" s="15">
        <f t="shared" si="52"/>
        <v>13652.615082517774</v>
      </c>
      <c r="BZ34" s="15">
        <f t="shared" si="52"/>
        <v>13392.560452670945</v>
      </c>
      <c r="CA34" s="15">
        <f t="shared" si="52"/>
        <v>13132.506702858545</v>
      </c>
      <c r="CB34" s="15">
        <f t="shared" si="52"/>
        <v>12872.453673557397</v>
      </c>
      <c r="CC34" s="15">
        <f t="shared" si="52"/>
        <v>12482.401234160967</v>
      </c>
      <c r="CD34" s="15">
        <f t="shared" si="52"/>
        <v>12222.349277737669</v>
      </c>
      <c r="CE34" s="15">
        <f t="shared" si="52"/>
        <v>11962.297716739335</v>
      </c>
      <c r="CF34" s="15">
        <f t="shared" si="52"/>
        <v>11702.24647948757</v>
      </c>
      <c r="CG34" s="15">
        <f t="shared" si="52"/>
        <v>11442.195507297081</v>
      </c>
      <c r="CH34" s="15">
        <f t="shared" si="52"/>
        <v>11182.144752120412</v>
      </c>
      <c r="CI34" s="15">
        <f t="shared" si="52"/>
        <v>10922.094174619628</v>
      </c>
      <c r="CJ34" s="15">
        <f t="shared" si="52"/>
        <v>10662.043742587559</v>
      </c>
      <c r="CK34" s="15">
        <f t="shared" si="52"/>
        <v>10401.993429655195</v>
      </c>
      <c r="CL34" s="15">
        <f t="shared" si="52"/>
        <v>10141.943214233428</v>
      </c>
      <c r="CM34" s="15">
        <f t="shared" si="52"/>
        <v>9881.8930786465826</v>
      </c>
      <c r="CN34" s="15">
        <f t="shared" si="52"/>
        <v>9621.843008423044</v>
      </c>
      <c r="CO34" s="15">
        <f t="shared" si="52"/>
        <v>9361.792991714452</v>
      </c>
      <c r="CP34" s="15">
        <f t="shared" si="52"/>
        <v>9101.7430188201961</v>
      </c>
      <c r="CQ34" s="15">
        <f t="shared" si="52"/>
        <v>8841.6930817980829</v>
      </c>
      <c r="CR34" s="15">
        <f t="shared" si="52"/>
        <v>8581.6431741455963</v>
      </c>
      <c r="CS34" s="15">
        <f t="shared" si="52"/>
        <v>8321.5932905389218</v>
      </c>
      <c r="CT34" s="15">
        <f t="shared" si="52"/>
        <v>8061.5434266193033</v>
      </c>
      <c r="CU34" s="15">
        <f t="shared" si="52"/>
        <v>7801.4935788180746</v>
      </c>
      <c r="CV34" s="15">
        <f t="shared" si="52"/>
        <v>7541.4437442134695</v>
      </c>
      <c r="CW34" s="15">
        <f t="shared" si="52"/>
        <v>7281.3939204133476</v>
      </c>
      <c r="CX34" s="15">
        <f t="shared" si="52"/>
        <v>7021.3441054591867</v>
      </c>
      <c r="CY34" s="15">
        <f t="shared" si="52"/>
        <v>6761.294297747485</v>
      </c>
      <c r="CZ34" s="15">
        <f t="shared" si="52"/>
        <v>6501.2444959654094</v>
      </c>
      <c r="DA34" s="15">
        <f t="shared" si="52"/>
        <v>6241.1946990381002</v>
      </c>
      <c r="DB34" s="15">
        <f t="shared" si="52"/>
        <v>5981.1449060855393</v>
      </c>
      <c r="DC34" s="15">
        <f t="shared" si="52"/>
        <v>5721.0951163872242</v>
      </c>
      <c r="DD34" s="15">
        <f t="shared" si="52"/>
        <v>5461.0453293532619</v>
      </c>
      <c r="DE34" s="15">
        <f t="shared" si="52"/>
        <v>5200.9955445006863</v>
      </c>
      <c r="DF34" s="15">
        <f t="shared" si="52"/>
        <v>4940.9457614340809</v>
      </c>
      <c r="DG34" s="15">
        <f t="shared" si="52"/>
        <v>4680.8959798297028</v>
      </c>
      <c r="DH34" s="15">
        <f t="shared" si="52"/>
        <v>4420.8461994224954</v>
      </c>
      <c r="DI34" s="15">
        <f t="shared" si="52"/>
        <v>4160.7964199954467</v>
      </c>
      <c r="DJ34" s="15">
        <f t="shared" si="52"/>
        <v>3900.746641370888</v>
      </c>
      <c r="DK34" s="15">
        <f t="shared" si="52"/>
        <v>3640.6968634033497</v>
      </c>
      <c r="DL34" s="15">
        <f t="shared" si="52"/>
        <v>3380.6470859737346</v>
      </c>
      <c r="DM34" s="15">
        <f t="shared" si="52"/>
        <v>3120.5973089845338</v>
      </c>
      <c r="DN34" s="15">
        <f t="shared" si="52"/>
        <v>2860.547532355914</v>
      </c>
      <c r="DO34" s="15">
        <f t="shared" si="52"/>
        <v>2600.4977560225125</v>
      </c>
      <c r="DP34" s="15">
        <f t="shared" si="52"/>
        <v>2340.4479799308169</v>
      </c>
      <c r="DQ34" s="15">
        <f t="shared" si="52"/>
        <v>2080.3982040370111</v>
      </c>
      <c r="DR34" s="15">
        <f t="shared" si="52"/>
        <v>1820.3484283052253</v>
      </c>
      <c r="DS34" s="15">
        <f t="shared" si="52"/>
        <v>1560.2986527060896</v>
      </c>
      <c r="DT34" s="15">
        <f t="shared" si="52"/>
        <v>1300.2488772155584</v>
      </c>
      <c r="DU34" s="15">
        <f t="shared" si="52"/>
        <v>1040.1991018139458</v>
      </c>
      <c r="DV34" s="15">
        <f t="shared" si="52"/>
        <v>780.14932648513343</v>
      </c>
      <c r="DW34" s="15">
        <f t="shared" si="52"/>
        <v>520.09955121592429</v>
      </c>
      <c r="DX34" s="15">
        <f t="shared" si="52"/>
        <v>260.04977599551466</v>
      </c>
      <c r="DY34" s="15">
        <f t="shared" si="52"/>
        <v>8.1505851700822597E-7</v>
      </c>
    </row>
    <row r="35" spans="1:129" s="60" customFormat="1" x14ac:dyDescent="0.45">
      <c r="A35" s="112" t="s">
        <v>247</v>
      </c>
      <c r="B35" s="112"/>
      <c r="C35" s="112"/>
      <c r="D35" s="112"/>
      <c r="E35" s="112"/>
      <c r="F35" s="76"/>
      <c r="G35" s="76" t="e">
        <f>G33-G22</f>
        <v>#VALUE!</v>
      </c>
      <c r="H35" s="76">
        <f t="shared" ref="H35" si="53">H33-H22</f>
        <v>60</v>
      </c>
      <c r="I35" s="76">
        <f>I34-I16</f>
        <v>-5.5980000004637986E-2</v>
      </c>
      <c r="J35" s="77">
        <f t="shared" ref="J35:BU35" si="54">J34-J16</f>
        <v>76641.374777652934</v>
      </c>
      <c r="K35" s="77">
        <f t="shared" si="54"/>
        <v>80916.707410751085</v>
      </c>
      <c r="L35" s="77">
        <f t="shared" si="54"/>
        <v>85786.08758260592</v>
      </c>
      <c r="M35" s="77">
        <f t="shared" si="54"/>
        <v>91144.265021002444</v>
      </c>
      <c r="N35" s="77">
        <f t="shared" si="54"/>
        <v>97094.094629138068</v>
      </c>
      <c r="O35" s="77">
        <f t="shared" si="54"/>
        <v>103565.03694782875</v>
      </c>
      <c r="P35" s="77">
        <f t="shared" si="54"/>
        <v>107129.28005890665</v>
      </c>
      <c r="Q35" s="77">
        <f t="shared" si="54"/>
        <v>110920.59758777273</v>
      </c>
      <c r="R35" s="77">
        <f t="shared" si="54"/>
        <v>114900.29306891843</v>
      </c>
      <c r="S35" s="77">
        <f t="shared" si="54"/>
        <v>119036.69114220316</v>
      </c>
      <c r="T35" s="77">
        <f t="shared" si="54"/>
        <v>118268.72343835418</v>
      </c>
      <c r="U35" s="77">
        <f t="shared" si="54"/>
        <v>126517.45877413964</v>
      </c>
      <c r="V35" s="77">
        <f t="shared" si="54"/>
        <v>125924.15161159872</v>
      </c>
      <c r="W35" s="77">
        <f t="shared" si="54"/>
        <v>125395.22415561271</v>
      </c>
      <c r="X35" s="77">
        <f t="shared" si="54"/>
        <v>124919.01049611295</v>
      </c>
      <c r="Y35" s="77">
        <f t="shared" si="54"/>
        <v>124485.95941052026</v>
      </c>
      <c r="Z35" s="77">
        <f t="shared" si="54"/>
        <v>124088.25103600383</v>
      </c>
      <c r="AA35" s="77">
        <f t="shared" si="54"/>
        <v>123719.48302727149</v>
      </c>
      <c r="AB35" s="77">
        <f t="shared" si="54"/>
        <v>123374.41360430115</v>
      </c>
      <c r="AC35" s="77">
        <f t="shared" si="54"/>
        <v>123048.75117761675</v>
      </c>
      <c r="AD35" s="77">
        <f t="shared" si="54"/>
        <v>122738.98210803227</v>
      </c>
      <c r="AE35" s="77">
        <f t="shared" si="54"/>
        <v>122442.22968825756</v>
      </c>
      <c r="AF35" s="77">
        <f t="shared" si="54"/>
        <v>122156.13868680256</v>
      </c>
      <c r="AG35" s="77">
        <f t="shared" si="54"/>
        <v>49673.680820521244</v>
      </c>
      <c r="AH35" s="77">
        <f t="shared" si="54"/>
        <v>49403.47736207673</v>
      </c>
      <c r="AI35" s="77">
        <f t="shared" si="54"/>
        <v>49139.135776293137</v>
      </c>
      <c r="AJ35" s="77">
        <f t="shared" si="54"/>
        <v>48879.597842388517</v>
      </c>
      <c r="AK35" s="77">
        <f t="shared" si="54"/>
        <v>48623.997180051803</v>
      </c>
      <c r="AL35" s="77">
        <f t="shared" si="54"/>
        <v>48371.624474736127</v>
      </c>
      <c r="AM35" s="77">
        <f t="shared" si="54"/>
        <v>48121.899006537373</v>
      </c>
      <c r="AN35" s="77">
        <f t="shared" si="54"/>
        <v>47874.345340011598</v>
      </c>
      <c r="AO35" s="77">
        <f t="shared" si="54"/>
        <v>47628.574239412155</v>
      </c>
      <c r="AP35" s="77">
        <f t="shared" si="54"/>
        <v>47384.267043407606</v>
      </c>
      <c r="AQ35" s="77">
        <f t="shared" si="54"/>
        <v>47141.162872183049</v>
      </c>
      <c r="AR35" s="77">
        <f t="shared" si="54"/>
        <v>46899.048153500895</v>
      </c>
      <c r="AS35" s="77">
        <f t="shared" si="54"/>
        <v>46657.748047364956</v>
      </c>
      <c r="AT35" s="77">
        <f t="shared" si="54"/>
        <v>46417.11942512956</v>
      </c>
      <c r="AU35" s="77">
        <f t="shared" si="54"/>
        <v>46177.045121280506</v>
      </c>
      <c r="AV35" s="77">
        <f t="shared" si="54"/>
        <v>45937.429227191722</v>
      </c>
      <c r="AW35" s="77">
        <f t="shared" si="54"/>
        <v>45698.193237979343</v>
      </c>
      <c r="AX35" s="77">
        <f t="shared" si="54"/>
        <v>45459.272897813062</v>
      </c>
      <c r="AY35" s="77">
        <f t="shared" si="54"/>
        <v>45220.615617075593</v>
      </c>
      <c r="AZ35" s="77">
        <f t="shared" si="54"/>
        <v>44982.17835771227</v>
      </c>
      <c r="BA35" s="77">
        <f t="shared" si="54"/>
        <v>44743.925901901821</v>
      </c>
      <c r="BB35" s="77">
        <f t="shared" si="54"/>
        <v>44505.829434564352</v>
      </c>
      <c r="BC35" s="77">
        <f t="shared" si="54"/>
        <v>44267.865382817159</v>
      </c>
      <c r="BD35" s="77">
        <f t="shared" si="54"/>
        <v>44030.014465802029</v>
      </c>
      <c r="BE35" s="77">
        <f t="shared" si="54"/>
        <v>43792.260916749779</v>
      </c>
      <c r="BF35" s="77">
        <f t="shared" si="54"/>
        <v>43554.591846060961</v>
      </c>
      <c r="BG35" s="77">
        <f t="shared" si="54"/>
        <v>43316.996719840718</v>
      </c>
      <c r="BH35" s="77">
        <f t="shared" si="54"/>
        <v>43079.466932959585</v>
      </c>
      <c r="BI35" s="77">
        <f t="shared" si="54"/>
        <v>42841.995459505502</v>
      </c>
      <c r="BJ35" s="77">
        <f t="shared" si="54"/>
        <v>42604.57656659848</v>
      </c>
      <c r="BK35" s="77">
        <f t="shared" si="54"/>
        <v>42367.205580082191</v>
      </c>
      <c r="BL35" s="77">
        <f t="shared" si="54"/>
        <v>42129.878692688711</v>
      </c>
      <c r="BM35" s="77">
        <f t="shared" si="54"/>
        <v>41892.592806977547</v>
      </c>
      <c r="BN35" s="77">
        <f t="shared" si="54"/>
        <v>41655.345406745131</v>
      </c>
      <c r="BO35" s="77">
        <f t="shared" si="54"/>
        <v>41418.134451744307</v>
      </c>
      <c r="BP35" s="77">
        <f t="shared" si="54"/>
        <v>41180.958291488168</v>
      </c>
      <c r="BQ35" s="77">
        <f t="shared" si="54"/>
        <v>14771.85059467893</v>
      </c>
      <c r="BR35" s="77">
        <f t="shared" si="54"/>
        <v>14527.33124946518</v>
      </c>
      <c r="BS35" s="77">
        <f t="shared" si="54"/>
        <v>14282.816263090488</v>
      </c>
      <c r="BT35" s="77">
        <f t="shared" si="54"/>
        <v>14038.304845431379</v>
      </c>
      <c r="BU35" s="77">
        <f t="shared" si="54"/>
        <v>13793.796349589471</v>
      </c>
      <c r="BV35" s="77">
        <f t="shared" ref="BV35:DY35" si="55">BV34-BV16</f>
        <v>13549.290245929151</v>
      </c>
      <c r="BW35" s="77">
        <f t="shared" si="55"/>
        <v>13304.786100821479</v>
      </c>
      <c r="BX35" s="77">
        <f t="shared" si="55"/>
        <v>13060.283559241076</v>
      </c>
      <c r="BY35" s="77">
        <f t="shared" si="55"/>
        <v>12815.782330517774</v>
      </c>
      <c r="BZ35" s="77">
        <f t="shared" si="55"/>
        <v>12571.282176670946</v>
      </c>
      <c r="CA35" s="77">
        <f t="shared" si="55"/>
        <v>12326.782902858546</v>
      </c>
      <c r="CB35" s="77">
        <f t="shared" si="55"/>
        <v>12082.284349557396</v>
      </c>
      <c r="CC35" s="77">
        <f t="shared" si="55"/>
        <v>11707.786386160968</v>
      </c>
      <c r="CD35" s="77">
        <f t="shared" si="55"/>
        <v>11463.288905737669</v>
      </c>
      <c r="CE35" s="77">
        <f t="shared" si="55"/>
        <v>11218.791820739334</v>
      </c>
      <c r="CF35" s="77">
        <f t="shared" si="55"/>
        <v>10974.295059487571</v>
      </c>
      <c r="CG35" s="77">
        <f t="shared" si="55"/>
        <v>10729.798563297081</v>
      </c>
      <c r="CH35" s="77">
        <f t="shared" si="55"/>
        <v>10485.302284120411</v>
      </c>
      <c r="CI35" s="77">
        <f t="shared" si="55"/>
        <v>10240.806182619628</v>
      </c>
      <c r="CJ35" s="77">
        <f t="shared" si="55"/>
        <v>9996.3102265875586</v>
      </c>
      <c r="CK35" s="77">
        <f t="shared" si="55"/>
        <v>9751.8143896551956</v>
      </c>
      <c r="CL35" s="77">
        <f t="shared" si="55"/>
        <v>9507.3186502334283</v>
      </c>
      <c r="CM35" s="77">
        <f t="shared" si="55"/>
        <v>9262.8229906465822</v>
      </c>
      <c r="CN35" s="77">
        <f t="shared" si="55"/>
        <v>9018.3273964230448</v>
      </c>
      <c r="CO35" s="77">
        <f t="shared" si="55"/>
        <v>8801.8318557144521</v>
      </c>
      <c r="CP35" s="77">
        <f t="shared" si="55"/>
        <v>8557.3363588201955</v>
      </c>
      <c r="CQ35" s="77">
        <f t="shared" si="55"/>
        <v>8312.8408977980835</v>
      </c>
      <c r="CR35" s="77">
        <f t="shared" si="55"/>
        <v>8068.3454661455962</v>
      </c>
      <c r="CS35" s="77">
        <f t="shared" si="55"/>
        <v>7823.850058538922</v>
      </c>
      <c r="CT35" s="77">
        <f t="shared" si="55"/>
        <v>7579.3546706193029</v>
      </c>
      <c r="CU35" s="77">
        <f t="shared" si="55"/>
        <v>7334.8592988180744</v>
      </c>
      <c r="CV35" s="77">
        <f t="shared" si="55"/>
        <v>7090.3639402134695</v>
      </c>
      <c r="CW35" s="77">
        <f t="shared" si="55"/>
        <v>6845.8685924133479</v>
      </c>
      <c r="CX35" s="77">
        <f t="shared" si="55"/>
        <v>6601.3732534591863</v>
      </c>
      <c r="CY35" s="77">
        <f t="shared" si="55"/>
        <v>6356.8779217474848</v>
      </c>
      <c r="CZ35" s="77">
        <f t="shared" si="55"/>
        <v>6112.3825959654096</v>
      </c>
      <c r="DA35" s="77">
        <f t="shared" si="55"/>
        <v>5867.8872750381006</v>
      </c>
      <c r="DB35" s="77">
        <f t="shared" si="55"/>
        <v>5623.391958085539</v>
      </c>
      <c r="DC35" s="77">
        <f t="shared" si="55"/>
        <v>5378.8966443872241</v>
      </c>
      <c r="DD35" s="77">
        <f t="shared" si="55"/>
        <v>5134.4013333532621</v>
      </c>
      <c r="DE35" s="77">
        <f t="shared" si="55"/>
        <v>4889.9060245006858</v>
      </c>
      <c r="DF35" s="77">
        <f t="shared" si="55"/>
        <v>4645.4107174340807</v>
      </c>
      <c r="DG35" s="77">
        <f t="shared" si="55"/>
        <v>4400.9154118297029</v>
      </c>
      <c r="DH35" s="77">
        <f t="shared" si="55"/>
        <v>4156.4201074224957</v>
      </c>
      <c r="DI35" s="77">
        <f t="shared" si="55"/>
        <v>3911.9248039954468</v>
      </c>
      <c r="DJ35" s="77">
        <f t="shared" si="55"/>
        <v>3667.4295013708879</v>
      </c>
      <c r="DK35" s="77">
        <f t="shared" si="55"/>
        <v>3422.9341994033498</v>
      </c>
      <c r="DL35" s="77">
        <f t="shared" si="55"/>
        <v>3178.4388979737346</v>
      </c>
      <c r="DM35" s="77">
        <f t="shared" si="55"/>
        <v>2933.943596984534</v>
      </c>
      <c r="DN35" s="77">
        <f t="shared" si="55"/>
        <v>2689.448296355914</v>
      </c>
      <c r="DO35" s="77">
        <f t="shared" si="55"/>
        <v>2444.9529960225127</v>
      </c>
      <c r="DP35" s="77">
        <f t="shared" si="55"/>
        <v>2200.457695930817</v>
      </c>
      <c r="DQ35" s="77">
        <f t="shared" si="55"/>
        <v>1955.9623960370111</v>
      </c>
      <c r="DR35" s="77">
        <f t="shared" si="55"/>
        <v>1711.4670963052254</v>
      </c>
      <c r="DS35" s="77">
        <f t="shared" si="55"/>
        <v>1466.9717967060897</v>
      </c>
      <c r="DT35" s="77">
        <f t="shared" si="55"/>
        <v>1222.4764972155585</v>
      </c>
      <c r="DU35" s="77">
        <f t="shared" si="55"/>
        <v>977.98119781394587</v>
      </c>
      <c r="DV35" s="77">
        <f t="shared" si="55"/>
        <v>733.48589848513348</v>
      </c>
      <c r="DW35" s="77">
        <f t="shared" si="55"/>
        <v>488.99059921592431</v>
      </c>
      <c r="DX35" s="77">
        <f t="shared" si="55"/>
        <v>244.49529999551467</v>
      </c>
      <c r="DY35" s="77">
        <f t="shared" si="55"/>
        <v>8.1505851700822597E-7</v>
      </c>
    </row>
    <row r="36" spans="1:129" x14ac:dyDescent="0.45">
      <c r="A36" s="61"/>
      <c r="B36" s="61"/>
      <c r="C36" s="61"/>
      <c r="D36" s="61"/>
      <c r="E36" s="61"/>
      <c r="F36" s="62"/>
    </row>
    <row r="37" spans="1:129" x14ac:dyDescent="0.45">
      <c r="A37" s="113"/>
      <c r="B37" s="64"/>
      <c r="C37" s="64"/>
    </row>
    <row r="38" spans="1:129" x14ac:dyDescent="0.45">
      <c r="A38" s="113"/>
    </row>
    <row r="39" spans="1:129" x14ac:dyDescent="0.45">
      <c r="A39" s="114" t="s">
        <v>248</v>
      </c>
      <c r="B39" s="65" t="s">
        <v>249</v>
      </c>
      <c r="C39" s="65" t="s">
        <v>250</v>
      </c>
      <c r="D39" s="67"/>
      <c r="E39" s="67"/>
    </row>
    <row r="40" spans="1:129" x14ac:dyDescent="0.45">
      <c r="A40" s="114"/>
      <c r="B40" s="63" t="s">
        <v>255</v>
      </c>
      <c r="C40" s="66">
        <f>I9/I16</f>
        <v>0.80756083656323341</v>
      </c>
      <c r="D40" s="67"/>
      <c r="E40" s="67"/>
      <c r="H40" t="s">
        <v>251</v>
      </c>
    </row>
    <row r="41" spans="1:129" x14ac:dyDescent="0.45">
      <c r="A41" s="114"/>
      <c r="B41" s="63" t="s">
        <v>256</v>
      </c>
      <c r="C41" s="66">
        <f>I6/I16</f>
        <v>0.18000202557209957</v>
      </c>
      <c r="D41" s="69"/>
      <c r="E41" s="69"/>
    </row>
    <row r="42" spans="1:129" x14ac:dyDescent="0.45">
      <c r="A42" s="114"/>
      <c r="B42" s="78" t="s">
        <v>257</v>
      </c>
      <c r="C42" s="68">
        <f>I13/I16</f>
        <v>1.7995738971240128E-4</v>
      </c>
      <c r="D42" s="67"/>
      <c r="E42" s="67"/>
    </row>
    <row r="43" spans="1:129" ht="28.5" x14ac:dyDescent="0.45">
      <c r="A43" s="114"/>
      <c r="B43" s="80" t="s">
        <v>258</v>
      </c>
      <c r="C43" s="81">
        <f>I20/I34</f>
        <v>0.32238773180673197</v>
      </c>
      <c r="D43" s="67"/>
      <c r="E43" s="67"/>
    </row>
    <row r="44" spans="1:129" x14ac:dyDescent="0.45">
      <c r="A44" s="114"/>
      <c r="B44" s="63" t="s">
        <v>259</v>
      </c>
      <c r="C44" s="66">
        <f>I17/I34</f>
        <v>0.47621434197669849</v>
      </c>
    </row>
    <row r="45" spans="1:129" ht="14.45" customHeight="1" x14ac:dyDescent="0.45">
      <c r="D45" s="67"/>
      <c r="E45" s="67"/>
    </row>
    <row r="46" spans="1:129" x14ac:dyDescent="0.45">
      <c r="A46" s="114" t="s">
        <v>252</v>
      </c>
      <c r="B46" s="65" t="s">
        <v>249</v>
      </c>
      <c r="C46" s="70" t="s">
        <v>250</v>
      </c>
      <c r="D46" s="67"/>
      <c r="E46" s="67"/>
    </row>
    <row r="47" spans="1:129" ht="28.5" x14ac:dyDescent="0.45">
      <c r="A47" s="114"/>
      <c r="B47" s="79" t="s">
        <v>260</v>
      </c>
      <c r="C47" s="81">
        <f>I9/I20</f>
        <v>2.5049375253421182</v>
      </c>
      <c r="D47" s="67"/>
      <c r="E47" s="67"/>
    </row>
    <row r="48" spans="1:129" x14ac:dyDescent="0.45">
      <c r="A48" s="114"/>
      <c r="B48" s="63" t="s">
        <v>253</v>
      </c>
      <c r="C48" s="66">
        <f>(I3+I13)/I16</f>
        <v>8.2467015042209778E-3</v>
      </c>
    </row>
    <row r="49" spans="1:5" x14ac:dyDescent="0.45">
      <c r="A49" s="114"/>
      <c r="B49" s="79" t="s">
        <v>261</v>
      </c>
      <c r="C49" s="66">
        <f>(I3+I13)/I20</f>
        <v>2.5580081552903419E-2</v>
      </c>
    </row>
    <row r="50" spans="1:5" x14ac:dyDescent="0.45">
      <c r="A50" s="71"/>
      <c r="D50" s="67"/>
      <c r="E50" s="67"/>
    </row>
    <row r="51" spans="1:5" ht="14.45" customHeight="1" x14ac:dyDescent="0.45">
      <c r="A51" s="114" t="s">
        <v>254</v>
      </c>
      <c r="B51" s="65" t="s">
        <v>249</v>
      </c>
      <c r="C51" s="70" t="s">
        <v>250</v>
      </c>
      <c r="D51" s="67"/>
      <c r="E51" s="67"/>
    </row>
    <row r="52" spans="1:5" x14ac:dyDescent="0.45">
      <c r="A52" s="114"/>
      <c r="B52" s="63" t="s">
        <v>259</v>
      </c>
      <c r="C52" s="66">
        <f>I17/I34</f>
        <v>0.47621434197669849</v>
      </c>
      <c r="D52" s="67"/>
      <c r="E52" s="67"/>
    </row>
    <row r="53" spans="1:5" ht="28.5" x14ac:dyDescent="0.45">
      <c r="A53" s="114"/>
      <c r="B53" s="79" t="s">
        <v>262</v>
      </c>
      <c r="C53" s="66">
        <f>I21/I20</f>
        <v>0.47824137843660758</v>
      </c>
      <c r="D53" s="67"/>
      <c r="E53" s="67"/>
    </row>
    <row r="54" spans="1:5" ht="28.5" x14ac:dyDescent="0.45">
      <c r="A54" s="114"/>
      <c r="B54" s="79" t="s">
        <v>263</v>
      </c>
      <c r="C54" s="66">
        <f>I22/I20</f>
        <v>0.52175862156339248</v>
      </c>
    </row>
    <row r="55" spans="1:5" x14ac:dyDescent="0.45">
      <c r="A55" s="71"/>
    </row>
    <row r="56" spans="1:5" x14ac:dyDescent="0.45">
      <c r="A56" s="71"/>
    </row>
    <row r="58" spans="1:5" x14ac:dyDescent="0.45">
      <c r="C58" s="11" t="s">
        <v>33</v>
      </c>
    </row>
    <row r="59" spans="1:5" x14ac:dyDescent="0.45">
      <c r="C59" s="11" t="s">
        <v>34</v>
      </c>
    </row>
  </sheetData>
  <mergeCells count="7">
    <mergeCell ref="E1:F1"/>
    <mergeCell ref="G1:H1"/>
    <mergeCell ref="A35:E35"/>
    <mergeCell ref="A37:A38"/>
    <mergeCell ref="A39:A44"/>
    <mergeCell ref="A46:A49"/>
    <mergeCell ref="A51:A54"/>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2CAB-5B87-45B4-9169-11140C20CC52}">
  <dimension ref="A1:DY43"/>
  <sheetViews>
    <sheetView workbookViewId="0">
      <pane xSplit="9" ySplit="1" topLeftCell="J2" activePane="bottomRight" state="frozen"/>
      <selection pane="topRight" activeCell="J1" sqref="J1"/>
      <selection pane="bottomLeft" activeCell="A2" sqref="A2"/>
      <selection pane="bottomRight" activeCell="C31" sqref="C31"/>
    </sheetView>
  </sheetViews>
  <sheetFormatPr baseColWidth="10" defaultRowHeight="14.25" x14ac:dyDescent="0.45"/>
  <cols>
    <col min="1" max="1" width="11.86328125" bestFit="1" customWidth="1"/>
    <col min="2" max="2" width="9.73046875" customWidth="1"/>
    <col min="3" max="3" width="35.53125" customWidth="1"/>
    <col min="4" max="4" width="18.19921875" bestFit="1" customWidth="1"/>
    <col min="5" max="5" width="26.1328125" hidden="1" customWidth="1"/>
    <col min="6" max="6" width="22.1328125" hidden="1" customWidth="1"/>
    <col min="7" max="7" width="7.265625" customWidth="1"/>
    <col min="8" max="8" width="10.19921875" customWidth="1"/>
    <col min="9" max="9" width="13.19921875" bestFit="1" customWidth="1"/>
    <col min="10" max="10" width="14.86328125" bestFit="1" customWidth="1"/>
  </cols>
  <sheetData>
    <row r="1" spans="1:129" x14ac:dyDescent="0.45">
      <c r="E1" s="115" t="s">
        <v>50</v>
      </c>
      <c r="F1" s="115"/>
      <c r="G1" s="115" t="s">
        <v>51</v>
      </c>
      <c r="H1" s="115"/>
      <c r="I1" s="53">
        <v>0</v>
      </c>
      <c r="J1" s="53">
        <v>1</v>
      </c>
      <c r="K1" s="53">
        <v>2</v>
      </c>
      <c r="L1" s="53">
        <v>3</v>
      </c>
      <c r="M1" s="53">
        <v>4</v>
      </c>
      <c r="N1" s="53">
        <v>5</v>
      </c>
      <c r="O1" s="53">
        <v>6</v>
      </c>
      <c r="P1" s="53">
        <v>7</v>
      </c>
      <c r="Q1" s="53">
        <v>8</v>
      </c>
      <c r="R1" s="53">
        <v>9</v>
      </c>
      <c r="S1" s="53">
        <v>10</v>
      </c>
      <c r="T1" s="53">
        <v>11</v>
      </c>
      <c r="U1" s="53">
        <v>12</v>
      </c>
      <c r="V1" s="53">
        <v>13</v>
      </c>
      <c r="W1" s="53">
        <v>14</v>
      </c>
      <c r="X1" s="53">
        <v>15</v>
      </c>
      <c r="Y1" s="53">
        <v>16</v>
      </c>
      <c r="Z1" s="53">
        <v>17</v>
      </c>
      <c r="AA1" s="53">
        <v>18</v>
      </c>
      <c r="AB1" s="53">
        <v>19</v>
      </c>
      <c r="AC1" s="53">
        <v>20</v>
      </c>
      <c r="AD1" s="53">
        <v>21</v>
      </c>
      <c r="AE1" s="53">
        <v>22</v>
      </c>
      <c r="AF1" s="53">
        <v>23</v>
      </c>
      <c r="AG1" s="53">
        <v>24</v>
      </c>
      <c r="AH1" s="53">
        <v>25</v>
      </c>
      <c r="AI1" s="53">
        <v>26</v>
      </c>
      <c r="AJ1" s="53">
        <v>27</v>
      </c>
      <c r="AK1" s="53">
        <v>28</v>
      </c>
      <c r="AL1" s="53">
        <v>29</v>
      </c>
      <c r="AM1" s="53">
        <v>30</v>
      </c>
      <c r="AN1" s="53">
        <v>31</v>
      </c>
      <c r="AO1" s="53">
        <v>32</v>
      </c>
      <c r="AP1" s="53">
        <v>33</v>
      </c>
      <c r="AQ1" s="53">
        <v>34</v>
      </c>
      <c r="AR1" s="53">
        <v>35</v>
      </c>
      <c r="AS1" s="53">
        <v>36</v>
      </c>
      <c r="AT1" s="53">
        <v>37</v>
      </c>
      <c r="AU1" s="53">
        <v>38</v>
      </c>
      <c r="AV1" s="53">
        <v>39</v>
      </c>
      <c r="AW1" s="53">
        <v>40</v>
      </c>
      <c r="AX1" s="53">
        <v>41</v>
      </c>
      <c r="AY1" s="53">
        <v>42</v>
      </c>
      <c r="AZ1" s="53">
        <v>43</v>
      </c>
      <c r="BA1" s="53">
        <v>44</v>
      </c>
      <c r="BB1" s="53">
        <v>45</v>
      </c>
      <c r="BC1" s="53">
        <v>46</v>
      </c>
      <c r="BD1" s="53">
        <v>47</v>
      </c>
      <c r="BE1" s="53">
        <v>48</v>
      </c>
      <c r="BF1" s="53">
        <v>49</v>
      </c>
      <c r="BG1" s="53">
        <v>50</v>
      </c>
      <c r="BH1" s="53">
        <v>51</v>
      </c>
      <c r="BI1" s="53">
        <v>52</v>
      </c>
      <c r="BJ1" s="53">
        <v>53</v>
      </c>
      <c r="BK1" s="53">
        <v>54</v>
      </c>
      <c r="BL1" s="53">
        <v>55</v>
      </c>
      <c r="BM1" s="53">
        <v>56</v>
      </c>
      <c r="BN1" s="53">
        <v>57</v>
      </c>
      <c r="BO1" s="53">
        <v>58</v>
      </c>
      <c r="BP1" s="53">
        <v>59</v>
      </c>
      <c r="BQ1" s="53">
        <v>60</v>
      </c>
      <c r="BR1" s="53">
        <v>61</v>
      </c>
      <c r="BS1" s="53">
        <v>62</v>
      </c>
      <c r="BT1" s="53">
        <v>63</v>
      </c>
      <c r="BU1" s="53">
        <v>64</v>
      </c>
      <c r="BV1" s="53">
        <v>65</v>
      </c>
      <c r="BW1" s="53">
        <v>66</v>
      </c>
      <c r="BX1" s="53">
        <v>67</v>
      </c>
      <c r="BY1" s="53">
        <v>68</v>
      </c>
      <c r="BZ1" s="53">
        <v>69</v>
      </c>
      <c r="CA1" s="53">
        <v>70</v>
      </c>
      <c r="CB1" s="53">
        <v>71</v>
      </c>
      <c r="CC1" s="53">
        <v>72</v>
      </c>
      <c r="CD1" s="53">
        <v>73</v>
      </c>
      <c r="CE1" s="53">
        <v>74</v>
      </c>
      <c r="CF1" s="53">
        <v>75</v>
      </c>
      <c r="CG1" s="53">
        <v>76</v>
      </c>
      <c r="CH1" s="53">
        <v>77</v>
      </c>
      <c r="CI1" s="53">
        <v>78</v>
      </c>
      <c r="CJ1" s="53">
        <v>79</v>
      </c>
      <c r="CK1" s="53">
        <v>80</v>
      </c>
      <c r="CL1" s="53">
        <v>81</v>
      </c>
      <c r="CM1" s="53">
        <v>82</v>
      </c>
      <c r="CN1" s="53">
        <v>83</v>
      </c>
      <c r="CO1" s="53">
        <v>84</v>
      </c>
      <c r="CP1" s="53">
        <v>85</v>
      </c>
      <c r="CQ1" s="53">
        <v>86</v>
      </c>
      <c r="CR1" s="53">
        <v>87</v>
      </c>
      <c r="CS1" s="53">
        <v>88</v>
      </c>
      <c r="CT1" s="53">
        <v>89</v>
      </c>
      <c r="CU1" s="53">
        <v>90</v>
      </c>
      <c r="CV1" s="53">
        <v>91</v>
      </c>
      <c r="CW1" s="53">
        <v>92</v>
      </c>
      <c r="CX1" s="53">
        <v>93</v>
      </c>
      <c r="CY1" s="53">
        <v>94</v>
      </c>
      <c r="CZ1" s="53">
        <v>95</v>
      </c>
      <c r="DA1" s="53">
        <v>96</v>
      </c>
      <c r="DB1" s="53">
        <v>97</v>
      </c>
      <c r="DC1" s="53">
        <v>98</v>
      </c>
      <c r="DD1" s="53">
        <v>99</v>
      </c>
      <c r="DE1" s="53">
        <v>100</v>
      </c>
      <c r="DF1" s="53">
        <v>101</v>
      </c>
      <c r="DG1" s="53">
        <v>102</v>
      </c>
      <c r="DH1" s="53">
        <v>103</v>
      </c>
      <c r="DI1" s="53">
        <v>104</v>
      </c>
      <c r="DJ1" s="53">
        <v>105</v>
      </c>
      <c r="DK1" s="53">
        <v>106</v>
      </c>
      <c r="DL1" s="53">
        <v>107</v>
      </c>
      <c r="DM1" s="53">
        <v>108</v>
      </c>
      <c r="DN1" s="53">
        <v>109</v>
      </c>
      <c r="DO1" s="53">
        <v>110</v>
      </c>
      <c r="DP1" s="53">
        <v>111</v>
      </c>
      <c r="DQ1" s="53">
        <v>112</v>
      </c>
      <c r="DR1" s="53">
        <v>113</v>
      </c>
      <c r="DS1" s="53">
        <v>114</v>
      </c>
      <c r="DT1" s="53">
        <v>115</v>
      </c>
      <c r="DU1" s="53">
        <v>116</v>
      </c>
      <c r="DV1" s="53">
        <v>117</v>
      </c>
      <c r="DW1" s="53">
        <v>118</v>
      </c>
      <c r="DX1" s="53">
        <v>119</v>
      </c>
      <c r="DY1" s="53">
        <v>120</v>
      </c>
    </row>
    <row r="2" spans="1:129" x14ac:dyDescent="0.45">
      <c r="A2" s="10" t="s">
        <v>18</v>
      </c>
      <c r="B2" s="10" t="s">
        <v>16</v>
      </c>
      <c r="C2" s="10" t="s">
        <v>17</v>
      </c>
      <c r="D2" s="10" t="s">
        <v>52</v>
      </c>
      <c r="E2" s="10" t="s">
        <v>42</v>
      </c>
      <c r="F2" s="10" t="s">
        <v>44</v>
      </c>
      <c r="G2" s="10" t="s">
        <v>42</v>
      </c>
      <c r="H2" s="10" t="s">
        <v>44</v>
      </c>
      <c r="I2" s="12" t="s">
        <v>15</v>
      </c>
      <c r="J2" s="53" t="s">
        <v>127</v>
      </c>
      <c r="K2" s="53" t="s">
        <v>128</v>
      </c>
      <c r="L2" s="53" t="s">
        <v>129</v>
      </c>
      <c r="M2" s="53" t="s">
        <v>130</v>
      </c>
      <c r="N2" s="53" t="s">
        <v>131</v>
      </c>
      <c r="O2" s="53" t="s">
        <v>132</v>
      </c>
      <c r="P2" s="53" t="s">
        <v>133</v>
      </c>
      <c r="Q2" s="53" t="s">
        <v>134</v>
      </c>
      <c r="R2" s="53" t="s">
        <v>135</v>
      </c>
      <c r="S2" s="53" t="s">
        <v>136</v>
      </c>
      <c r="T2" s="53" t="s">
        <v>137</v>
      </c>
      <c r="U2" s="53" t="s">
        <v>138</v>
      </c>
      <c r="V2" s="53" t="s">
        <v>139</v>
      </c>
      <c r="W2" s="53" t="s">
        <v>140</v>
      </c>
      <c r="X2" s="53" t="s">
        <v>141</v>
      </c>
      <c r="Y2" s="53" t="s">
        <v>142</v>
      </c>
      <c r="Z2" s="53" t="s">
        <v>143</v>
      </c>
      <c r="AA2" s="53" t="s">
        <v>144</v>
      </c>
      <c r="AB2" s="53" t="s">
        <v>145</v>
      </c>
      <c r="AC2" s="53" t="s">
        <v>146</v>
      </c>
      <c r="AD2" s="53" t="s">
        <v>147</v>
      </c>
      <c r="AE2" s="53" t="s">
        <v>148</v>
      </c>
      <c r="AF2" s="53" t="s">
        <v>149</v>
      </c>
      <c r="AG2" s="53" t="s">
        <v>150</v>
      </c>
      <c r="AH2" s="53" t="s">
        <v>151</v>
      </c>
      <c r="AI2" s="53" t="s">
        <v>152</v>
      </c>
      <c r="AJ2" s="53" t="s">
        <v>153</v>
      </c>
      <c r="AK2" s="53" t="s">
        <v>154</v>
      </c>
      <c r="AL2" s="53" t="s">
        <v>155</v>
      </c>
      <c r="AM2" s="53" t="s">
        <v>156</v>
      </c>
      <c r="AN2" s="53" t="s">
        <v>157</v>
      </c>
      <c r="AO2" s="53" t="s">
        <v>158</v>
      </c>
      <c r="AP2" s="53" t="s">
        <v>159</v>
      </c>
      <c r="AQ2" s="53" t="s">
        <v>160</v>
      </c>
      <c r="AR2" s="53" t="s">
        <v>161</v>
      </c>
      <c r="AS2" s="53" t="s">
        <v>162</v>
      </c>
      <c r="AT2" s="53" t="s">
        <v>163</v>
      </c>
      <c r="AU2" s="53" t="s">
        <v>164</v>
      </c>
      <c r="AV2" s="53" t="s">
        <v>165</v>
      </c>
      <c r="AW2" s="53" t="s">
        <v>166</v>
      </c>
      <c r="AX2" s="53" t="s">
        <v>167</v>
      </c>
      <c r="AY2" s="53" t="s">
        <v>168</v>
      </c>
      <c r="AZ2" s="53" t="s">
        <v>169</v>
      </c>
      <c r="BA2" s="53" t="s">
        <v>170</v>
      </c>
      <c r="BB2" s="53" t="s">
        <v>171</v>
      </c>
      <c r="BC2" s="53" t="s">
        <v>172</v>
      </c>
      <c r="BD2" s="53" t="s">
        <v>173</v>
      </c>
      <c r="BE2" s="53" t="s">
        <v>174</v>
      </c>
      <c r="BF2" s="53" t="s">
        <v>175</v>
      </c>
      <c r="BG2" s="53" t="s">
        <v>176</v>
      </c>
      <c r="BH2" s="53" t="s">
        <v>177</v>
      </c>
      <c r="BI2" s="53" t="s">
        <v>178</v>
      </c>
      <c r="BJ2" s="53" t="s">
        <v>179</v>
      </c>
      <c r="BK2" s="53" t="s">
        <v>180</v>
      </c>
      <c r="BL2" s="53" t="s">
        <v>181</v>
      </c>
      <c r="BM2" s="53" t="s">
        <v>182</v>
      </c>
      <c r="BN2" s="53" t="s">
        <v>183</v>
      </c>
      <c r="BO2" s="53" t="s">
        <v>184</v>
      </c>
      <c r="BP2" s="53" t="s">
        <v>185</v>
      </c>
      <c r="BQ2" s="53" t="s">
        <v>186</v>
      </c>
      <c r="BR2" s="53" t="s">
        <v>187</v>
      </c>
      <c r="BS2" s="53" t="s">
        <v>188</v>
      </c>
      <c r="BT2" s="53" t="s">
        <v>189</v>
      </c>
      <c r="BU2" s="53" t="s">
        <v>190</v>
      </c>
      <c r="BV2" s="53" t="s">
        <v>191</v>
      </c>
      <c r="BW2" s="53" t="s">
        <v>192</v>
      </c>
      <c r="BX2" s="53" t="s">
        <v>193</v>
      </c>
      <c r="BY2" s="53" t="s">
        <v>194</v>
      </c>
      <c r="BZ2" s="53" t="s">
        <v>195</v>
      </c>
      <c r="CA2" s="53" t="s">
        <v>196</v>
      </c>
      <c r="CB2" s="53" t="s">
        <v>197</v>
      </c>
      <c r="CC2" s="53" t="s">
        <v>198</v>
      </c>
      <c r="CD2" s="53" t="s">
        <v>199</v>
      </c>
      <c r="CE2" s="53" t="s">
        <v>200</v>
      </c>
      <c r="CF2" s="53" t="s">
        <v>201</v>
      </c>
      <c r="CG2" s="53" t="s">
        <v>202</v>
      </c>
      <c r="CH2" s="53" t="s">
        <v>203</v>
      </c>
      <c r="CI2" s="53" t="s">
        <v>204</v>
      </c>
      <c r="CJ2" s="53" t="s">
        <v>205</v>
      </c>
      <c r="CK2" s="53" t="s">
        <v>206</v>
      </c>
      <c r="CL2" s="53" t="s">
        <v>207</v>
      </c>
      <c r="CM2" s="53" t="s">
        <v>208</v>
      </c>
      <c r="CN2" s="53" t="s">
        <v>209</v>
      </c>
      <c r="CO2" s="53" t="s">
        <v>210</v>
      </c>
      <c r="CP2" s="53" t="s">
        <v>211</v>
      </c>
      <c r="CQ2" s="53" t="s">
        <v>212</v>
      </c>
      <c r="CR2" s="53" t="s">
        <v>213</v>
      </c>
      <c r="CS2" s="53" t="s">
        <v>214</v>
      </c>
      <c r="CT2" s="53" t="s">
        <v>215</v>
      </c>
      <c r="CU2" s="53" t="s">
        <v>216</v>
      </c>
      <c r="CV2" s="53" t="s">
        <v>217</v>
      </c>
      <c r="CW2" s="53" t="s">
        <v>218</v>
      </c>
      <c r="CX2" s="53" t="s">
        <v>219</v>
      </c>
      <c r="CY2" s="53" t="s">
        <v>220</v>
      </c>
      <c r="CZ2" s="53" t="s">
        <v>221</v>
      </c>
      <c r="DA2" s="53" t="s">
        <v>222</v>
      </c>
      <c r="DB2" s="53" t="s">
        <v>223</v>
      </c>
      <c r="DC2" s="53" t="s">
        <v>224</v>
      </c>
      <c r="DD2" s="53" t="s">
        <v>225</v>
      </c>
      <c r="DE2" s="53" t="s">
        <v>226</v>
      </c>
      <c r="DF2" s="53" t="s">
        <v>227</v>
      </c>
      <c r="DG2" s="53" t="s">
        <v>228</v>
      </c>
      <c r="DH2" s="53" t="s">
        <v>229</v>
      </c>
      <c r="DI2" s="53" t="s">
        <v>230</v>
      </c>
      <c r="DJ2" s="53" t="s">
        <v>231</v>
      </c>
      <c r="DK2" s="53" t="s">
        <v>232</v>
      </c>
      <c r="DL2" s="53" t="s">
        <v>233</v>
      </c>
      <c r="DM2" s="53" t="s">
        <v>234</v>
      </c>
      <c r="DN2" s="53" t="s">
        <v>235</v>
      </c>
      <c r="DO2" s="53" t="s">
        <v>236</v>
      </c>
      <c r="DP2" s="53" t="s">
        <v>237</v>
      </c>
      <c r="DQ2" s="53" t="s">
        <v>238</v>
      </c>
      <c r="DR2" s="53" t="s">
        <v>239</v>
      </c>
      <c r="DS2" s="53" t="s">
        <v>240</v>
      </c>
      <c r="DT2" s="53" t="s">
        <v>241</v>
      </c>
      <c r="DU2" s="53" t="s">
        <v>242</v>
      </c>
      <c r="DV2" s="53" t="s">
        <v>243</v>
      </c>
      <c r="DW2" s="53" t="s">
        <v>244</v>
      </c>
      <c r="DX2" s="53" t="s">
        <v>245</v>
      </c>
      <c r="DY2" s="53" t="s">
        <v>246</v>
      </c>
    </row>
    <row r="3" spans="1:129" x14ac:dyDescent="0.45">
      <c r="A3" s="3">
        <v>46022</v>
      </c>
      <c r="B3" s="2" t="s">
        <v>0</v>
      </c>
      <c r="C3" s="4" t="s">
        <v>1</v>
      </c>
      <c r="D3" s="16"/>
      <c r="E3" s="54"/>
      <c r="F3" s="54"/>
      <c r="G3" s="54"/>
      <c r="H3" s="54"/>
      <c r="I3" s="13">
        <v>1255.1239800000001</v>
      </c>
      <c r="J3" s="57">
        <f t="shared" ref="J3:AO3" si="0">SUM(J4:J5)</f>
        <v>1255.1239800000001</v>
      </c>
      <c r="K3" s="57">
        <f t="shared" si="0"/>
        <v>1255.1239800000001</v>
      </c>
      <c r="L3" s="57">
        <f t="shared" si="0"/>
        <v>1255.1239800000001</v>
      </c>
      <c r="M3" s="57">
        <f t="shared" si="0"/>
        <v>1255.1239800000001</v>
      </c>
      <c r="N3" s="57">
        <f t="shared" si="0"/>
        <v>1255.1239800000001</v>
      </c>
      <c r="O3" s="57">
        <f t="shared" si="0"/>
        <v>1255.1239800000001</v>
      </c>
      <c r="P3" s="57">
        <f t="shared" si="0"/>
        <v>1255.1239800000001</v>
      </c>
      <c r="Q3" s="57">
        <f t="shared" si="0"/>
        <v>1255.1239800000001</v>
      </c>
      <c r="R3" s="57">
        <f t="shared" si="0"/>
        <v>1255.1239800000001</v>
      </c>
      <c r="S3" s="57">
        <f t="shared" si="0"/>
        <v>1255.1239800000001</v>
      </c>
      <c r="T3" s="57">
        <f t="shared" si="0"/>
        <v>1255.1239800000001</v>
      </c>
      <c r="U3" s="57">
        <f t="shared" si="0"/>
        <v>1255.1239800000001</v>
      </c>
      <c r="V3" s="57">
        <f t="shared" si="0"/>
        <v>1255.1239800000001</v>
      </c>
      <c r="W3" s="57">
        <f t="shared" si="0"/>
        <v>1255.1239800000001</v>
      </c>
      <c r="X3" s="57">
        <f t="shared" si="0"/>
        <v>1255.1239800000001</v>
      </c>
      <c r="Y3" s="57">
        <f t="shared" si="0"/>
        <v>1255.1239800000001</v>
      </c>
      <c r="Z3" s="57">
        <f t="shared" si="0"/>
        <v>1255.1239800000001</v>
      </c>
      <c r="AA3" s="57">
        <f t="shared" si="0"/>
        <v>1255.1239800000001</v>
      </c>
      <c r="AB3" s="57">
        <f t="shared" si="0"/>
        <v>1255.1239800000001</v>
      </c>
      <c r="AC3" s="57">
        <f t="shared" si="0"/>
        <v>1255.1239800000001</v>
      </c>
      <c r="AD3" s="57">
        <f t="shared" si="0"/>
        <v>1255.1239800000001</v>
      </c>
      <c r="AE3" s="57">
        <f t="shared" si="0"/>
        <v>1255.1239800000001</v>
      </c>
      <c r="AF3" s="57">
        <f t="shared" si="0"/>
        <v>1255.1239800000001</v>
      </c>
      <c r="AG3" s="57">
        <f t="shared" si="0"/>
        <v>1255.1239800000001</v>
      </c>
      <c r="AH3" s="57">
        <f t="shared" si="0"/>
        <v>1255.1239800000001</v>
      </c>
      <c r="AI3" s="57">
        <f t="shared" si="0"/>
        <v>1255.1239800000001</v>
      </c>
      <c r="AJ3" s="57">
        <f t="shared" si="0"/>
        <v>1255.1239800000001</v>
      </c>
      <c r="AK3" s="57">
        <f t="shared" si="0"/>
        <v>1255.1239800000001</v>
      </c>
      <c r="AL3" s="57">
        <f t="shared" si="0"/>
        <v>1255.1239800000001</v>
      </c>
      <c r="AM3" s="57">
        <f t="shared" si="0"/>
        <v>1255.1239800000001</v>
      </c>
      <c r="AN3" s="57">
        <f t="shared" si="0"/>
        <v>1255.1239800000001</v>
      </c>
      <c r="AO3" s="57">
        <f t="shared" si="0"/>
        <v>1255.1239800000001</v>
      </c>
      <c r="AP3" s="57">
        <f t="shared" ref="AP3:BU3" si="1">SUM(AP4:AP5)</f>
        <v>1255.1239800000001</v>
      </c>
      <c r="AQ3" s="57">
        <f t="shared" si="1"/>
        <v>1255.1239800000001</v>
      </c>
      <c r="AR3" s="57">
        <f t="shared" si="1"/>
        <v>1255.1239800000001</v>
      </c>
      <c r="AS3" s="57">
        <f t="shared" si="1"/>
        <v>1255.1239800000001</v>
      </c>
      <c r="AT3" s="57">
        <f t="shared" si="1"/>
        <v>1255.1239800000001</v>
      </c>
      <c r="AU3" s="57">
        <f t="shared" si="1"/>
        <v>1255.1239800000001</v>
      </c>
      <c r="AV3" s="57">
        <f t="shared" si="1"/>
        <v>1255.1239800000001</v>
      </c>
      <c r="AW3" s="57">
        <f t="shared" si="1"/>
        <v>1255.1239800000001</v>
      </c>
      <c r="AX3" s="57">
        <f t="shared" si="1"/>
        <v>1255.1239800000001</v>
      </c>
      <c r="AY3" s="57">
        <f t="shared" si="1"/>
        <v>1255.1239800000001</v>
      </c>
      <c r="AZ3" s="57">
        <f t="shared" si="1"/>
        <v>1255.1239800000001</v>
      </c>
      <c r="BA3" s="57">
        <f t="shared" si="1"/>
        <v>1255.1239800000001</v>
      </c>
      <c r="BB3" s="57">
        <f t="shared" si="1"/>
        <v>1255.1239800000001</v>
      </c>
      <c r="BC3" s="57">
        <f t="shared" si="1"/>
        <v>1255.1239800000001</v>
      </c>
      <c r="BD3" s="57">
        <f t="shared" si="1"/>
        <v>1255.1239800000001</v>
      </c>
      <c r="BE3" s="57">
        <f t="shared" si="1"/>
        <v>1255.1239800000001</v>
      </c>
      <c r="BF3" s="57">
        <f t="shared" si="1"/>
        <v>1255.1239800000001</v>
      </c>
      <c r="BG3" s="57">
        <f t="shared" si="1"/>
        <v>1255.1239800000001</v>
      </c>
      <c r="BH3" s="57">
        <f t="shared" si="1"/>
        <v>1255.1239800000001</v>
      </c>
      <c r="BI3" s="57">
        <f t="shared" si="1"/>
        <v>1255.1239800000001</v>
      </c>
      <c r="BJ3" s="57">
        <f t="shared" si="1"/>
        <v>1255.1239800000001</v>
      </c>
      <c r="BK3" s="57">
        <f t="shared" si="1"/>
        <v>1255.1239800000001</v>
      </c>
      <c r="BL3" s="57">
        <f t="shared" si="1"/>
        <v>1255.1239800000001</v>
      </c>
      <c r="BM3" s="57">
        <f t="shared" si="1"/>
        <v>1255.1239800000001</v>
      </c>
      <c r="BN3" s="57">
        <f t="shared" si="1"/>
        <v>1255.1239800000001</v>
      </c>
      <c r="BO3" s="57">
        <f t="shared" si="1"/>
        <v>1255.1239800000001</v>
      </c>
      <c r="BP3" s="57">
        <f t="shared" si="1"/>
        <v>1255.1239800000001</v>
      </c>
      <c r="BQ3" s="57">
        <f t="shared" si="1"/>
        <v>1214.53712</v>
      </c>
      <c r="BR3" s="57">
        <f t="shared" si="1"/>
        <v>1214.53712</v>
      </c>
      <c r="BS3" s="57">
        <f t="shared" si="1"/>
        <v>1214.53712</v>
      </c>
      <c r="BT3" s="57">
        <f t="shared" si="1"/>
        <v>1214.53712</v>
      </c>
      <c r="BU3" s="57">
        <f t="shared" si="1"/>
        <v>1214.53712</v>
      </c>
      <c r="BV3" s="57">
        <f t="shared" ref="BV3:DA3" si="2">SUM(BV4:BV5)</f>
        <v>1214.53712</v>
      </c>
      <c r="BW3" s="57">
        <f t="shared" si="2"/>
        <v>1214.53712</v>
      </c>
      <c r="BX3" s="57">
        <f t="shared" si="2"/>
        <v>1214.53712</v>
      </c>
      <c r="BY3" s="57">
        <f t="shared" si="2"/>
        <v>1214.53712</v>
      </c>
      <c r="BZ3" s="57">
        <f t="shared" si="2"/>
        <v>1214.53712</v>
      </c>
      <c r="CA3" s="57">
        <f t="shared" si="2"/>
        <v>1214.53712</v>
      </c>
      <c r="CB3" s="57">
        <f t="shared" si="2"/>
        <v>1214.53712</v>
      </c>
      <c r="CC3" s="57">
        <f t="shared" si="2"/>
        <v>1214.53712</v>
      </c>
      <c r="CD3" s="57">
        <f t="shared" si="2"/>
        <v>1214.53712</v>
      </c>
      <c r="CE3" s="57">
        <f t="shared" si="2"/>
        <v>1214.53712</v>
      </c>
      <c r="CF3" s="57">
        <f t="shared" si="2"/>
        <v>1214.53712</v>
      </c>
      <c r="CG3" s="57">
        <f t="shared" si="2"/>
        <v>1214.53712</v>
      </c>
      <c r="CH3" s="57">
        <f t="shared" si="2"/>
        <v>1214.53712</v>
      </c>
      <c r="CI3" s="57">
        <f t="shared" si="2"/>
        <v>1214.53712</v>
      </c>
      <c r="CJ3" s="57">
        <f t="shared" si="2"/>
        <v>1214.53712</v>
      </c>
      <c r="CK3" s="57">
        <f t="shared" si="2"/>
        <v>1214.53712</v>
      </c>
      <c r="CL3" s="57">
        <f t="shared" si="2"/>
        <v>1214.53712</v>
      </c>
      <c r="CM3" s="57">
        <f t="shared" si="2"/>
        <v>1214.53712</v>
      </c>
      <c r="CN3" s="57">
        <f t="shared" si="2"/>
        <v>1214.53712</v>
      </c>
      <c r="CO3" s="57">
        <f t="shared" si="2"/>
        <v>1214.53712</v>
      </c>
      <c r="CP3" s="57">
        <f t="shared" si="2"/>
        <v>1214.53712</v>
      </c>
      <c r="CQ3" s="57">
        <f t="shared" si="2"/>
        <v>1214.53712</v>
      </c>
      <c r="CR3" s="57">
        <f t="shared" si="2"/>
        <v>1214.53712</v>
      </c>
      <c r="CS3" s="57">
        <f t="shared" si="2"/>
        <v>1214.53712</v>
      </c>
      <c r="CT3" s="57">
        <f t="shared" si="2"/>
        <v>1214.53712</v>
      </c>
      <c r="CU3" s="57">
        <f t="shared" si="2"/>
        <v>1214.53712</v>
      </c>
      <c r="CV3" s="57">
        <f t="shared" si="2"/>
        <v>1214.53712</v>
      </c>
      <c r="CW3" s="57">
        <f t="shared" si="2"/>
        <v>1214.53712</v>
      </c>
      <c r="CX3" s="57">
        <f t="shared" si="2"/>
        <v>1214.53712</v>
      </c>
      <c r="CY3" s="57">
        <f t="shared" si="2"/>
        <v>1214.53712</v>
      </c>
      <c r="CZ3" s="57">
        <f t="shared" si="2"/>
        <v>1214.53712</v>
      </c>
      <c r="DA3" s="57">
        <f t="shared" si="2"/>
        <v>1214.53712</v>
      </c>
      <c r="DB3" s="57">
        <f t="shared" ref="DB3:EG3" si="3">SUM(DB4:DB5)</f>
        <v>1214.53712</v>
      </c>
      <c r="DC3" s="57">
        <f t="shared" si="3"/>
        <v>1214.53712</v>
      </c>
      <c r="DD3" s="57">
        <f t="shared" si="3"/>
        <v>1214.53712</v>
      </c>
      <c r="DE3" s="57">
        <f t="shared" si="3"/>
        <v>1214.53712</v>
      </c>
      <c r="DF3" s="57">
        <f t="shared" si="3"/>
        <v>1214.53712</v>
      </c>
      <c r="DG3" s="57">
        <f t="shared" si="3"/>
        <v>1214.53712</v>
      </c>
      <c r="DH3" s="57">
        <f t="shared" si="3"/>
        <v>1214.53712</v>
      </c>
      <c r="DI3" s="57">
        <f t="shared" si="3"/>
        <v>1214.53712</v>
      </c>
      <c r="DJ3" s="57">
        <f t="shared" si="3"/>
        <v>1214.53712</v>
      </c>
      <c r="DK3" s="57">
        <f t="shared" si="3"/>
        <v>1214.53712</v>
      </c>
      <c r="DL3" s="57">
        <f t="shared" si="3"/>
        <v>1214.53712</v>
      </c>
      <c r="DM3" s="57">
        <f t="shared" si="3"/>
        <v>1214.53712</v>
      </c>
      <c r="DN3" s="57">
        <f t="shared" si="3"/>
        <v>1214.53712</v>
      </c>
      <c r="DO3" s="57">
        <f t="shared" si="3"/>
        <v>1214.53712</v>
      </c>
      <c r="DP3" s="57">
        <f t="shared" si="3"/>
        <v>1214.53712</v>
      </c>
      <c r="DQ3" s="57">
        <f t="shared" si="3"/>
        <v>1214.53712</v>
      </c>
      <c r="DR3" s="57">
        <f t="shared" si="3"/>
        <v>1214.53712</v>
      </c>
      <c r="DS3" s="57">
        <f t="shared" si="3"/>
        <v>1214.53712</v>
      </c>
      <c r="DT3" s="57">
        <f t="shared" si="3"/>
        <v>1214.53712</v>
      </c>
      <c r="DU3" s="57">
        <f t="shared" si="3"/>
        <v>1214.53712</v>
      </c>
      <c r="DV3" s="57">
        <f t="shared" si="3"/>
        <v>1214.53712</v>
      </c>
      <c r="DW3" s="57">
        <f t="shared" si="3"/>
        <v>1214.53712</v>
      </c>
      <c r="DX3" s="57">
        <f t="shared" si="3"/>
        <v>1214.53712</v>
      </c>
      <c r="DY3" s="57">
        <f t="shared" si="3"/>
        <v>0</v>
      </c>
    </row>
    <row r="4" spans="1:129" x14ac:dyDescent="0.45">
      <c r="A4" s="3">
        <v>46022</v>
      </c>
      <c r="B4" s="2" t="s">
        <v>0</v>
      </c>
      <c r="C4" s="6" t="s">
        <v>2</v>
      </c>
      <c r="D4" s="17">
        <v>0</v>
      </c>
      <c r="E4" s="2" t="s">
        <v>43</v>
      </c>
      <c r="F4" s="2">
        <v>60</v>
      </c>
      <c r="G4" s="2" t="s">
        <v>45</v>
      </c>
      <c r="H4" s="2">
        <v>60</v>
      </c>
      <c r="I4" s="14">
        <v>40.586860000000115</v>
      </c>
      <c r="J4" s="55">
        <f>IF(J$1&lt;$F4,$I4,0)</f>
        <v>40.586860000000115</v>
      </c>
      <c r="K4" s="55">
        <f t="shared" ref="K4:BV5" si="4">IF(K$1&lt;$F4,$I4,0)</f>
        <v>40.586860000000115</v>
      </c>
      <c r="L4" s="55">
        <f t="shared" si="4"/>
        <v>40.586860000000115</v>
      </c>
      <c r="M4" s="55">
        <f t="shared" si="4"/>
        <v>40.586860000000115</v>
      </c>
      <c r="N4" s="55">
        <f t="shared" si="4"/>
        <v>40.586860000000115</v>
      </c>
      <c r="O4" s="55">
        <f t="shared" si="4"/>
        <v>40.586860000000115</v>
      </c>
      <c r="P4" s="55">
        <f t="shared" si="4"/>
        <v>40.586860000000115</v>
      </c>
      <c r="Q4" s="55">
        <f t="shared" si="4"/>
        <v>40.586860000000115</v>
      </c>
      <c r="R4" s="55">
        <f t="shared" si="4"/>
        <v>40.586860000000115</v>
      </c>
      <c r="S4" s="55">
        <f t="shared" si="4"/>
        <v>40.586860000000115</v>
      </c>
      <c r="T4" s="55">
        <f t="shared" si="4"/>
        <v>40.586860000000115</v>
      </c>
      <c r="U4" s="55">
        <f t="shared" si="4"/>
        <v>40.586860000000115</v>
      </c>
      <c r="V4" s="55">
        <f t="shared" si="4"/>
        <v>40.586860000000115</v>
      </c>
      <c r="W4" s="55">
        <f t="shared" si="4"/>
        <v>40.586860000000115</v>
      </c>
      <c r="X4" s="55">
        <f t="shared" si="4"/>
        <v>40.586860000000115</v>
      </c>
      <c r="Y4" s="55">
        <f t="shared" si="4"/>
        <v>40.586860000000115</v>
      </c>
      <c r="Z4" s="55">
        <f t="shared" si="4"/>
        <v>40.586860000000115</v>
      </c>
      <c r="AA4" s="55">
        <f t="shared" si="4"/>
        <v>40.586860000000115</v>
      </c>
      <c r="AB4" s="55">
        <f t="shared" si="4"/>
        <v>40.586860000000115</v>
      </c>
      <c r="AC4" s="55">
        <f t="shared" si="4"/>
        <v>40.586860000000115</v>
      </c>
      <c r="AD4" s="55">
        <f t="shared" si="4"/>
        <v>40.586860000000115</v>
      </c>
      <c r="AE4" s="55">
        <f t="shared" si="4"/>
        <v>40.586860000000115</v>
      </c>
      <c r="AF4" s="55">
        <f t="shared" si="4"/>
        <v>40.586860000000115</v>
      </c>
      <c r="AG4" s="55">
        <f t="shared" si="4"/>
        <v>40.586860000000115</v>
      </c>
      <c r="AH4" s="55">
        <f t="shared" si="4"/>
        <v>40.586860000000115</v>
      </c>
      <c r="AI4" s="55">
        <f t="shared" si="4"/>
        <v>40.586860000000115</v>
      </c>
      <c r="AJ4" s="55">
        <f t="shared" si="4"/>
        <v>40.586860000000115</v>
      </c>
      <c r="AK4" s="55">
        <f t="shared" si="4"/>
        <v>40.586860000000115</v>
      </c>
      <c r="AL4" s="55">
        <f t="shared" si="4"/>
        <v>40.586860000000115</v>
      </c>
      <c r="AM4" s="55">
        <f t="shared" si="4"/>
        <v>40.586860000000115</v>
      </c>
      <c r="AN4" s="55">
        <f t="shared" si="4"/>
        <v>40.586860000000115</v>
      </c>
      <c r="AO4" s="55">
        <f t="shared" si="4"/>
        <v>40.586860000000115</v>
      </c>
      <c r="AP4" s="55">
        <f t="shared" si="4"/>
        <v>40.586860000000115</v>
      </c>
      <c r="AQ4" s="55">
        <f t="shared" si="4"/>
        <v>40.586860000000115</v>
      </c>
      <c r="AR4" s="55">
        <f t="shared" si="4"/>
        <v>40.586860000000115</v>
      </c>
      <c r="AS4" s="55">
        <f t="shared" si="4"/>
        <v>40.586860000000115</v>
      </c>
      <c r="AT4" s="55">
        <f t="shared" si="4"/>
        <v>40.586860000000115</v>
      </c>
      <c r="AU4" s="55">
        <f t="shared" si="4"/>
        <v>40.586860000000115</v>
      </c>
      <c r="AV4" s="55">
        <f t="shared" si="4"/>
        <v>40.586860000000115</v>
      </c>
      <c r="AW4" s="55">
        <f t="shared" si="4"/>
        <v>40.586860000000115</v>
      </c>
      <c r="AX4" s="55">
        <f t="shared" si="4"/>
        <v>40.586860000000115</v>
      </c>
      <c r="AY4" s="55">
        <f t="shared" si="4"/>
        <v>40.586860000000115</v>
      </c>
      <c r="AZ4" s="55">
        <f t="shared" si="4"/>
        <v>40.586860000000115</v>
      </c>
      <c r="BA4" s="55">
        <f t="shared" si="4"/>
        <v>40.586860000000115</v>
      </c>
      <c r="BB4" s="55">
        <f t="shared" si="4"/>
        <v>40.586860000000115</v>
      </c>
      <c r="BC4" s="55">
        <f t="shared" si="4"/>
        <v>40.586860000000115</v>
      </c>
      <c r="BD4" s="55">
        <f t="shared" si="4"/>
        <v>40.586860000000115</v>
      </c>
      <c r="BE4" s="55">
        <f t="shared" si="4"/>
        <v>40.586860000000115</v>
      </c>
      <c r="BF4" s="55">
        <f t="shared" si="4"/>
        <v>40.586860000000115</v>
      </c>
      <c r="BG4" s="55">
        <f t="shared" si="4"/>
        <v>40.586860000000115</v>
      </c>
      <c r="BH4" s="55">
        <f t="shared" si="4"/>
        <v>40.586860000000115</v>
      </c>
      <c r="BI4" s="55">
        <f t="shared" si="4"/>
        <v>40.586860000000115</v>
      </c>
      <c r="BJ4" s="55">
        <f t="shared" si="4"/>
        <v>40.586860000000115</v>
      </c>
      <c r="BK4" s="55">
        <f t="shared" si="4"/>
        <v>40.586860000000115</v>
      </c>
      <c r="BL4" s="55">
        <f t="shared" si="4"/>
        <v>40.586860000000115</v>
      </c>
      <c r="BM4" s="55">
        <f t="shared" si="4"/>
        <v>40.586860000000115</v>
      </c>
      <c r="BN4" s="55">
        <f t="shared" si="4"/>
        <v>40.586860000000115</v>
      </c>
      <c r="BO4" s="55">
        <f t="shared" si="4"/>
        <v>40.586860000000115</v>
      </c>
      <c r="BP4" s="55">
        <f t="shared" si="4"/>
        <v>40.586860000000115</v>
      </c>
      <c r="BQ4" s="55">
        <f t="shared" si="4"/>
        <v>0</v>
      </c>
      <c r="BR4" s="55">
        <f t="shared" si="4"/>
        <v>0</v>
      </c>
      <c r="BS4" s="55">
        <f t="shared" si="4"/>
        <v>0</v>
      </c>
      <c r="BT4" s="55">
        <f t="shared" si="4"/>
        <v>0</v>
      </c>
      <c r="BU4" s="55">
        <f t="shared" si="4"/>
        <v>0</v>
      </c>
      <c r="BV4" s="55">
        <f t="shared" si="4"/>
        <v>0</v>
      </c>
      <c r="BW4" s="55">
        <f t="shared" ref="BW4:DY5" si="5">IF(BW$1&lt;$F4,$I4,0)</f>
        <v>0</v>
      </c>
      <c r="BX4" s="55">
        <f t="shared" si="5"/>
        <v>0</v>
      </c>
      <c r="BY4" s="55">
        <f t="shared" si="5"/>
        <v>0</v>
      </c>
      <c r="BZ4" s="55">
        <f t="shared" si="5"/>
        <v>0</v>
      </c>
      <c r="CA4" s="55">
        <f t="shared" si="5"/>
        <v>0</v>
      </c>
      <c r="CB4" s="55">
        <f t="shared" si="5"/>
        <v>0</v>
      </c>
      <c r="CC4" s="55">
        <f t="shared" si="5"/>
        <v>0</v>
      </c>
      <c r="CD4" s="55">
        <f t="shared" si="5"/>
        <v>0</v>
      </c>
      <c r="CE4" s="55">
        <f t="shared" si="5"/>
        <v>0</v>
      </c>
      <c r="CF4" s="55">
        <f t="shared" si="5"/>
        <v>0</v>
      </c>
      <c r="CG4" s="55">
        <f t="shared" si="5"/>
        <v>0</v>
      </c>
      <c r="CH4" s="55">
        <f t="shared" si="5"/>
        <v>0</v>
      </c>
      <c r="CI4" s="55">
        <f t="shared" si="5"/>
        <v>0</v>
      </c>
      <c r="CJ4" s="55">
        <f t="shared" si="5"/>
        <v>0</v>
      </c>
      <c r="CK4" s="55">
        <f t="shared" si="5"/>
        <v>0</v>
      </c>
      <c r="CL4" s="55">
        <f t="shared" si="5"/>
        <v>0</v>
      </c>
      <c r="CM4" s="55">
        <f t="shared" si="5"/>
        <v>0</v>
      </c>
      <c r="CN4" s="55">
        <f t="shared" si="5"/>
        <v>0</v>
      </c>
      <c r="CO4" s="55">
        <f t="shared" si="5"/>
        <v>0</v>
      </c>
      <c r="CP4" s="55">
        <f t="shared" si="5"/>
        <v>0</v>
      </c>
      <c r="CQ4" s="55">
        <f t="shared" si="5"/>
        <v>0</v>
      </c>
      <c r="CR4" s="55">
        <f t="shared" si="5"/>
        <v>0</v>
      </c>
      <c r="CS4" s="55">
        <f t="shared" si="5"/>
        <v>0</v>
      </c>
      <c r="CT4" s="55">
        <f t="shared" si="5"/>
        <v>0</v>
      </c>
      <c r="CU4" s="55">
        <f t="shared" si="5"/>
        <v>0</v>
      </c>
      <c r="CV4" s="55">
        <f t="shared" si="5"/>
        <v>0</v>
      </c>
      <c r="CW4" s="55">
        <f t="shared" si="5"/>
        <v>0</v>
      </c>
      <c r="CX4" s="55">
        <f t="shared" si="5"/>
        <v>0</v>
      </c>
      <c r="CY4" s="55">
        <f t="shared" si="5"/>
        <v>0</v>
      </c>
      <c r="CZ4" s="55">
        <f t="shared" si="5"/>
        <v>0</v>
      </c>
      <c r="DA4" s="55">
        <f t="shared" si="5"/>
        <v>0</v>
      </c>
      <c r="DB4" s="55">
        <f t="shared" si="5"/>
        <v>0</v>
      </c>
      <c r="DC4" s="55">
        <f t="shared" si="5"/>
        <v>0</v>
      </c>
      <c r="DD4" s="55">
        <f t="shared" si="5"/>
        <v>0</v>
      </c>
      <c r="DE4" s="55">
        <f t="shared" si="5"/>
        <v>0</v>
      </c>
      <c r="DF4" s="55">
        <f t="shared" si="5"/>
        <v>0</v>
      </c>
      <c r="DG4" s="55">
        <f t="shared" si="5"/>
        <v>0</v>
      </c>
      <c r="DH4" s="55">
        <f t="shared" si="5"/>
        <v>0</v>
      </c>
      <c r="DI4" s="55">
        <f t="shared" si="5"/>
        <v>0</v>
      </c>
      <c r="DJ4" s="55">
        <f t="shared" si="5"/>
        <v>0</v>
      </c>
      <c r="DK4" s="55">
        <f t="shared" si="5"/>
        <v>0</v>
      </c>
      <c r="DL4" s="55">
        <f t="shared" si="5"/>
        <v>0</v>
      </c>
      <c r="DM4" s="55">
        <f t="shared" si="5"/>
        <v>0</v>
      </c>
      <c r="DN4" s="55">
        <f t="shared" si="5"/>
        <v>0</v>
      </c>
      <c r="DO4" s="55">
        <f t="shared" si="5"/>
        <v>0</v>
      </c>
      <c r="DP4" s="55">
        <f t="shared" si="5"/>
        <v>0</v>
      </c>
      <c r="DQ4" s="55">
        <f t="shared" si="5"/>
        <v>0</v>
      </c>
      <c r="DR4" s="55">
        <f t="shared" si="5"/>
        <v>0</v>
      </c>
      <c r="DS4" s="55">
        <f t="shared" si="5"/>
        <v>0</v>
      </c>
      <c r="DT4" s="55">
        <f t="shared" si="5"/>
        <v>0</v>
      </c>
      <c r="DU4" s="55">
        <f t="shared" si="5"/>
        <v>0</v>
      </c>
      <c r="DV4" s="55">
        <f t="shared" si="5"/>
        <v>0</v>
      </c>
      <c r="DW4" s="55">
        <f t="shared" si="5"/>
        <v>0</v>
      </c>
      <c r="DX4" s="55">
        <f t="shared" si="5"/>
        <v>0</v>
      </c>
      <c r="DY4" s="55">
        <f t="shared" si="5"/>
        <v>0</v>
      </c>
    </row>
    <row r="5" spans="1:129" x14ac:dyDescent="0.45">
      <c r="A5" s="3">
        <v>46022</v>
      </c>
      <c r="B5" s="2" t="s">
        <v>0</v>
      </c>
      <c r="C5" s="6" t="s">
        <v>3</v>
      </c>
      <c r="D5" s="17">
        <v>4.05726874893458E-4</v>
      </c>
      <c r="E5" s="2" t="s">
        <v>43</v>
      </c>
      <c r="F5" s="2">
        <v>120</v>
      </c>
      <c r="G5" s="2" t="s">
        <v>47</v>
      </c>
      <c r="H5" s="2">
        <v>120</v>
      </c>
      <c r="I5" s="14">
        <v>1214.53712</v>
      </c>
      <c r="J5" s="55">
        <f>IF(J$1&lt;$F5,$I5,0)</f>
        <v>1214.53712</v>
      </c>
      <c r="K5" s="55">
        <f t="shared" si="4"/>
        <v>1214.53712</v>
      </c>
      <c r="L5" s="55">
        <f t="shared" si="4"/>
        <v>1214.53712</v>
      </c>
      <c r="M5" s="55">
        <f t="shared" si="4"/>
        <v>1214.53712</v>
      </c>
      <c r="N5" s="55">
        <f t="shared" si="4"/>
        <v>1214.53712</v>
      </c>
      <c r="O5" s="55">
        <f t="shared" si="4"/>
        <v>1214.53712</v>
      </c>
      <c r="P5" s="55">
        <f t="shared" si="4"/>
        <v>1214.53712</v>
      </c>
      <c r="Q5" s="55">
        <f t="shared" si="4"/>
        <v>1214.53712</v>
      </c>
      <c r="R5" s="55">
        <f t="shared" si="4"/>
        <v>1214.53712</v>
      </c>
      <c r="S5" s="55">
        <f t="shared" si="4"/>
        <v>1214.53712</v>
      </c>
      <c r="T5" s="55">
        <f t="shared" si="4"/>
        <v>1214.53712</v>
      </c>
      <c r="U5" s="55">
        <f t="shared" si="4"/>
        <v>1214.53712</v>
      </c>
      <c r="V5" s="55">
        <f t="shared" si="4"/>
        <v>1214.53712</v>
      </c>
      <c r="W5" s="55">
        <f t="shared" si="4"/>
        <v>1214.53712</v>
      </c>
      <c r="X5" s="55">
        <f t="shared" si="4"/>
        <v>1214.53712</v>
      </c>
      <c r="Y5" s="55">
        <f t="shared" si="4"/>
        <v>1214.53712</v>
      </c>
      <c r="Z5" s="55">
        <f t="shared" si="4"/>
        <v>1214.53712</v>
      </c>
      <c r="AA5" s="55">
        <f t="shared" si="4"/>
        <v>1214.53712</v>
      </c>
      <c r="AB5" s="55">
        <f t="shared" si="4"/>
        <v>1214.53712</v>
      </c>
      <c r="AC5" s="55">
        <f t="shared" si="4"/>
        <v>1214.53712</v>
      </c>
      <c r="AD5" s="55">
        <f t="shared" si="4"/>
        <v>1214.53712</v>
      </c>
      <c r="AE5" s="55">
        <f t="shared" si="4"/>
        <v>1214.53712</v>
      </c>
      <c r="AF5" s="55">
        <f t="shared" si="4"/>
        <v>1214.53712</v>
      </c>
      <c r="AG5" s="55">
        <f t="shared" si="4"/>
        <v>1214.53712</v>
      </c>
      <c r="AH5" s="55">
        <f t="shared" si="4"/>
        <v>1214.53712</v>
      </c>
      <c r="AI5" s="55">
        <f t="shared" si="4"/>
        <v>1214.53712</v>
      </c>
      <c r="AJ5" s="55">
        <f t="shared" si="4"/>
        <v>1214.53712</v>
      </c>
      <c r="AK5" s="55">
        <f t="shared" si="4"/>
        <v>1214.53712</v>
      </c>
      <c r="AL5" s="55">
        <f t="shared" si="4"/>
        <v>1214.53712</v>
      </c>
      <c r="AM5" s="55">
        <f t="shared" si="4"/>
        <v>1214.53712</v>
      </c>
      <c r="AN5" s="55">
        <f t="shared" si="4"/>
        <v>1214.53712</v>
      </c>
      <c r="AO5" s="55">
        <f t="shared" si="4"/>
        <v>1214.53712</v>
      </c>
      <c r="AP5" s="55">
        <f t="shared" si="4"/>
        <v>1214.53712</v>
      </c>
      <c r="AQ5" s="55">
        <f t="shared" si="4"/>
        <v>1214.53712</v>
      </c>
      <c r="AR5" s="55">
        <f t="shared" si="4"/>
        <v>1214.53712</v>
      </c>
      <c r="AS5" s="55">
        <f t="shared" si="4"/>
        <v>1214.53712</v>
      </c>
      <c r="AT5" s="55">
        <f t="shared" si="4"/>
        <v>1214.53712</v>
      </c>
      <c r="AU5" s="55">
        <f t="shared" si="4"/>
        <v>1214.53712</v>
      </c>
      <c r="AV5" s="55">
        <f t="shared" si="4"/>
        <v>1214.53712</v>
      </c>
      <c r="AW5" s="55">
        <f t="shared" si="4"/>
        <v>1214.53712</v>
      </c>
      <c r="AX5" s="55">
        <f t="shared" si="4"/>
        <v>1214.53712</v>
      </c>
      <c r="AY5" s="55">
        <f t="shared" si="4"/>
        <v>1214.53712</v>
      </c>
      <c r="AZ5" s="55">
        <f t="shared" si="4"/>
        <v>1214.53712</v>
      </c>
      <c r="BA5" s="55">
        <f t="shared" si="4"/>
        <v>1214.53712</v>
      </c>
      <c r="BB5" s="55">
        <f t="shared" si="4"/>
        <v>1214.53712</v>
      </c>
      <c r="BC5" s="55">
        <f t="shared" si="4"/>
        <v>1214.53712</v>
      </c>
      <c r="BD5" s="55">
        <f t="shared" si="4"/>
        <v>1214.53712</v>
      </c>
      <c r="BE5" s="55">
        <f t="shared" si="4"/>
        <v>1214.53712</v>
      </c>
      <c r="BF5" s="55">
        <f t="shared" si="4"/>
        <v>1214.53712</v>
      </c>
      <c r="BG5" s="55">
        <f t="shared" si="4"/>
        <v>1214.53712</v>
      </c>
      <c r="BH5" s="55">
        <f t="shared" si="4"/>
        <v>1214.53712</v>
      </c>
      <c r="BI5" s="55">
        <f t="shared" si="4"/>
        <v>1214.53712</v>
      </c>
      <c r="BJ5" s="55">
        <f t="shared" si="4"/>
        <v>1214.53712</v>
      </c>
      <c r="BK5" s="55">
        <f t="shared" si="4"/>
        <v>1214.53712</v>
      </c>
      <c r="BL5" s="55">
        <f t="shared" si="4"/>
        <v>1214.53712</v>
      </c>
      <c r="BM5" s="55">
        <f t="shared" si="4"/>
        <v>1214.53712</v>
      </c>
      <c r="BN5" s="55">
        <f t="shared" si="4"/>
        <v>1214.53712</v>
      </c>
      <c r="BO5" s="55">
        <f t="shared" si="4"/>
        <v>1214.53712</v>
      </c>
      <c r="BP5" s="55">
        <f t="shared" si="4"/>
        <v>1214.53712</v>
      </c>
      <c r="BQ5" s="55">
        <f t="shared" si="4"/>
        <v>1214.53712</v>
      </c>
      <c r="BR5" s="55">
        <f t="shared" si="4"/>
        <v>1214.53712</v>
      </c>
      <c r="BS5" s="55">
        <f t="shared" si="4"/>
        <v>1214.53712</v>
      </c>
      <c r="BT5" s="55">
        <f t="shared" si="4"/>
        <v>1214.53712</v>
      </c>
      <c r="BU5" s="55">
        <f t="shared" si="4"/>
        <v>1214.53712</v>
      </c>
      <c r="BV5" s="55">
        <f t="shared" si="4"/>
        <v>1214.53712</v>
      </c>
      <c r="BW5" s="55">
        <f t="shared" si="5"/>
        <v>1214.53712</v>
      </c>
      <c r="BX5" s="55">
        <f t="shared" si="5"/>
        <v>1214.53712</v>
      </c>
      <c r="BY5" s="55">
        <f t="shared" si="5"/>
        <v>1214.53712</v>
      </c>
      <c r="BZ5" s="55">
        <f t="shared" si="5"/>
        <v>1214.53712</v>
      </c>
      <c r="CA5" s="55">
        <f t="shared" si="5"/>
        <v>1214.53712</v>
      </c>
      <c r="CB5" s="55">
        <f t="shared" si="5"/>
        <v>1214.53712</v>
      </c>
      <c r="CC5" s="55">
        <f t="shared" si="5"/>
        <v>1214.53712</v>
      </c>
      <c r="CD5" s="55">
        <f t="shared" si="5"/>
        <v>1214.53712</v>
      </c>
      <c r="CE5" s="55">
        <f t="shared" si="5"/>
        <v>1214.53712</v>
      </c>
      <c r="CF5" s="55">
        <f t="shared" si="5"/>
        <v>1214.53712</v>
      </c>
      <c r="CG5" s="55">
        <f t="shared" si="5"/>
        <v>1214.53712</v>
      </c>
      <c r="CH5" s="55">
        <f t="shared" si="5"/>
        <v>1214.53712</v>
      </c>
      <c r="CI5" s="55">
        <f t="shared" si="5"/>
        <v>1214.53712</v>
      </c>
      <c r="CJ5" s="55">
        <f t="shared" si="5"/>
        <v>1214.53712</v>
      </c>
      <c r="CK5" s="55">
        <f t="shared" si="5"/>
        <v>1214.53712</v>
      </c>
      <c r="CL5" s="55">
        <f t="shared" si="5"/>
        <v>1214.53712</v>
      </c>
      <c r="CM5" s="55">
        <f t="shared" si="5"/>
        <v>1214.53712</v>
      </c>
      <c r="CN5" s="55">
        <f t="shared" si="5"/>
        <v>1214.53712</v>
      </c>
      <c r="CO5" s="55">
        <f t="shared" si="5"/>
        <v>1214.53712</v>
      </c>
      <c r="CP5" s="55">
        <f t="shared" si="5"/>
        <v>1214.53712</v>
      </c>
      <c r="CQ5" s="55">
        <f t="shared" si="5"/>
        <v>1214.53712</v>
      </c>
      <c r="CR5" s="55">
        <f t="shared" si="5"/>
        <v>1214.53712</v>
      </c>
      <c r="CS5" s="55">
        <f t="shared" si="5"/>
        <v>1214.53712</v>
      </c>
      <c r="CT5" s="55">
        <f t="shared" si="5"/>
        <v>1214.53712</v>
      </c>
      <c r="CU5" s="55">
        <f t="shared" si="5"/>
        <v>1214.53712</v>
      </c>
      <c r="CV5" s="55">
        <f t="shared" si="5"/>
        <v>1214.53712</v>
      </c>
      <c r="CW5" s="55">
        <f t="shared" si="5"/>
        <v>1214.53712</v>
      </c>
      <c r="CX5" s="55">
        <f t="shared" si="5"/>
        <v>1214.53712</v>
      </c>
      <c r="CY5" s="55">
        <f t="shared" si="5"/>
        <v>1214.53712</v>
      </c>
      <c r="CZ5" s="55">
        <f t="shared" si="5"/>
        <v>1214.53712</v>
      </c>
      <c r="DA5" s="55">
        <f t="shared" si="5"/>
        <v>1214.53712</v>
      </c>
      <c r="DB5" s="55">
        <f t="shared" si="5"/>
        <v>1214.53712</v>
      </c>
      <c r="DC5" s="55">
        <f t="shared" si="5"/>
        <v>1214.53712</v>
      </c>
      <c r="DD5" s="55">
        <f t="shared" si="5"/>
        <v>1214.53712</v>
      </c>
      <c r="DE5" s="55">
        <f t="shared" si="5"/>
        <v>1214.53712</v>
      </c>
      <c r="DF5" s="55">
        <f t="shared" si="5"/>
        <v>1214.53712</v>
      </c>
      <c r="DG5" s="55">
        <f t="shared" si="5"/>
        <v>1214.53712</v>
      </c>
      <c r="DH5" s="55">
        <f t="shared" si="5"/>
        <v>1214.53712</v>
      </c>
      <c r="DI5" s="55">
        <f t="shared" si="5"/>
        <v>1214.53712</v>
      </c>
      <c r="DJ5" s="55">
        <f t="shared" si="5"/>
        <v>1214.53712</v>
      </c>
      <c r="DK5" s="55">
        <f t="shared" si="5"/>
        <v>1214.53712</v>
      </c>
      <c r="DL5" s="55">
        <f t="shared" si="5"/>
        <v>1214.53712</v>
      </c>
      <c r="DM5" s="55">
        <f t="shared" si="5"/>
        <v>1214.53712</v>
      </c>
      <c r="DN5" s="55">
        <f t="shared" si="5"/>
        <v>1214.53712</v>
      </c>
      <c r="DO5" s="55">
        <f t="shared" si="5"/>
        <v>1214.53712</v>
      </c>
      <c r="DP5" s="55">
        <f t="shared" si="5"/>
        <v>1214.53712</v>
      </c>
      <c r="DQ5" s="55">
        <f t="shared" si="5"/>
        <v>1214.53712</v>
      </c>
      <c r="DR5" s="55">
        <f t="shared" si="5"/>
        <v>1214.53712</v>
      </c>
      <c r="DS5" s="55">
        <f t="shared" si="5"/>
        <v>1214.53712</v>
      </c>
      <c r="DT5" s="55">
        <f t="shared" si="5"/>
        <v>1214.53712</v>
      </c>
      <c r="DU5" s="55">
        <f t="shared" si="5"/>
        <v>1214.53712</v>
      </c>
      <c r="DV5" s="55">
        <f t="shared" si="5"/>
        <v>1214.53712</v>
      </c>
      <c r="DW5" s="55">
        <f t="shared" si="5"/>
        <v>1214.53712</v>
      </c>
      <c r="DX5" s="55">
        <f t="shared" si="5"/>
        <v>1214.53712</v>
      </c>
      <c r="DY5" s="55">
        <f t="shared" si="5"/>
        <v>0</v>
      </c>
    </row>
    <row r="6" spans="1:129" x14ac:dyDescent="0.45">
      <c r="A6" s="3">
        <v>46022</v>
      </c>
      <c r="B6" s="2" t="s">
        <v>0</v>
      </c>
      <c r="C6" s="4" t="s">
        <v>4</v>
      </c>
      <c r="D6" s="16"/>
      <c r="E6" s="54"/>
      <c r="F6" s="54"/>
      <c r="G6" s="54"/>
      <c r="H6" s="54"/>
      <c r="I6" s="13">
        <v>28006.945</v>
      </c>
      <c r="J6" s="58">
        <f>SUM(J7:J8)</f>
        <v>24825.899333333335</v>
      </c>
      <c r="K6" s="58">
        <f t="shared" ref="K6:BV6" si="6">SUM(K7:K8)</f>
        <v>21644.85366666667</v>
      </c>
      <c r="L6" s="58">
        <f t="shared" si="6"/>
        <v>18463.808000000001</v>
      </c>
      <c r="M6" s="58">
        <f t="shared" si="6"/>
        <v>15282.762333333334</v>
      </c>
      <c r="N6" s="58">
        <f t="shared" si="6"/>
        <v>12101.716666666667</v>
      </c>
      <c r="O6" s="58">
        <f t="shared" si="6"/>
        <v>8920.6710000000003</v>
      </c>
      <c r="P6" s="58">
        <f t="shared" si="6"/>
        <v>8920.6710000000003</v>
      </c>
      <c r="Q6" s="58">
        <f t="shared" si="6"/>
        <v>8920.6710000000003</v>
      </c>
      <c r="R6" s="58">
        <f t="shared" si="6"/>
        <v>8920.6710000000003</v>
      </c>
      <c r="S6" s="58">
        <f t="shared" si="6"/>
        <v>8920.6710000000003</v>
      </c>
      <c r="T6" s="58">
        <f t="shared" si="6"/>
        <v>8920.6710000000003</v>
      </c>
      <c r="U6" s="58">
        <f t="shared" si="6"/>
        <v>0</v>
      </c>
      <c r="V6" s="58">
        <f t="shared" si="6"/>
        <v>0</v>
      </c>
      <c r="W6" s="58">
        <f t="shared" si="6"/>
        <v>0</v>
      </c>
      <c r="X6" s="58">
        <f t="shared" si="6"/>
        <v>0</v>
      </c>
      <c r="Y6" s="58">
        <f t="shared" si="6"/>
        <v>0</v>
      </c>
      <c r="Z6" s="58">
        <f t="shared" si="6"/>
        <v>0</v>
      </c>
      <c r="AA6" s="58">
        <f t="shared" si="6"/>
        <v>0</v>
      </c>
      <c r="AB6" s="58">
        <f t="shared" si="6"/>
        <v>0</v>
      </c>
      <c r="AC6" s="58">
        <f t="shared" si="6"/>
        <v>0</v>
      </c>
      <c r="AD6" s="58">
        <f t="shared" si="6"/>
        <v>0</v>
      </c>
      <c r="AE6" s="58">
        <f t="shared" si="6"/>
        <v>0</v>
      </c>
      <c r="AF6" s="58">
        <f t="shared" si="6"/>
        <v>0</v>
      </c>
      <c r="AG6" s="58">
        <f t="shared" si="6"/>
        <v>0</v>
      </c>
      <c r="AH6" s="58">
        <f t="shared" si="6"/>
        <v>0</v>
      </c>
      <c r="AI6" s="58">
        <f t="shared" si="6"/>
        <v>0</v>
      </c>
      <c r="AJ6" s="58">
        <f t="shared" si="6"/>
        <v>0</v>
      </c>
      <c r="AK6" s="58">
        <f t="shared" si="6"/>
        <v>0</v>
      </c>
      <c r="AL6" s="58">
        <f t="shared" si="6"/>
        <v>0</v>
      </c>
      <c r="AM6" s="58">
        <f t="shared" si="6"/>
        <v>0</v>
      </c>
      <c r="AN6" s="58">
        <f t="shared" si="6"/>
        <v>0</v>
      </c>
      <c r="AO6" s="58">
        <f t="shared" si="6"/>
        <v>0</v>
      </c>
      <c r="AP6" s="58">
        <f t="shared" si="6"/>
        <v>0</v>
      </c>
      <c r="AQ6" s="58">
        <f t="shared" si="6"/>
        <v>0</v>
      </c>
      <c r="AR6" s="58">
        <f t="shared" si="6"/>
        <v>0</v>
      </c>
      <c r="AS6" s="58">
        <f t="shared" si="6"/>
        <v>0</v>
      </c>
      <c r="AT6" s="58">
        <f t="shared" si="6"/>
        <v>0</v>
      </c>
      <c r="AU6" s="58">
        <f t="shared" si="6"/>
        <v>0</v>
      </c>
      <c r="AV6" s="58">
        <f t="shared" si="6"/>
        <v>0</v>
      </c>
      <c r="AW6" s="58">
        <f t="shared" si="6"/>
        <v>0</v>
      </c>
      <c r="AX6" s="58">
        <f t="shared" si="6"/>
        <v>0</v>
      </c>
      <c r="AY6" s="58">
        <f t="shared" si="6"/>
        <v>0</v>
      </c>
      <c r="AZ6" s="58">
        <f t="shared" si="6"/>
        <v>0</v>
      </c>
      <c r="BA6" s="58">
        <f t="shared" si="6"/>
        <v>0</v>
      </c>
      <c r="BB6" s="58">
        <f t="shared" si="6"/>
        <v>0</v>
      </c>
      <c r="BC6" s="58">
        <f t="shared" si="6"/>
        <v>0</v>
      </c>
      <c r="BD6" s="58">
        <f t="shared" si="6"/>
        <v>0</v>
      </c>
      <c r="BE6" s="58">
        <f t="shared" si="6"/>
        <v>0</v>
      </c>
      <c r="BF6" s="58">
        <f t="shared" si="6"/>
        <v>0</v>
      </c>
      <c r="BG6" s="58">
        <f t="shared" si="6"/>
        <v>0</v>
      </c>
      <c r="BH6" s="58">
        <f t="shared" si="6"/>
        <v>0</v>
      </c>
      <c r="BI6" s="58">
        <f t="shared" si="6"/>
        <v>0</v>
      </c>
      <c r="BJ6" s="58">
        <f t="shared" si="6"/>
        <v>0</v>
      </c>
      <c r="BK6" s="58">
        <f t="shared" si="6"/>
        <v>0</v>
      </c>
      <c r="BL6" s="58">
        <f t="shared" si="6"/>
        <v>0</v>
      </c>
      <c r="BM6" s="58">
        <f t="shared" si="6"/>
        <v>0</v>
      </c>
      <c r="BN6" s="58">
        <f t="shared" si="6"/>
        <v>0</v>
      </c>
      <c r="BO6" s="58">
        <f t="shared" si="6"/>
        <v>0</v>
      </c>
      <c r="BP6" s="58">
        <f t="shared" si="6"/>
        <v>0</v>
      </c>
      <c r="BQ6" s="58">
        <f t="shared" si="6"/>
        <v>0</v>
      </c>
      <c r="BR6" s="58">
        <f t="shared" si="6"/>
        <v>0</v>
      </c>
      <c r="BS6" s="58">
        <f t="shared" si="6"/>
        <v>0</v>
      </c>
      <c r="BT6" s="58">
        <f t="shared" si="6"/>
        <v>0</v>
      </c>
      <c r="BU6" s="58">
        <f t="shared" si="6"/>
        <v>0</v>
      </c>
      <c r="BV6" s="58">
        <f t="shared" si="6"/>
        <v>0</v>
      </c>
      <c r="BW6" s="58">
        <f t="shared" ref="BW6:DY6" si="7">SUM(BW7:BW8)</f>
        <v>0</v>
      </c>
      <c r="BX6" s="58">
        <f t="shared" si="7"/>
        <v>0</v>
      </c>
      <c r="BY6" s="58">
        <f t="shared" si="7"/>
        <v>0</v>
      </c>
      <c r="BZ6" s="58">
        <f t="shared" si="7"/>
        <v>0</v>
      </c>
      <c r="CA6" s="58">
        <f t="shared" si="7"/>
        <v>0</v>
      </c>
      <c r="CB6" s="58">
        <f t="shared" si="7"/>
        <v>0</v>
      </c>
      <c r="CC6" s="58">
        <f t="shared" si="7"/>
        <v>0</v>
      </c>
      <c r="CD6" s="58">
        <f t="shared" si="7"/>
        <v>0</v>
      </c>
      <c r="CE6" s="58">
        <f t="shared" si="7"/>
        <v>0</v>
      </c>
      <c r="CF6" s="58">
        <f t="shared" si="7"/>
        <v>0</v>
      </c>
      <c r="CG6" s="58">
        <f t="shared" si="7"/>
        <v>0</v>
      </c>
      <c r="CH6" s="58">
        <f t="shared" si="7"/>
        <v>0</v>
      </c>
      <c r="CI6" s="58">
        <f t="shared" si="7"/>
        <v>0</v>
      </c>
      <c r="CJ6" s="58">
        <f t="shared" si="7"/>
        <v>0</v>
      </c>
      <c r="CK6" s="58">
        <f t="shared" si="7"/>
        <v>0</v>
      </c>
      <c r="CL6" s="58">
        <f t="shared" si="7"/>
        <v>0</v>
      </c>
      <c r="CM6" s="58">
        <f t="shared" si="7"/>
        <v>0</v>
      </c>
      <c r="CN6" s="58">
        <f t="shared" si="7"/>
        <v>0</v>
      </c>
      <c r="CO6" s="58">
        <f t="shared" si="7"/>
        <v>0</v>
      </c>
      <c r="CP6" s="58">
        <f t="shared" si="7"/>
        <v>0</v>
      </c>
      <c r="CQ6" s="58">
        <f t="shared" si="7"/>
        <v>0</v>
      </c>
      <c r="CR6" s="58">
        <f t="shared" si="7"/>
        <v>0</v>
      </c>
      <c r="CS6" s="58">
        <f t="shared" si="7"/>
        <v>0</v>
      </c>
      <c r="CT6" s="58">
        <f t="shared" si="7"/>
        <v>0</v>
      </c>
      <c r="CU6" s="58">
        <f t="shared" si="7"/>
        <v>0</v>
      </c>
      <c r="CV6" s="58">
        <f t="shared" si="7"/>
        <v>0</v>
      </c>
      <c r="CW6" s="58">
        <f t="shared" si="7"/>
        <v>0</v>
      </c>
      <c r="CX6" s="58">
        <f t="shared" si="7"/>
        <v>0</v>
      </c>
      <c r="CY6" s="58">
        <f t="shared" si="7"/>
        <v>0</v>
      </c>
      <c r="CZ6" s="58">
        <f t="shared" si="7"/>
        <v>0</v>
      </c>
      <c r="DA6" s="58">
        <f t="shared" si="7"/>
        <v>0</v>
      </c>
      <c r="DB6" s="58">
        <f t="shared" si="7"/>
        <v>0</v>
      </c>
      <c r="DC6" s="58">
        <f t="shared" si="7"/>
        <v>0</v>
      </c>
      <c r="DD6" s="58">
        <f t="shared" si="7"/>
        <v>0</v>
      </c>
      <c r="DE6" s="58">
        <f t="shared" si="7"/>
        <v>0</v>
      </c>
      <c r="DF6" s="58">
        <f t="shared" si="7"/>
        <v>0</v>
      </c>
      <c r="DG6" s="58">
        <f t="shared" si="7"/>
        <v>0</v>
      </c>
      <c r="DH6" s="58">
        <f t="shared" si="7"/>
        <v>0</v>
      </c>
      <c r="DI6" s="58">
        <f t="shared" si="7"/>
        <v>0</v>
      </c>
      <c r="DJ6" s="58">
        <f t="shared" si="7"/>
        <v>0</v>
      </c>
      <c r="DK6" s="58">
        <f t="shared" si="7"/>
        <v>0</v>
      </c>
      <c r="DL6" s="58">
        <f t="shared" si="7"/>
        <v>0</v>
      </c>
      <c r="DM6" s="58">
        <f t="shared" si="7"/>
        <v>0</v>
      </c>
      <c r="DN6" s="58">
        <f t="shared" si="7"/>
        <v>0</v>
      </c>
      <c r="DO6" s="58">
        <f t="shared" si="7"/>
        <v>0</v>
      </c>
      <c r="DP6" s="58">
        <f t="shared" si="7"/>
        <v>0</v>
      </c>
      <c r="DQ6" s="58">
        <f t="shared" si="7"/>
        <v>0</v>
      </c>
      <c r="DR6" s="58">
        <f t="shared" si="7"/>
        <v>0</v>
      </c>
      <c r="DS6" s="58">
        <f t="shared" si="7"/>
        <v>0</v>
      </c>
      <c r="DT6" s="58">
        <f t="shared" si="7"/>
        <v>0</v>
      </c>
      <c r="DU6" s="58">
        <f t="shared" si="7"/>
        <v>0</v>
      </c>
      <c r="DV6" s="58">
        <f t="shared" si="7"/>
        <v>0</v>
      </c>
      <c r="DW6" s="58">
        <f t="shared" si="7"/>
        <v>0</v>
      </c>
      <c r="DX6" s="58">
        <f t="shared" si="7"/>
        <v>0</v>
      </c>
      <c r="DY6" s="58">
        <f t="shared" si="7"/>
        <v>0</v>
      </c>
    </row>
    <row r="7" spans="1:129" x14ac:dyDescent="0.45">
      <c r="A7" s="3">
        <v>46022</v>
      </c>
      <c r="B7" s="2" t="s">
        <v>0</v>
      </c>
      <c r="C7" s="6" t="s">
        <v>5</v>
      </c>
      <c r="D7" s="17">
        <v>0</v>
      </c>
      <c r="E7" s="2" t="s">
        <v>43</v>
      </c>
      <c r="F7" s="2">
        <v>6</v>
      </c>
      <c r="G7" s="2" t="s">
        <v>43</v>
      </c>
      <c r="H7" s="2">
        <v>6</v>
      </c>
      <c r="I7" s="14">
        <v>19086.274000000001</v>
      </c>
      <c r="J7" s="55">
        <f>IF(J$1&lt;$F7,$I7*(($F7-J$1)/$F7),0)</f>
        <v>15905.228333333334</v>
      </c>
      <c r="K7" s="55">
        <f>IF(K$1&lt;$F7,$I7*(($F7-K$1)/$F7),0)</f>
        <v>12724.182666666668</v>
      </c>
      <c r="L7" s="55">
        <f t="shared" ref="L7:BW7" si="8">IF(L$1&lt;$F7,$I7*(($F7-L$1)/$F7),0)</f>
        <v>9543.1370000000006</v>
      </c>
      <c r="M7" s="55">
        <f t="shared" si="8"/>
        <v>6362.0913333333338</v>
      </c>
      <c r="N7" s="55">
        <f t="shared" si="8"/>
        <v>3181.0456666666669</v>
      </c>
      <c r="O7" s="55">
        <f t="shared" si="8"/>
        <v>0</v>
      </c>
      <c r="P7" s="55">
        <f t="shared" si="8"/>
        <v>0</v>
      </c>
      <c r="Q7" s="55">
        <f t="shared" si="8"/>
        <v>0</v>
      </c>
      <c r="R7" s="55">
        <f t="shared" si="8"/>
        <v>0</v>
      </c>
      <c r="S7" s="55">
        <f t="shared" si="8"/>
        <v>0</v>
      </c>
      <c r="T7" s="55">
        <f t="shared" si="8"/>
        <v>0</v>
      </c>
      <c r="U7" s="55">
        <f t="shared" si="8"/>
        <v>0</v>
      </c>
      <c r="V7" s="55">
        <f t="shared" si="8"/>
        <v>0</v>
      </c>
      <c r="W7" s="55">
        <f t="shared" si="8"/>
        <v>0</v>
      </c>
      <c r="X7" s="55">
        <f t="shared" si="8"/>
        <v>0</v>
      </c>
      <c r="Y7" s="55">
        <f t="shared" si="8"/>
        <v>0</v>
      </c>
      <c r="Z7" s="55">
        <f t="shared" si="8"/>
        <v>0</v>
      </c>
      <c r="AA7" s="55">
        <f t="shared" si="8"/>
        <v>0</v>
      </c>
      <c r="AB7" s="55">
        <f t="shared" si="8"/>
        <v>0</v>
      </c>
      <c r="AC7" s="55">
        <f t="shared" si="8"/>
        <v>0</v>
      </c>
      <c r="AD7" s="55">
        <f t="shared" si="8"/>
        <v>0</v>
      </c>
      <c r="AE7" s="55">
        <f t="shared" si="8"/>
        <v>0</v>
      </c>
      <c r="AF7" s="55">
        <f t="shared" si="8"/>
        <v>0</v>
      </c>
      <c r="AG7" s="55">
        <f t="shared" si="8"/>
        <v>0</v>
      </c>
      <c r="AH7" s="55">
        <f t="shared" si="8"/>
        <v>0</v>
      </c>
      <c r="AI7" s="55">
        <f t="shared" si="8"/>
        <v>0</v>
      </c>
      <c r="AJ7" s="55">
        <f t="shared" si="8"/>
        <v>0</v>
      </c>
      <c r="AK7" s="55">
        <f t="shared" si="8"/>
        <v>0</v>
      </c>
      <c r="AL7" s="55">
        <f t="shared" si="8"/>
        <v>0</v>
      </c>
      <c r="AM7" s="55">
        <f t="shared" si="8"/>
        <v>0</v>
      </c>
      <c r="AN7" s="55">
        <f t="shared" si="8"/>
        <v>0</v>
      </c>
      <c r="AO7" s="55">
        <f t="shared" si="8"/>
        <v>0</v>
      </c>
      <c r="AP7" s="55">
        <f t="shared" si="8"/>
        <v>0</v>
      </c>
      <c r="AQ7" s="55">
        <f t="shared" si="8"/>
        <v>0</v>
      </c>
      <c r="AR7" s="55">
        <f t="shared" si="8"/>
        <v>0</v>
      </c>
      <c r="AS7" s="55">
        <f t="shared" si="8"/>
        <v>0</v>
      </c>
      <c r="AT7" s="55">
        <f t="shared" si="8"/>
        <v>0</v>
      </c>
      <c r="AU7" s="55">
        <f t="shared" si="8"/>
        <v>0</v>
      </c>
      <c r="AV7" s="55">
        <f t="shared" si="8"/>
        <v>0</v>
      </c>
      <c r="AW7" s="55">
        <f t="shared" si="8"/>
        <v>0</v>
      </c>
      <c r="AX7" s="55">
        <f t="shared" si="8"/>
        <v>0</v>
      </c>
      <c r="AY7" s="55">
        <f t="shared" si="8"/>
        <v>0</v>
      </c>
      <c r="AZ7" s="55">
        <f t="shared" si="8"/>
        <v>0</v>
      </c>
      <c r="BA7" s="55">
        <f t="shared" si="8"/>
        <v>0</v>
      </c>
      <c r="BB7" s="55">
        <f t="shared" si="8"/>
        <v>0</v>
      </c>
      <c r="BC7" s="55">
        <f t="shared" si="8"/>
        <v>0</v>
      </c>
      <c r="BD7" s="55">
        <f t="shared" si="8"/>
        <v>0</v>
      </c>
      <c r="BE7" s="55">
        <f t="shared" si="8"/>
        <v>0</v>
      </c>
      <c r="BF7" s="55">
        <f t="shared" si="8"/>
        <v>0</v>
      </c>
      <c r="BG7" s="55">
        <f t="shared" si="8"/>
        <v>0</v>
      </c>
      <c r="BH7" s="55">
        <f t="shared" si="8"/>
        <v>0</v>
      </c>
      <c r="BI7" s="55">
        <f t="shared" si="8"/>
        <v>0</v>
      </c>
      <c r="BJ7" s="55">
        <f t="shared" si="8"/>
        <v>0</v>
      </c>
      <c r="BK7" s="55">
        <f t="shared" si="8"/>
        <v>0</v>
      </c>
      <c r="BL7" s="55">
        <f t="shared" si="8"/>
        <v>0</v>
      </c>
      <c r="BM7" s="55">
        <f t="shared" si="8"/>
        <v>0</v>
      </c>
      <c r="BN7" s="55">
        <f t="shared" si="8"/>
        <v>0</v>
      </c>
      <c r="BO7" s="55">
        <f t="shared" si="8"/>
        <v>0</v>
      </c>
      <c r="BP7" s="55">
        <f t="shared" si="8"/>
        <v>0</v>
      </c>
      <c r="BQ7" s="55">
        <f t="shared" si="8"/>
        <v>0</v>
      </c>
      <c r="BR7" s="55">
        <f t="shared" si="8"/>
        <v>0</v>
      </c>
      <c r="BS7" s="55">
        <f t="shared" si="8"/>
        <v>0</v>
      </c>
      <c r="BT7" s="55">
        <f t="shared" si="8"/>
        <v>0</v>
      </c>
      <c r="BU7" s="55">
        <f t="shared" si="8"/>
        <v>0</v>
      </c>
      <c r="BV7" s="55">
        <f t="shared" si="8"/>
        <v>0</v>
      </c>
      <c r="BW7" s="55">
        <f t="shared" si="8"/>
        <v>0</v>
      </c>
      <c r="BX7" s="55">
        <f t="shared" ref="BX7:DY7" si="9">IF(BX$1&lt;$F7,$I7*(($F7-BX$1)/$F7),0)</f>
        <v>0</v>
      </c>
      <c r="BY7" s="55">
        <f t="shared" si="9"/>
        <v>0</v>
      </c>
      <c r="BZ7" s="55">
        <f t="shared" si="9"/>
        <v>0</v>
      </c>
      <c r="CA7" s="55">
        <f t="shared" si="9"/>
        <v>0</v>
      </c>
      <c r="CB7" s="55">
        <f t="shared" si="9"/>
        <v>0</v>
      </c>
      <c r="CC7" s="55">
        <f t="shared" si="9"/>
        <v>0</v>
      </c>
      <c r="CD7" s="55">
        <f t="shared" si="9"/>
        <v>0</v>
      </c>
      <c r="CE7" s="55">
        <f t="shared" si="9"/>
        <v>0</v>
      </c>
      <c r="CF7" s="55">
        <f t="shared" si="9"/>
        <v>0</v>
      </c>
      <c r="CG7" s="55">
        <f t="shared" si="9"/>
        <v>0</v>
      </c>
      <c r="CH7" s="55">
        <f t="shared" si="9"/>
        <v>0</v>
      </c>
      <c r="CI7" s="55">
        <f t="shared" si="9"/>
        <v>0</v>
      </c>
      <c r="CJ7" s="55">
        <f t="shared" si="9"/>
        <v>0</v>
      </c>
      <c r="CK7" s="55">
        <f t="shared" si="9"/>
        <v>0</v>
      </c>
      <c r="CL7" s="55">
        <f t="shared" si="9"/>
        <v>0</v>
      </c>
      <c r="CM7" s="55">
        <f t="shared" si="9"/>
        <v>0</v>
      </c>
      <c r="CN7" s="55">
        <f t="shared" si="9"/>
        <v>0</v>
      </c>
      <c r="CO7" s="55">
        <f t="shared" si="9"/>
        <v>0</v>
      </c>
      <c r="CP7" s="55">
        <f t="shared" si="9"/>
        <v>0</v>
      </c>
      <c r="CQ7" s="55">
        <f t="shared" si="9"/>
        <v>0</v>
      </c>
      <c r="CR7" s="55">
        <f t="shared" si="9"/>
        <v>0</v>
      </c>
      <c r="CS7" s="55">
        <f t="shared" si="9"/>
        <v>0</v>
      </c>
      <c r="CT7" s="55">
        <f t="shared" si="9"/>
        <v>0</v>
      </c>
      <c r="CU7" s="55">
        <f t="shared" si="9"/>
        <v>0</v>
      </c>
      <c r="CV7" s="55">
        <f t="shared" si="9"/>
        <v>0</v>
      </c>
      <c r="CW7" s="55">
        <f t="shared" si="9"/>
        <v>0</v>
      </c>
      <c r="CX7" s="55">
        <f t="shared" si="9"/>
        <v>0</v>
      </c>
      <c r="CY7" s="55">
        <f t="shared" si="9"/>
        <v>0</v>
      </c>
      <c r="CZ7" s="55">
        <f t="shared" si="9"/>
        <v>0</v>
      </c>
      <c r="DA7" s="55">
        <f t="shared" si="9"/>
        <v>0</v>
      </c>
      <c r="DB7" s="55">
        <f t="shared" si="9"/>
        <v>0</v>
      </c>
      <c r="DC7" s="55">
        <f t="shared" si="9"/>
        <v>0</v>
      </c>
      <c r="DD7" s="55">
        <f t="shared" si="9"/>
        <v>0</v>
      </c>
      <c r="DE7" s="55">
        <f t="shared" si="9"/>
        <v>0</v>
      </c>
      <c r="DF7" s="55">
        <f t="shared" si="9"/>
        <v>0</v>
      </c>
      <c r="DG7" s="55">
        <f t="shared" si="9"/>
        <v>0</v>
      </c>
      <c r="DH7" s="55">
        <f t="shared" si="9"/>
        <v>0</v>
      </c>
      <c r="DI7" s="55">
        <f t="shared" si="9"/>
        <v>0</v>
      </c>
      <c r="DJ7" s="55">
        <f t="shared" si="9"/>
        <v>0</v>
      </c>
      <c r="DK7" s="55">
        <f t="shared" si="9"/>
        <v>0</v>
      </c>
      <c r="DL7" s="55">
        <f t="shared" si="9"/>
        <v>0</v>
      </c>
      <c r="DM7" s="55">
        <f t="shared" si="9"/>
        <v>0</v>
      </c>
      <c r="DN7" s="55">
        <f t="shared" si="9"/>
        <v>0</v>
      </c>
      <c r="DO7" s="55">
        <f t="shared" si="9"/>
        <v>0</v>
      </c>
      <c r="DP7" s="55">
        <f t="shared" si="9"/>
        <v>0</v>
      </c>
      <c r="DQ7" s="55">
        <f t="shared" si="9"/>
        <v>0</v>
      </c>
      <c r="DR7" s="55">
        <f t="shared" si="9"/>
        <v>0</v>
      </c>
      <c r="DS7" s="55">
        <f t="shared" si="9"/>
        <v>0</v>
      </c>
      <c r="DT7" s="55">
        <f t="shared" si="9"/>
        <v>0</v>
      </c>
      <c r="DU7" s="55">
        <f t="shared" si="9"/>
        <v>0</v>
      </c>
      <c r="DV7" s="55">
        <f t="shared" si="9"/>
        <v>0</v>
      </c>
      <c r="DW7" s="55">
        <f t="shared" si="9"/>
        <v>0</v>
      </c>
      <c r="DX7" s="55">
        <f t="shared" si="9"/>
        <v>0</v>
      </c>
      <c r="DY7" s="55">
        <f t="shared" si="9"/>
        <v>0</v>
      </c>
    </row>
    <row r="8" spans="1:129" x14ac:dyDescent="0.45">
      <c r="A8" s="3">
        <v>46022</v>
      </c>
      <c r="B8" s="2" t="s">
        <v>0</v>
      </c>
      <c r="C8" s="6" t="s">
        <v>6</v>
      </c>
      <c r="D8" s="17">
        <v>2.4897510000000001E-2</v>
      </c>
      <c r="E8" s="2" t="s">
        <v>45</v>
      </c>
      <c r="F8" s="2">
        <v>12</v>
      </c>
      <c r="G8" s="2" t="s">
        <v>45</v>
      </c>
      <c r="H8" s="2">
        <v>12</v>
      </c>
      <c r="I8" s="14">
        <v>8920.6710000000003</v>
      </c>
      <c r="J8" s="55">
        <f>IF(J$1&lt;$F8,$I8,0)</f>
        <v>8920.6710000000003</v>
      </c>
      <c r="K8" s="55">
        <f t="shared" ref="K8:BV8" si="10">IF(K$1&lt;$F8,$I8,0)</f>
        <v>8920.6710000000003</v>
      </c>
      <c r="L8" s="55">
        <f t="shared" si="10"/>
        <v>8920.6710000000003</v>
      </c>
      <c r="M8" s="55">
        <f t="shared" si="10"/>
        <v>8920.6710000000003</v>
      </c>
      <c r="N8" s="55">
        <f t="shared" si="10"/>
        <v>8920.6710000000003</v>
      </c>
      <c r="O8" s="55">
        <f t="shared" si="10"/>
        <v>8920.6710000000003</v>
      </c>
      <c r="P8" s="55">
        <f t="shared" si="10"/>
        <v>8920.6710000000003</v>
      </c>
      <c r="Q8" s="55">
        <f t="shared" si="10"/>
        <v>8920.6710000000003</v>
      </c>
      <c r="R8" s="55">
        <f t="shared" si="10"/>
        <v>8920.6710000000003</v>
      </c>
      <c r="S8" s="55">
        <f t="shared" si="10"/>
        <v>8920.6710000000003</v>
      </c>
      <c r="T8" s="55">
        <f t="shared" si="10"/>
        <v>8920.6710000000003</v>
      </c>
      <c r="U8" s="55">
        <f t="shared" si="10"/>
        <v>0</v>
      </c>
      <c r="V8" s="55">
        <f t="shared" si="10"/>
        <v>0</v>
      </c>
      <c r="W8" s="55">
        <f t="shared" si="10"/>
        <v>0</v>
      </c>
      <c r="X8" s="55">
        <f t="shared" si="10"/>
        <v>0</v>
      </c>
      <c r="Y8" s="55">
        <f t="shared" si="10"/>
        <v>0</v>
      </c>
      <c r="Z8" s="55">
        <f t="shared" si="10"/>
        <v>0</v>
      </c>
      <c r="AA8" s="55">
        <f t="shared" si="10"/>
        <v>0</v>
      </c>
      <c r="AB8" s="55">
        <f t="shared" si="10"/>
        <v>0</v>
      </c>
      <c r="AC8" s="55">
        <f t="shared" si="10"/>
        <v>0</v>
      </c>
      <c r="AD8" s="55">
        <f t="shared" si="10"/>
        <v>0</v>
      </c>
      <c r="AE8" s="55">
        <f t="shared" si="10"/>
        <v>0</v>
      </c>
      <c r="AF8" s="55">
        <f t="shared" si="10"/>
        <v>0</v>
      </c>
      <c r="AG8" s="55">
        <f t="shared" si="10"/>
        <v>0</v>
      </c>
      <c r="AH8" s="55">
        <f t="shared" si="10"/>
        <v>0</v>
      </c>
      <c r="AI8" s="55">
        <f t="shared" si="10"/>
        <v>0</v>
      </c>
      <c r="AJ8" s="55">
        <f t="shared" si="10"/>
        <v>0</v>
      </c>
      <c r="AK8" s="55">
        <f t="shared" si="10"/>
        <v>0</v>
      </c>
      <c r="AL8" s="55">
        <f t="shared" si="10"/>
        <v>0</v>
      </c>
      <c r="AM8" s="55">
        <f t="shared" si="10"/>
        <v>0</v>
      </c>
      <c r="AN8" s="55">
        <f t="shared" si="10"/>
        <v>0</v>
      </c>
      <c r="AO8" s="55">
        <f t="shared" si="10"/>
        <v>0</v>
      </c>
      <c r="AP8" s="55">
        <f t="shared" si="10"/>
        <v>0</v>
      </c>
      <c r="AQ8" s="55">
        <f t="shared" si="10"/>
        <v>0</v>
      </c>
      <c r="AR8" s="55">
        <f t="shared" si="10"/>
        <v>0</v>
      </c>
      <c r="AS8" s="55">
        <f t="shared" si="10"/>
        <v>0</v>
      </c>
      <c r="AT8" s="55">
        <f t="shared" si="10"/>
        <v>0</v>
      </c>
      <c r="AU8" s="55">
        <f t="shared" si="10"/>
        <v>0</v>
      </c>
      <c r="AV8" s="55">
        <f t="shared" si="10"/>
        <v>0</v>
      </c>
      <c r="AW8" s="55">
        <f t="shared" si="10"/>
        <v>0</v>
      </c>
      <c r="AX8" s="55">
        <f t="shared" si="10"/>
        <v>0</v>
      </c>
      <c r="AY8" s="55">
        <f t="shared" si="10"/>
        <v>0</v>
      </c>
      <c r="AZ8" s="55">
        <f t="shared" si="10"/>
        <v>0</v>
      </c>
      <c r="BA8" s="55">
        <f t="shared" si="10"/>
        <v>0</v>
      </c>
      <c r="BB8" s="55">
        <f t="shared" si="10"/>
        <v>0</v>
      </c>
      <c r="BC8" s="55">
        <f t="shared" si="10"/>
        <v>0</v>
      </c>
      <c r="BD8" s="55">
        <f t="shared" si="10"/>
        <v>0</v>
      </c>
      <c r="BE8" s="55">
        <f t="shared" si="10"/>
        <v>0</v>
      </c>
      <c r="BF8" s="55">
        <f t="shared" si="10"/>
        <v>0</v>
      </c>
      <c r="BG8" s="55">
        <f t="shared" si="10"/>
        <v>0</v>
      </c>
      <c r="BH8" s="55">
        <f t="shared" si="10"/>
        <v>0</v>
      </c>
      <c r="BI8" s="55">
        <f t="shared" si="10"/>
        <v>0</v>
      </c>
      <c r="BJ8" s="55">
        <f t="shared" si="10"/>
        <v>0</v>
      </c>
      <c r="BK8" s="55">
        <f t="shared" si="10"/>
        <v>0</v>
      </c>
      <c r="BL8" s="55">
        <f t="shared" si="10"/>
        <v>0</v>
      </c>
      <c r="BM8" s="55">
        <f t="shared" si="10"/>
        <v>0</v>
      </c>
      <c r="BN8" s="55">
        <f t="shared" si="10"/>
        <v>0</v>
      </c>
      <c r="BO8" s="55">
        <f t="shared" si="10"/>
        <v>0</v>
      </c>
      <c r="BP8" s="55">
        <f t="shared" si="10"/>
        <v>0</v>
      </c>
      <c r="BQ8" s="55">
        <f t="shared" si="10"/>
        <v>0</v>
      </c>
      <c r="BR8" s="55">
        <f t="shared" si="10"/>
        <v>0</v>
      </c>
      <c r="BS8" s="55">
        <f t="shared" si="10"/>
        <v>0</v>
      </c>
      <c r="BT8" s="55">
        <f t="shared" si="10"/>
        <v>0</v>
      </c>
      <c r="BU8" s="55">
        <f t="shared" si="10"/>
        <v>0</v>
      </c>
      <c r="BV8" s="55">
        <f t="shared" si="10"/>
        <v>0</v>
      </c>
      <c r="BW8" s="55">
        <f t="shared" ref="BW8:DY8" si="11">IF(BW$1&lt;$F8,$I8,0)</f>
        <v>0</v>
      </c>
      <c r="BX8" s="55">
        <f t="shared" si="11"/>
        <v>0</v>
      </c>
      <c r="BY8" s="55">
        <f t="shared" si="11"/>
        <v>0</v>
      </c>
      <c r="BZ8" s="55">
        <f t="shared" si="11"/>
        <v>0</v>
      </c>
      <c r="CA8" s="55">
        <f t="shared" si="11"/>
        <v>0</v>
      </c>
      <c r="CB8" s="55">
        <f t="shared" si="11"/>
        <v>0</v>
      </c>
      <c r="CC8" s="55">
        <f t="shared" si="11"/>
        <v>0</v>
      </c>
      <c r="CD8" s="55">
        <f t="shared" si="11"/>
        <v>0</v>
      </c>
      <c r="CE8" s="55">
        <f t="shared" si="11"/>
        <v>0</v>
      </c>
      <c r="CF8" s="55">
        <f t="shared" si="11"/>
        <v>0</v>
      </c>
      <c r="CG8" s="55">
        <f t="shared" si="11"/>
        <v>0</v>
      </c>
      <c r="CH8" s="55">
        <f t="shared" si="11"/>
        <v>0</v>
      </c>
      <c r="CI8" s="55">
        <f t="shared" si="11"/>
        <v>0</v>
      </c>
      <c r="CJ8" s="55">
        <f t="shared" si="11"/>
        <v>0</v>
      </c>
      <c r="CK8" s="55">
        <f t="shared" si="11"/>
        <v>0</v>
      </c>
      <c r="CL8" s="55">
        <f t="shared" si="11"/>
        <v>0</v>
      </c>
      <c r="CM8" s="55">
        <f t="shared" si="11"/>
        <v>0</v>
      </c>
      <c r="CN8" s="55">
        <f t="shared" si="11"/>
        <v>0</v>
      </c>
      <c r="CO8" s="55">
        <f t="shared" si="11"/>
        <v>0</v>
      </c>
      <c r="CP8" s="55">
        <f t="shared" si="11"/>
        <v>0</v>
      </c>
      <c r="CQ8" s="55">
        <f t="shared" si="11"/>
        <v>0</v>
      </c>
      <c r="CR8" s="55">
        <f t="shared" si="11"/>
        <v>0</v>
      </c>
      <c r="CS8" s="55">
        <f t="shared" si="11"/>
        <v>0</v>
      </c>
      <c r="CT8" s="55">
        <f t="shared" si="11"/>
        <v>0</v>
      </c>
      <c r="CU8" s="55">
        <f t="shared" si="11"/>
        <v>0</v>
      </c>
      <c r="CV8" s="55">
        <f t="shared" si="11"/>
        <v>0</v>
      </c>
      <c r="CW8" s="55">
        <f t="shared" si="11"/>
        <v>0</v>
      </c>
      <c r="CX8" s="55">
        <f t="shared" si="11"/>
        <v>0</v>
      </c>
      <c r="CY8" s="55">
        <f t="shared" si="11"/>
        <v>0</v>
      </c>
      <c r="CZ8" s="55">
        <f t="shared" si="11"/>
        <v>0</v>
      </c>
      <c r="DA8" s="55">
        <f t="shared" si="11"/>
        <v>0</v>
      </c>
      <c r="DB8" s="55">
        <f t="shared" si="11"/>
        <v>0</v>
      </c>
      <c r="DC8" s="55">
        <f t="shared" si="11"/>
        <v>0</v>
      </c>
      <c r="DD8" s="55">
        <f t="shared" si="11"/>
        <v>0</v>
      </c>
      <c r="DE8" s="55">
        <f t="shared" si="11"/>
        <v>0</v>
      </c>
      <c r="DF8" s="55">
        <f t="shared" si="11"/>
        <v>0</v>
      </c>
      <c r="DG8" s="55">
        <f t="shared" si="11"/>
        <v>0</v>
      </c>
      <c r="DH8" s="55">
        <f t="shared" si="11"/>
        <v>0</v>
      </c>
      <c r="DI8" s="55">
        <f t="shared" si="11"/>
        <v>0</v>
      </c>
      <c r="DJ8" s="55">
        <f t="shared" si="11"/>
        <v>0</v>
      </c>
      <c r="DK8" s="55">
        <f t="shared" si="11"/>
        <v>0</v>
      </c>
      <c r="DL8" s="55">
        <f t="shared" si="11"/>
        <v>0</v>
      </c>
      <c r="DM8" s="55">
        <f t="shared" si="11"/>
        <v>0</v>
      </c>
      <c r="DN8" s="55">
        <f t="shared" si="11"/>
        <v>0</v>
      </c>
      <c r="DO8" s="55">
        <f t="shared" si="11"/>
        <v>0</v>
      </c>
      <c r="DP8" s="55">
        <f t="shared" si="11"/>
        <v>0</v>
      </c>
      <c r="DQ8" s="55">
        <f t="shared" si="11"/>
        <v>0</v>
      </c>
      <c r="DR8" s="55">
        <f t="shared" si="11"/>
        <v>0</v>
      </c>
      <c r="DS8" s="55">
        <f t="shared" si="11"/>
        <v>0</v>
      </c>
      <c r="DT8" s="55">
        <f t="shared" si="11"/>
        <v>0</v>
      </c>
      <c r="DU8" s="55">
        <f t="shared" si="11"/>
        <v>0</v>
      </c>
      <c r="DV8" s="55">
        <f t="shared" si="11"/>
        <v>0</v>
      </c>
      <c r="DW8" s="55">
        <f t="shared" si="11"/>
        <v>0</v>
      </c>
      <c r="DX8" s="55">
        <f t="shared" si="11"/>
        <v>0</v>
      </c>
      <c r="DY8" s="55">
        <f t="shared" si="11"/>
        <v>0</v>
      </c>
    </row>
    <row r="9" spans="1:129" x14ac:dyDescent="0.45">
      <c r="A9" s="3">
        <v>46022</v>
      </c>
      <c r="B9" s="2" t="s">
        <v>0</v>
      </c>
      <c r="C9" s="4" t="s">
        <v>7</v>
      </c>
      <c r="D9" s="16"/>
      <c r="E9" s="54"/>
      <c r="F9" s="54"/>
      <c r="G9" s="54"/>
      <c r="H9" s="54"/>
      <c r="I9" s="13">
        <v>125650.31899999999</v>
      </c>
      <c r="J9" s="58">
        <f>SUM(J10:J12)</f>
        <v>45066.509154331048</v>
      </c>
      <c r="K9" s="58">
        <f t="shared" ref="K9:BV9" si="12">SUM(K10:K12)</f>
        <v>40146.148774905552</v>
      </c>
      <c r="L9" s="58">
        <f t="shared" si="12"/>
        <v>35212.566417292132</v>
      </c>
      <c r="M9" s="58">
        <f t="shared" si="12"/>
        <v>30265.726541748478</v>
      </c>
      <c r="N9" s="58">
        <f t="shared" si="12"/>
        <v>25305.593512964897</v>
      </c>
      <c r="O9" s="58">
        <f t="shared" si="12"/>
        <v>20332.131599807202</v>
      </c>
      <c r="P9" s="58">
        <f t="shared" si="12"/>
        <v>15345.304975058851</v>
      </c>
      <c r="Q9" s="58">
        <f t="shared" si="12"/>
        <v>10345.077715162422</v>
      </c>
      <c r="R9" s="58">
        <f t="shared" si="12"/>
        <v>5331.4137999603972</v>
      </c>
      <c r="S9" s="58">
        <f t="shared" si="12"/>
        <v>304.27711243525766</v>
      </c>
      <c r="T9" s="58">
        <f t="shared" si="12"/>
        <v>298.77286028497184</v>
      </c>
      <c r="U9" s="58">
        <f t="shared" si="12"/>
        <v>293.24638791295422</v>
      </c>
      <c r="V9" s="58">
        <f t="shared" si="12"/>
        <v>287.69760561796289</v>
      </c>
      <c r="W9" s="58">
        <f t="shared" si="12"/>
        <v>282.12642333663922</v>
      </c>
      <c r="X9" s="58">
        <f t="shared" si="12"/>
        <v>276.53275064204604</v>
      </c>
      <c r="Y9" s="58">
        <f t="shared" si="12"/>
        <v>270.91649674220002</v>
      </c>
      <c r="Z9" s="58">
        <f t="shared" si="12"/>
        <v>265.27757047859791</v>
      </c>
      <c r="AA9" s="58">
        <f t="shared" si="12"/>
        <v>259.61588032473691</v>
      </c>
      <c r="AB9" s="58">
        <f t="shared" si="12"/>
        <v>253.93133438462903</v>
      </c>
      <c r="AC9" s="58">
        <f t="shared" si="12"/>
        <v>248.22384039130975</v>
      </c>
      <c r="AD9" s="58">
        <f t="shared" si="12"/>
        <v>242.49330570534016</v>
      </c>
      <c r="AE9" s="58">
        <f t="shared" si="12"/>
        <v>236.73963731330346</v>
      </c>
      <c r="AF9" s="58">
        <f t="shared" si="12"/>
        <v>230.96274182629517</v>
      </c>
      <c r="AG9" s="58">
        <f t="shared" si="12"/>
        <v>225.16252547840736</v>
      </c>
      <c r="AH9" s="58">
        <f t="shared" si="12"/>
        <v>219.33889412520665</v>
      </c>
      <c r="AI9" s="58">
        <f t="shared" si="12"/>
        <v>213.49175324220622</v>
      </c>
      <c r="AJ9" s="58">
        <f t="shared" si="12"/>
        <v>207.62100792333149</v>
      </c>
      <c r="AK9" s="58">
        <f t="shared" si="12"/>
        <v>201.72656287937974</v>
      </c>
      <c r="AL9" s="58">
        <f t="shared" si="12"/>
        <v>195.80832243647345</v>
      </c>
      <c r="AM9" s="58">
        <f t="shared" si="12"/>
        <v>189.86619053450733</v>
      </c>
      <c r="AN9" s="58">
        <f t="shared" si="12"/>
        <v>183.90007072558925</v>
      </c>
      <c r="AO9" s="58">
        <f t="shared" si="12"/>
        <v>177.90986617247466</v>
      </c>
      <c r="AP9" s="58">
        <f t="shared" si="12"/>
        <v>171.89547964699494</v>
      </c>
      <c r="AQ9" s="58">
        <f t="shared" si="12"/>
        <v>165.85681352847914</v>
      </c>
      <c r="AR9" s="58">
        <f t="shared" si="12"/>
        <v>159.79376980216955</v>
      </c>
      <c r="AS9" s="58">
        <f t="shared" si="12"/>
        <v>153.70625005763083</v>
      </c>
      <c r="AT9" s="58">
        <f t="shared" si="12"/>
        <v>147.59415548715262</v>
      </c>
      <c r="AU9" s="58">
        <f t="shared" si="12"/>
        <v>141.45738688414582</v>
      </c>
      <c r="AV9" s="58">
        <f t="shared" si="12"/>
        <v>135.29584464153231</v>
      </c>
      <c r="AW9" s="58">
        <f t="shared" si="12"/>
        <v>129.1094287501283</v>
      </c>
      <c r="AX9" s="58">
        <f t="shared" si="12"/>
        <v>122.89803879702093</v>
      </c>
      <c r="AY9" s="58">
        <f t="shared" si="12"/>
        <v>116.66157396393854</v>
      </c>
      <c r="AZ9" s="58">
        <f t="shared" si="12"/>
        <v>110.39993302561422</v>
      </c>
      <c r="BA9" s="58">
        <f t="shared" si="12"/>
        <v>104.11301434814287</v>
      </c>
      <c r="BB9" s="58">
        <f t="shared" si="12"/>
        <v>97.800715887331478</v>
      </c>
      <c r="BC9" s="58">
        <f t="shared" si="12"/>
        <v>91.462935187042888</v>
      </c>
      <c r="BD9" s="58">
        <f t="shared" si="12"/>
        <v>85.09956937753276</v>
      </c>
      <c r="BE9" s="58">
        <f t="shared" si="12"/>
        <v>78.710515173779925</v>
      </c>
      <c r="BF9" s="58">
        <f t="shared" si="12"/>
        <v>72.295668873809888</v>
      </c>
      <c r="BG9" s="58">
        <f t="shared" si="12"/>
        <v>65.854926357011678</v>
      </c>
      <c r="BH9" s="58">
        <f t="shared" si="12"/>
        <v>59.388183082447824</v>
      </c>
      <c r="BI9" s="58">
        <f t="shared" si="12"/>
        <v>52.895334087157501</v>
      </c>
      <c r="BJ9" s="58">
        <f t="shared" si="12"/>
        <v>46.376273984452894</v>
      </c>
      <c r="BK9" s="58">
        <f t="shared" si="12"/>
        <v>39.830896962208641</v>
      </c>
      <c r="BL9" s="58">
        <f t="shared" si="12"/>
        <v>33.259096781144358</v>
      </c>
      <c r="BM9" s="58">
        <f t="shared" si="12"/>
        <v>26.660766773100271</v>
      </c>
      <c r="BN9" s="58">
        <f t="shared" si="12"/>
        <v>20.035799839305845</v>
      </c>
      <c r="BO9" s="58">
        <f t="shared" si="12"/>
        <v>13.384088448641453</v>
      </c>
      <c r="BP9" s="58">
        <f t="shared" si="12"/>
        <v>6.7055246358930178</v>
      </c>
      <c r="BQ9" s="58">
        <f t="shared" si="12"/>
        <v>0</v>
      </c>
      <c r="BR9" s="58">
        <f t="shared" si="12"/>
        <v>0</v>
      </c>
      <c r="BS9" s="58">
        <f t="shared" si="12"/>
        <v>0</v>
      </c>
      <c r="BT9" s="58">
        <f t="shared" si="12"/>
        <v>0</v>
      </c>
      <c r="BU9" s="58">
        <f t="shared" si="12"/>
        <v>0</v>
      </c>
      <c r="BV9" s="58">
        <f t="shared" si="12"/>
        <v>0</v>
      </c>
      <c r="BW9" s="58">
        <f t="shared" ref="BW9:DY9" si="13">SUM(BW10:BW12)</f>
        <v>0</v>
      </c>
      <c r="BX9" s="58">
        <f t="shared" si="13"/>
        <v>0</v>
      </c>
      <c r="BY9" s="58">
        <f t="shared" si="13"/>
        <v>0</v>
      </c>
      <c r="BZ9" s="58">
        <f t="shared" si="13"/>
        <v>0</v>
      </c>
      <c r="CA9" s="58">
        <f t="shared" si="13"/>
        <v>0</v>
      </c>
      <c r="CB9" s="58">
        <f t="shared" si="13"/>
        <v>0</v>
      </c>
      <c r="CC9" s="58">
        <f t="shared" si="13"/>
        <v>0</v>
      </c>
      <c r="CD9" s="58">
        <f t="shared" si="13"/>
        <v>0</v>
      </c>
      <c r="CE9" s="58">
        <f t="shared" si="13"/>
        <v>0</v>
      </c>
      <c r="CF9" s="58">
        <f t="shared" si="13"/>
        <v>0</v>
      </c>
      <c r="CG9" s="58">
        <f t="shared" si="13"/>
        <v>0</v>
      </c>
      <c r="CH9" s="58">
        <f t="shared" si="13"/>
        <v>0</v>
      </c>
      <c r="CI9" s="58">
        <f t="shared" si="13"/>
        <v>0</v>
      </c>
      <c r="CJ9" s="58">
        <f t="shared" si="13"/>
        <v>0</v>
      </c>
      <c r="CK9" s="58">
        <f t="shared" si="13"/>
        <v>0</v>
      </c>
      <c r="CL9" s="58">
        <f t="shared" si="13"/>
        <v>0</v>
      </c>
      <c r="CM9" s="58">
        <f t="shared" si="13"/>
        <v>0</v>
      </c>
      <c r="CN9" s="58">
        <f t="shared" si="13"/>
        <v>0</v>
      </c>
      <c r="CO9" s="58">
        <f t="shared" si="13"/>
        <v>0</v>
      </c>
      <c r="CP9" s="58">
        <f t="shared" si="13"/>
        <v>0</v>
      </c>
      <c r="CQ9" s="58">
        <f t="shared" si="13"/>
        <v>0</v>
      </c>
      <c r="CR9" s="58">
        <f t="shared" si="13"/>
        <v>0</v>
      </c>
      <c r="CS9" s="58">
        <f t="shared" si="13"/>
        <v>0</v>
      </c>
      <c r="CT9" s="58">
        <f t="shared" si="13"/>
        <v>0</v>
      </c>
      <c r="CU9" s="58">
        <f t="shared" si="13"/>
        <v>0</v>
      </c>
      <c r="CV9" s="58">
        <f t="shared" si="13"/>
        <v>0</v>
      </c>
      <c r="CW9" s="58">
        <f t="shared" si="13"/>
        <v>0</v>
      </c>
      <c r="CX9" s="58">
        <f t="shared" si="13"/>
        <v>0</v>
      </c>
      <c r="CY9" s="58">
        <f t="shared" si="13"/>
        <v>0</v>
      </c>
      <c r="CZ9" s="58">
        <f t="shared" si="13"/>
        <v>0</v>
      </c>
      <c r="DA9" s="58">
        <f t="shared" si="13"/>
        <v>0</v>
      </c>
      <c r="DB9" s="58">
        <f t="shared" si="13"/>
        <v>0</v>
      </c>
      <c r="DC9" s="58">
        <f t="shared" si="13"/>
        <v>0</v>
      </c>
      <c r="DD9" s="58">
        <f t="shared" si="13"/>
        <v>0</v>
      </c>
      <c r="DE9" s="58">
        <f t="shared" si="13"/>
        <v>0</v>
      </c>
      <c r="DF9" s="58">
        <f t="shared" si="13"/>
        <v>0</v>
      </c>
      <c r="DG9" s="58">
        <f t="shared" si="13"/>
        <v>0</v>
      </c>
      <c r="DH9" s="58">
        <f t="shared" si="13"/>
        <v>0</v>
      </c>
      <c r="DI9" s="58">
        <f t="shared" si="13"/>
        <v>0</v>
      </c>
      <c r="DJ9" s="58">
        <f t="shared" si="13"/>
        <v>0</v>
      </c>
      <c r="DK9" s="58">
        <f t="shared" si="13"/>
        <v>0</v>
      </c>
      <c r="DL9" s="58">
        <f t="shared" si="13"/>
        <v>0</v>
      </c>
      <c r="DM9" s="58">
        <f t="shared" si="13"/>
        <v>0</v>
      </c>
      <c r="DN9" s="58">
        <f t="shared" si="13"/>
        <v>0</v>
      </c>
      <c r="DO9" s="58">
        <f t="shared" si="13"/>
        <v>0</v>
      </c>
      <c r="DP9" s="58">
        <f t="shared" si="13"/>
        <v>0</v>
      </c>
      <c r="DQ9" s="58">
        <f t="shared" si="13"/>
        <v>0</v>
      </c>
      <c r="DR9" s="58">
        <f t="shared" si="13"/>
        <v>0</v>
      </c>
      <c r="DS9" s="58">
        <f t="shared" si="13"/>
        <v>0</v>
      </c>
      <c r="DT9" s="58">
        <f t="shared" si="13"/>
        <v>0</v>
      </c>
      <c r="DU9" s="58">
        <f t="shared" si="13"/>
        <v>0</v>
      </c>
      <c r="DV9" s="58">
        <f t="shared" si="13"/>
        <v>0</v>
      </c>
      <c r="DW9" s="58">
        <f t="shared" si="13"/>
        <v>0</v>
      </c>
      <c r="DX9" s="58">
        <f t="shared" si="13"/>
        <v>0</v>
      </c>
      <c r="DY9" s="58">
        <f t="shared" si="13"/>
        <v>0</v>
      </c>
    </row>
    <row r="10" spans="1:129" x14ac:dyDescent="0.45">
      <c r="A10" s="3">
        <v>46022</v>
      </c>
      <c r="B10" s="2" t="s">
        <v>0</v>
      </c>
      <c r="C10" s="6" t="s">
        <v>8</v>
      </c>
      <c r="D10" s="17">
        <v>4.8443031587445756E-2</v>
      </c>
      <c r="E10" s="2" t="s">
        <v>46</v>
      </c>
      <c r="F10" s="2">
        <v>60</v>
      </c>
      <c r="G10" s="2" t="s">
        <v>46</v>
      </c>
      <c r="H10" s="2">
        <v>60</v>
      </c>
      <c r="I10" s="14">
        <v>358.11700000000002</v>
      </c>
      <c r="J10" s="55">
        <f>IF(J$1&lt;$F10,(I10*(1+($D10/12)))-(-PMT($D10/12,$F10,$I10)),0)</f>
        <v>352.83009513087779</v>
      </c>
      <c r="K10" s="55">
        <f t="shared" ref="K10:BV11" si="14">IF(K$1&lt;$F10,(J10*(1+($D10/12)))-(-PMT($D10/12,$F10,$I10)),0)</f>
        <v>347.52184745345767</v>
      </c>
      <c r="L10" s="55">
        <f t="shared" si="14"/>
        <v>342.19217080854497</v>
      </c>
      <c r="M10" s="55">
        <f t="shared" si="14"/>
        <v>336.84097868912721</v>
      </c>
      <c r="N10" s="55">
        <f t="shared" si="14"/>
        <v>331.4681842389702</v>
      </c>
      <c r="O10" s="55">
        <f t="shared" si="14"/>
        <v>326.07370025120804</v>
      </c>
      <c r="P10" s="55">
        <f t="shared" si="14"/>
        <v>320.65743916692776</v>
      </c>
      <c r="Q10" s="55">
        <f t="shared" si="14"/>
        <v>315.2193130737482</v>
      </c>
      <c r="R10" s="55">
        <f t="shared" si="14"/>
        <v>309.7592337043929</v>
      </c>
      <c r="S10" s="55">
        <f t="shared" si="14"/>
        <v>304.27711243525766</v>
      </c>
      <c r="T10" s="55">
        <f t="shared" si="14"/>
        <v>298.77286028497184</v>
      </c>
      <c r="U10" s="55">
        <f t="shared" si="14"/>
        <v>293.24638791295422</v>
      </c>
      <c r="V10" s="55">
        <f t="shared" si="14"/>
        <v>287.69760561796289</v>
      </c>
      <c r="W10" s="55">
        <f t="shared" si="14"/>
        <v>282.12642333663922</v>
      </c>
      <c r="X10" s="55">
        <f t="shared" si="14"/>
        <v>276.53275064204604</v>
      </c>
      <c r="Y10" s="55">
        <f t="shared" si="14"/>
        <v>270.91649674220002</v>
      </c>
      <c r="Z10" s="55">
        <f t="shared" si="14"/>
        <v>265.27757047859791</v>
      </c>
      <c r="AA10" s="55">
        <f t="shared" si="14"/>
        <v>259.61588032473691</v>
      </c>
      <c r="AB10" s="55">
        <f t="shared" si="14"/>
        <v>253.93133438462903</v>
      </c>
      <c r="AC10" s="55">
        <f t="shared" si="14"/>
        <v>248.22384039130975</v>
      </c>
      <c r="AD10" s="55">
        <f t="shared" si="14"/>
        <v>242.49330570534016</v>
      </c>
      <c r="AE10" s="55">
        <f t="shared" si="14"/>
        <v>236.73963731330346</v>
      </c>
      <c r="AF10" s="55">
        <f t="shared" si="14"/>
        <v>230.96274182629517</v>
      </c>
      <c r="AG10" s="55">
        <f t="shared" si="14"/>
        <v>225.16252547840736</v>
      </c>
      <c r="AH10" s="55">
        <f t="shared" si="14"/>
        <v>219.33889412520665</v>
      </c>
      <c r="AI10" s="55">
        <f t="shared" si="14"/>
        <v>213.49175324220622</v>
      </c>
      <c r="AJ10" s="55">
        <f t="shared" si="14"/>
        <v>207.62100792333149</v>
      </c>
      <c r="AK10" s="55">
        <f t="shared" si="14"/>
        <v>201.72656287937974</v>
      </c>
      <c r="AL10" s="55">
        <f t="shared" si="14"/>
        <v>195.80832243647345</v>
      </c>
      <c r="AM10" s="55">
        <f t="shared" si="14"/>
        <v>189.86619053450733</v>
      </c>
      <c r="AN10" s="55">
        <f t="shared" si="14"/>
        <v>183.90007072558925</v>
      </c>
      <c r="AO10" s="55">
        <f t="shared" si="14"/>
        <v>177.90986617247466</v>
      </c>
      <c r="AP10" s="55">
        <f t="shared" si="14"/>
        <v>171.89547964699494</v>
      </c>
      <c r="AQ10" s="55">
        <f t="shared" si="14"/>
        <v>165.85681352847914</v>
      </c>
      <c r="AR10" s="55">
        <f t="shared" si="14"/>
        <v>159.79376980216955</v>
      </c>
      <c r="AS10" s="55">
        <f t="shared" si="14"/>
        <v>153.70625005763083</v>
      </c>
      <c r="AT10" s="55">
        <f t="shared" si="14"/>
        <v>147.59415548715262</v>
      </c>
      <c r="AU10" s="55">
        <f t="shared" si="14"/>
        <v>141.45738688414582</v>
      </c>
      <c r="AV10" s="55">
        <f t="shared" si="14"/>
        <v>135.29584464153231</v>
      </c>
      <c r="AW10" s="55">
        <f t="shared" si="14"/>
        <v>129.1094287501283</v>
      </c>
      <c r="AX10" s="55">
        <f t="shared" si="14"/>
        <v>122.89803879702093</v>
      </c>
      <c r="AY10" s="55">
        <f t="shared" si="14"/>
        <v>116.66157396393854</v>
      </c>
      <c r="AZ10" s="55">
        <f t="shared" si="14"/>
        <v>110.39993302561422</v>
      </c>
      <c r="BA10" s="55">
        <f t="shared" si="14"/>
        <v>104.11301434814287</v>
      </c>
      <c r="BB10" s="55">
        <f t="shared" si="14"/>
        <v>97.800715887331478</v>
      </c>
      <c r="BC10" s="55">
        <f t="shared" si="14"/>
        <v>91.462935187042888</v>
      </c>
      <c r="BD10" s="55">
        <f t="shared" si="14"/>
        <v>85.09956937753276</v>
      </c>
      <c r="BE10" s="55">
        <f t="shared" si="14"/>
        <v>78.710515173779925</v>
      </c>
      <c r="BF10" s="55">
        <f t="shared" si="14"/>
        <v>72.295668873809888</v>
      </c>
      <c r="BG10" s="55">
        <f t="shared" si="14"/>
        <v>65.854926357011678</v>
      </c>
      <c r="BH10" s="55">
        <f t="shared" si="14"/>
        <v>59.388183082447824</v>
      </c>
      <c r="BI10" s="55">
        <f t="shared" si="14"/>
        <v>52.895334087157501</v>
      </c>
      <c r="BJ10" s="55">
        <f t="shared" si="14"/>
        <v>46.376273984452894</v>
      </c>
      <c r="BK10" s="55">
        <f t="shared" si="14"/>
        <v>39.830896962208641</v>
      </c>
      <c r="BL10" s="55">
        <f t="shared" si="14"/>
        <v>33.259096781144358</v>
      </c>
      <c r="BM10" s="55">
        <f t="shared" si="14"/>
        <v>26.660766773100271</v>
      </c>
      <c r="BN10" s="55">
        <f t="shared" si="14"/>
        <v>20.035799839305845</v>
      </c>
      <c r="BO10" s="55">
        <f t="shared" si="14"/>
        <v>13.384088448641453</v>
      </c>
      <c r="BP10" s="55">
        <f t="shared" si="14"/>
        <v>6.7055246358930178</v>
      </c>
      <c r="BQ10" s="55">
        <f t="shared" si="14"/>
        <v>0</v>
      </c>
      <c r="BR10" s="55">
        <f t="shared" si="14"/>
        <v>0</v>
      </c>
      <c r="BS10" s="55">
        <f t="shared" si="14"/>
        <v>0</v>
      </c>
      <c r="BT10" s="55">
        <f t="shared" si="14"/>
        <v>0</v>
      </c>
      <c r="BU10" s="55">
        <f t="shared" si="14"/>
        <v>0</v>
      </c>
      <c r="BV10" s="55">
        <f t="shared" si="14"/>
        <v>0</v>
      </c>
      <c r="BW10" s="55">
        <f t="shared" ref="BW10:DY11" si="15">IF(BW$1&lt;$F10,(BV10*(1+($D10/12)))-(-PMT($D10/12,$F10,$I10)),0)</f>
        <v>0</v>
      </c>
      <c r="BX10" s="55">
        <f t="shared" si="15"/>
        <v>0</v>
      </c>
      <c r="BY10" s="55">
        <f t="shared" si="15"/>
        <v>0</v>
      </c>
      <c r="BZ10" s="55">
        <f t="shared" si="15"/>
        <v>0</v>
      </c>
      <c r="CA10" s="55">
        <f t="shared" si="15"/>
        <v>0</v>
      </c>
      <c r="CB10" s="55">
        <f t="shared" si="15"/>
        <v>0</v>
      </c>
      <c r="CC10" s="55">
        <f t="shared" si="15"/>
        <v>0</v>
      </c>
      <c r="CD10" s="55">
        <f t="shared" si="15"/>
        <v>0</v>
      </c>
      <c r="CE10" s="55">
        <f t="shared" si="15"/>
        <v>0</v>
      </c>
      <c r="CF10" s="55">
        <f t="shared" si="15"/>
        <v>0</v>
      </c>
      <c r="CG10" s="55">
        <f t="shared" si="15"/>
        <v>0</v>
      </c>
      <c r="CH10" s="55">
        <f t="shared" si="15"/>
        <v>0</v>
      </c>
      <c r="CI10" s="55">
        <f t="shared" si="15"/>
        <v>0</v>
      </c>
      <c r="CJ10" s="55">
        <f t="shared" si="15"/>
        <v>0</v>
      </c>
      <c r="CK10" s="55">
        <f t="shared" si="15"/>
        <v>0</v>
      </c>
      <c r="CL10" s="55">
        <f t="shared" si="15"/>
        <v>0</v>
      </c>
      <c r="CM10" s="55">
        <f t="shared" si="15"/>
        <v>0</v>
      </c>
      <c r="CN10" s="55">
        <f t="shared" si="15"/>
        <v>0</v>
      </c>
      <c r="CO10" s="55">
        <f t="shared" si="15"/>
        <v>0</v>
      </c>
      <c r="CP10" s="55">
        <f t="shared" si="15"/>
        <v>0</v>
      </c>
      <c r="CQ10" s="55">
        <f t="shared" si="15"/>
        <v>0</v>
      </c>
      <c r="CR10" s="55">
        <f t="shared" si="15"/>
        <v>0</v>
      </c>
      <c r="CS10" s="55">
        <f t="shared" si="15"/>
        <v>0</v>
      </c>
      <c r="CT10" s="55">
        <f t="shared" si="15"/>
        <v>0</v>
      </c>
      <c r="CU10" s="55">
        <f t="shared" si="15"/>
        <v>0</v>
      </c>
      <c r="CV10" s="55">
        <f t="shared" si="15"/>
        <v>0</v>
      </c>
      <c r="CW10" s="55">
        <f t="shared" si="15"/>
        <v>0</v>
      </c>
      <c r="CX10" s="55">
        <f t="shared" si="15"/>
        <v>0</v>
      </c>
      <c r="CY10" s="55">
        <f t="shared" si="15"/>
        <v>0</v>
      </c>
      <c r="CZ10" s="55">
        <f t="shared" si="15"/>
        <v>0</v>
      </c>
      <c r="DA10" s="55">
        <f t="shared" si="15"/>
        <v>0</v>
      </c>
      <c r="DB10" s="55">
        <f t="shared" si="15"/>
        <v>0</v>
      </c>
      <c r="DC10" s="55">
        <f t="shared" si="15"/>
        <v>0</v>
      </c>
      <c r="DD10" s="55">
        <f t="shared" si="15"/>
        <v>0</v>
      </c>
      <c r="DE10" s="55">
        <f t="shared" si="15"/>
        <v>0</v>
      </c>
      <c r="DF10" s="55">
        <f t="shared" si="15"/>
        <v>0</v>
      </c>
      <c r="DG10" s="55">
        <f t="shared" si="15"/>
        <v>0</v>
      </c>
      <c r="DH10" s="55">
        <f t="shared" si="15"/>
        <v>0</v>
      </c>
      <c r="DI10" s="55">
        <f t="shared" si="15"/>
        <v>0</v>
      </c>
      <c r="DJ10" s="55">
        <f t="shared" si="15"/>
        <v>0</v>
      </c>
      <c r="DK10" s="55">
        <f t="shared" si="15"/>
        <v>0</v>
      </c>
      <c r="DL10" s="55">
        <f t="shared" si="15"/>
        <v>0</v>
      </c>
      <c r="DM10" s="55">
        <f t="shared" si="15"/>
        <v>0</v>
      </c>
      <c r="DN10" s="55">
        <f t="shared" si="15"/>
        <v>0</v>
      </c>
      <c r="DO10" s="55">
        <f t="shared" si="15"/>
        <v>0</v>
      </c>
      <c r="DP10" s="55">
        <f t="shared" si="15"/>
        <v>0</v>
      </c>
      <c r="DQ10" s="55">
        <f t="shared" si="15"/>
        <v>0</v>
      </c>
      <c r="DR10" s="55">
        <f t="shared" si="15"/>
        <v>0</v>
      </c>
      <c r="DS10" s="55">
        <f t="shared" si="15"/>
        <v>0</v>
      </c>
      <c r="DT10" s="55">
        <f t="shared" si="15"/>
        <v>0</v>
      </c>
      <c r="DU10" s="55">
        <f t="shared" si="15"/>
        <v>0</v>
      </c>
      <c r="DV10" s="55">
        <f t="shared" si="15"/>
        <v>0</v>
      </c>
      <c r="DW10" s="55">
        <f t="shared" si="15"/>
        <v>0</v>
      </c>
      <c r="DX10" s="55">
        <f t="shared" si="15"/>
        <v>0</v>
      </c>
      <c r="DY10" s="55">
        <f t="shared" si="15"/>
        <v>0</v>
      </c>
    </row>
    <row r="11" spans="1:129" x14ac:dyDescent="0.45">
      <c r="A11" s="3">
        <v>46022</v>
      </c>
      <c r="B11" s="2" t="s">
        <v>0</v>
      </c>
      <c r="C11" s="6" t="s">
        <v>9</v>
      </c>
      <c r="D11" s="17">
        <v>3.2228872939520412E-2</v>
      </c>
      <c r="E11" s="2" t="s">
        <v>46</v>
      </c>
      <c r="F11" s="2">
        <v>10</v>
      </c>
      <c r="G11" s="2" t="s">
        <v>46</v>
      </c>
      <c r="H11" s="2">
        <v>10</v>
      </c>
      <c r="I11" s="14">
        <v>49615.565999999999</v>
      </c>
      <c r="J11" s="55">
        <f>IF(J$1&lt;$F11,(I11*(1+($D11/12)))-(-PMT($D11/12,$F11,$I11)),0)</f>
        <v>44713.679059200171</v>
      </c>
      <c r="K11" s="55">
        <f t="shared" si="14"/>
        <v>39798.626927452096</v>
      </c>
      <c r="L11" s="55">
        <f t="shared" si="14"/>
        <v>34870.374246483589</v>
      </c>
      <c r="M11" s="55">
        <f t="shared" si="14"/>
        <v>29928.88556305935</v>
      </c>
      <c r="N11" s="55">
        <f t="shared" si="14"/>
        <v>24974.125328725928</v>
      </c>
      <c r="O11" s="55">
        <f t="shared" si="14"/>
        <v>20006.057899555995</v>
      </c>
      <c r="P11" s="55">
        <f t="shared" si="14"/>
        <v>15024.647535891923</v>
      </c>
      <c r="Q11" s="55">
        <f t="shared" si="14"/>
        <v>10029.858402088674</v>
      </c>
      <c r="R11" s="55">
        <f t="shared" si="14"/>
        <v>5021.6545662560047</v>
      </c>
      <c r="S11" s="55">
        <f t="shared" si="14"/>
        <v>0</v>
      </c>
      <c r="T11" s="55">
        <f t="shared" si="14"/>
        <v>0</v>
      </c>
      <c r="U11" s="55">
        <f t="shared" si="14"/>
        <v>0</v>
      </c>
      <c r="V11" s="55">
        <f t="shared" si="14"/>
        <v>0</v>
      </c>
      <c r="W11" s="55">
        <f t="shared" si="14"/>
        <v>0</v>
      </c>
      <c r="X11" s="55">
        <f t="shared" si="14"/>
        <v>0</v>
      </c>
      <c r="Y11" s="55">
        <f t="shared" si="14"/>
        <v>0</v>
      </c>
      <c r="Z11" s="55">
        <f t="shared" si="14"/>
        <v>0</v>
      </c>
      <c r="AA11" s="55">
        <f t="shared" si="14"/>
        <v>0</v>
      </c>
      <c r="AB11" s="55">
        <f t="shared" si="14"/>
        <v>0</v>
      </c>
      <c r="AC11" s="55">
        <f t="shared" si="14"/>
        <v>0</v>
      </c>
      <c r="AD11" s="55">
        <f t="shared" si="14"/>
        <v>0</v>
      </c>
      <c r="AE11" s="55">
        <f t="shared" si="14"/>
        <v>0</v>
      </c>
      <c r="AF11" s="55">
        <f t="shared" si="14"/>
        <v>0</v>
      </c>
      <c r="AG11" s="55">
        <f t="shared" si="14"/>
        <v>0</v>
      </c>
      <c r="AH11" s="55">
        <f t="shared" si="14"/>
        <v>0</v>
      </c>
      <c r="AI11" s="55">
        <f t="shared" si="14"/>
        <v>0</v>
      </c>
      <c r="AJ11" s="55">
        <f t="shared" si="14"/>
        <v>0</v>
      </c>
      <c r="AK11" s="55">
        <f t="shared" si="14"/>
        <v>0</v>
      </c>
      <c r="AL11" s="55">
        <f t="shared" si="14"/>
        <v>0</v>
      </c>
      <c r="AM11" s="55">
        <f t="shared" si="14"/>
        <v>0</v>
      </c>
      <c r="AN11" s="55">
        <f t="shared" si="14"/>
        <v>0</v>
      </c>
      <c r="AO11" s="55">
        <f t="shared" si="14"/>
        <v>0</v>
      </c>
      <c r="AP11" s="55">
        <f t="shared" si="14"/>
        <v>0</v>
      </c>
      <c r="AQ11" s="55">
        <f t="shared" si="14"/>
        <v>0</v>
      </c>
      <c r="AR11" s="55">
        <f t="shared" si="14"/>
        <v>0</v>
      </c>
      <c r="AS11" s="55">
        <f t="shared" si="14"/>
        <v>0</v>
      </c>
      <c r="AT11" s="55">
        <f t="shared" si="14"/>
        <v>0</v>
      </c>
      <c r="AU11" s="55">
        <f t="shared" si="14"/>
        <v>0</v>
      </c>
      <c r="AV11" s="55">
        <f t="shared" si="14"/>
        <v>0</v>
      </c>
      <c r="AW11" s="55">
        <f t="shared" si="14"/>
        <v>0</v>
      </c>
      <c r="AX11" s="55">
        <f t="shared" si="14"/>
        <v>0</v>
      </c>
      <c r="AY11" s="55">
        <f t="shared" si="14"/>
        <v>0</v>
      </c>
      <c r="AZ11" s="55">
        <f t="shared" si="14"/>
        <v>0</v>
      </c>
      <c r="BA11" s="55">
        <f t="shared" si="14"/>
        <v>0</v>
      </c>
      <c r="BB11" s="55">
        <f t="shared" si="14"/>
        <v>0</v>
      </c>
      <c r="BC11" s="55">
        <f t="shared" si="14"/>
        <v>0</v>
      </c>
      <c r="BD11" s="55">
        <f t="shared" si="14"/>
        <v>0</v>
      </c>
      <c r="BE11" s="55">
        <f t="shared" si="14"/>
        <v>0</v>
      </c>
      <c r="BF11" s="55">
        <f t="shared" si="14"/>
        <v>0</v>
      </c>
      <c r="BG11" s="55">
        <f t="shared" si="14"/>
        <v>0</v>
      </c>
      <c r="BH11" s="55">
        <f t="shared" si="14"/>
        <v>0</v>
      </c>
      <c r="BI11" s="55">
        <f t="shared" si="14"/>
        <v>0</v>
      </c>
      <c r="BJ11" s="55">
        <f t="shared" si="14"/>
        <v>0</v>
      </c>
      <c r="BK11" s="55">
        <f t="shared" si="14"/>
        <v>0</v>
      </c>
      <c r="BL11" s="55">
        <f t="shared" si="14"/>
        <v>0</v>
      </c>
      <c r="BM11" s="55">
        <f t="shared" si="14"/>
        <v>0</v>
      </c>
      <c r="BN11" s="55">
        <f t="shared" si="14"/>
        <v>0</v>
      </c>
      <c r="BO11" s="55">
        <f t="shared" si="14"/>
        <v>0</v>
      </c>
      <c r="BP11" s="55">
        <f t="shared" si="14"/>
        <v>0</v>
      </c>
      <c r="BQ11" s="55">
        <f t="shared" si="14"/>
        <v>0</v>
      </c>
      <c r="BR11" s="55">
        <f t="shared" si="14"/>
        <v>0</v>
      </c>
      <c r="BS11" s="55">
        <f t="shared" si="14"/>
        <v>0</v>
      </c>
      <c r="BT11" s="55">
        <f t="shared" si="14"/>
        <v>0</v>
      </c>
      <c r="BU11" s="55">
        <f t="shared" si="14"/>
        <v>0</v>
      </c>
      <c r="BV11" s="55">
        <f t="shared" si="14"/>
        <v>0</v>
      </c>
      <c r="BW11" s="55">
        <f t="shared" si="15"/>
        <v>0</v>
      </c>
      <c r="BX11" s="55">
        <f t="shared" si="15"/>
        <v>0</v>
      </c>
      <c r="BY11" s="55">
        <f t="shared" si="15"/>
        <v>0</v>
      </c>
      <c r="BZ11" s="55">
        <f t="shared" si="15"/>
        <v>0</v>
      </c>
      <c r="CA11" s="55">
        <f t="shared" si="15"/>
        <v>0</v>
      </c>
      <c r="CB11" s="55">
        <f t="shared" si="15"/>
        <v>0</v>
      </c>
      <c r="CC11" s="55">
        <f t="shared" si="15"/>
        <v>0</v>
      </c>
      <c r="CD11" s="55">
        <f t="shared" si="15"/>
        <v>0</v>
      </c>
      <c r="CE11" s="55">
        <f t="shared" si="15"/>
        <v>0</v>
      </c>
      <c r="CF11" s="55">
        <f t="shared" si="15"/>
        <v>0</v>
      </c>
      <c r="CG11" s="55">
        <f t="shared" si="15"/>
        <v>0</v>
      </c>
      <c r="CH11" s="55">
        <f t="shared" si="15"/>
        <v>0</v>
      </c>
      <c r="CI11" s="55">
        <f t="shared" si="15"/>
        <v>0</v>
      </c>
      <c r="CJ11" s="55">
        <f t="shared" si="15"/>
        <v>0</v>
      </c>
      <c r="CK11" s="55">
        <f t="shared" si="15"/>
        <v>0</v>
      </c>
      <c r="CL11" s="55">
        <f t="shared" si="15"/>
        <v>0</v>
      </c>
      <c r="CM11" s="55">
        <f t="shared" si="15"/>
        <v>0</v>
      </c>
      <c r="CN11" s="55">
        <f t="shared" si="15"/>
        <v>0</v>
      </c>
      <c r="CO11" s="55">
        <f t="shared" si="15"/>
        <v>0</v>
      </c>
      <c r="CP11" s="55">
        <f t="shared" si="15"/>
        <v>0</v>
      </c>
      <c r="CQ11" s="55">
        <f t="shared" si="15"/>
        <v>0</v>
      </c>
      <c r="CR11" s="55">
        <f t="shared" si="15"/>
        <v>0</v>
      </c>
      <c r="CS11" s="55">
        <f t="shared" si="15"/>
        <v>0</v>
      </c>
      <c r="CT11" s="55">
        <f t="shared" si="15"/>
        <v>0</v>
      </c>
      <c r="CU11" s="55">
        <f t="shared" si="15"/>
        <v>0</v>
      </c>
      <c r="CV11" s="55">
        <f t="shared" si="15"/>
        <v>0</v>
      </c>
      <c r="CW11" s="55">
        <f t="shared" si="15"/>
        <v>0</v>
      </c>
      <c r="CX11" s="55">
        <f t="shared" si="15"/>
        <v>0</v>
      </c>
      <c r="CY11" s="55">
        <f t="shared" si="15"/>
        <v>0</v>
      </c>
      <c r="CZ11" s="55">
        <f t="shared" si="15"/>
        <v>0</v>
      </c>
      <c r="DA11" s="55">
        <f t="shared" si="15"/>
        <v>0</v>
      </c>
      <c r="DB11" s="55">
        <f t="shared" si="15"/>
        <v>0</v>
      </c>
      <c r="DC11" s="55">
        <f t="shared" si="15"/>
        <v>0</v>
      </c>
      <c r="DD11" s="55">
        <f t="shared" si="15"/>
        <v>0</v>
      </c>
      <c r="DE11" s="55">
        <f t="shared" si="15"/>
        <v>0</v>
      </c>
      <c r="DF11" s="55">
        <f t="shared" si="15"/>
        <v>0</v>
      </c>
      <c r="DG11" s="55">
        <f t="shared" si="15"/>
        <v>0</v>
      </c>
      <c r="DH11" s="55">
        <f t="shared" si="15"/>
        <v>0</v>
      </c>
      <c r="DI11" s="55">
        <f t="shared" si="15"/>
        <v>0</v>
      </c>
      <c r="DJ11" s="55">
        <f t="shared" si="15"/>
        <v>0</v>
      </c>
      <c r="DK11" s="55">
        <f t="shared" si="15"/>
        <v>0</v>
      </c>
      <c r="DL11" s="55">
        <f t="shared" si="15"/>
        <v>0</v>
      </c>
      <c r="DM11" s="55">
        <f t="shared" si="15"/>
        <v>0</v>
      </c>
      <c r="DN11" s="55">
        <f t="shared" si="15"/>
        <v>0</v>
      </c>
      <c r="DO11" s="55">
        <f t="shared" si="15"/>
        <v>0</v>
      </c>
      <c r="DP11" s="55">
        <f t="shared" si="15"/>
        <v>0</v>
      </c>
      <c r="DQ11" s="55">
        <f t="shared" si="15"/>
        <v>0</v>
      </c>
      <c r="DR11" s="55">
        <f t="shared" si="15"/>
        <v>0</v>
      </c>
      <c r="DS11" s="55">
        <f t="shared" si="15"/>
        <v>0</v>
      </c>
      <c r="DT11" s="55">
        <f t="shared" si="15"/>
        <v>0</v>
      </c>
      <c r="DU11" s="55">
        <f t="shared" si="15"/>
        <v>0</v>
      </c>
      <c r="DV11" s="55">
        <f t="shared" si="15"/>
        <v>0</v>
      </c>
      <c r="DW11" s="55">
        <f t="shared" si="15"/>
        <v>0</v>
      </c>
      <c r="DX11" s="55">
        <f t="shared" si="15"/>
        <v>0</v>
      </c>
      <c r="DY11" s="55">
        <f t="shared" si="15"/>
        <v>0</v>
      </c>
    </row>
    <row r="12" spans="1:129" x14ac:dyDescent="0.45">
      <c r="A12" s="3">
        <v>46022</v>
      </c>
      <c r="B12" s="2" t="s">
        <v>0</v>
      </c>
      <c r="C12" s="6" t="s">
        <v>10</v>
      </c>
      <c r="D12" s="17">
        <v>3.9912213044508871E-2</v>
      </c>
      <c r="E12" s="2" t="s">
        <v>45</v>
      </c>
      <c r="F12" s="2">
        <v>1</v>
      </c>
      <c r="G12" s="2" t="s">
        <v>45</v>
      </c>
      <c r="H12" s="2">
        <v>1</v>
      </c>
      <c r="I12" s="14">
        <v>75676.635999999999</v>
      </c>
      <c r="J12" s="55">
        <f t="shared" ref="J12:Y13" si="16">IF(J$1&lt;$F12,$I12,0)</f>
        <v>0</v>
      </c>
      <c r="K12" s="55">
        <f t="shared" si="16"/>
        <v>0</v>
      </c>
      <c r="L12" s="55">
        <f t="shared" si="16"/>
        <v>0</v>
      </c>
      <c r="M12" s="55">
        <f t="shared" si="16"/>
        <v>0</v>
      </c>
      <c r="N12" s="55">
        <f t="shared" si="16"/>
        <v>0</v>
      </c>
      <c r="O12" s="55">
        <f t="shared" si="16"/>
        <v>0</v>
      </c>
      <c r="P12" s="55">
        <f t="shared" si="16"/>
        <v>0</v>
      </c>
      <c r="Q12" s="55">
        <f t="shared" si="16"/>
        <v>0</v>
      </c>
      <c r="R12" s="55">
        <f t="shared" si="16"/>
        <v>0</v>
      </c>
      <c r="S12" s="55">
        <f t="shared" si="16"/>
        <v>0</v>
      </c>
      <c r="T12" s="55">
        <f t="shared" si="16"/>
        <v>0</v>
      </c>
      <c r="U12" s="55">
        <f t="shared" si="16"/>
        <v>0</v>
      </c>
      <c r="V12" s="55">
        <f t="shared" si="16"/>
        <v>0</v>
      </c>
      <c r="W12" s="55">
        <f t="shared" si="16"/>
        <v>0</v>
      </c>
      <c r="X12" s="55">
        <f t="shared" si="16"/>
        <v>0</v>
      </c>
      <c r="Y12" s="55">
        <f t="shared" si="16"/>
        <v>0</v>
      </c>
      <c r="Z12" s="55">
        <f t="shared" ref="Z12:CK13" si="17">IF(Z$1&lt;$F12,$I12,0)</f>
        <v>0</v>
      </c>
      <c r="AA12" s="55">
        <f t="shared" si="17"/>
        <v>0</v>
      </c>
      <c r="AB12" s="55">
        <f t="shared" si="17"/>
        <v>0</v>
      </c>
      <c r="AC12" s="55">
        <f t="shared" si="17"/>
        <v>0</v>
      </c>
      <c r="AD12" s="55">
        <f t="shared" si="17"/>
        <v>0</v>
      </c>
      <c r="AE12" s="55">
        <f t="shared" si="17"/>
        <v>0</v>
      </c>
      <c r="AF12" s="55">
        <f t="shared" si="17"/>
        <v>0</v>
      </c>
      <c r="AG12" s="55">
        <f t="shared" si="17"/>
        <v>0</v>
      </c>
      <c r="AH12" s="55">
        <f t="shared" si="17"/>
        <v>0</v>
      </c>
      <c r="AI12" s="55">
        <f t="shared" si="17"/>
        <v>0</v>
      </c>
      <c r="AJ12" s="55">
        <f t="shared" si="17"/>
        <v>0</v>
      </c>
      <c r="AK12" s="55">
        <f t="shared" si="17"/>
        <v>0</v>
      </c>
      <c r="AL12" s="55">
        <f t="shared" si="17"/>
        <v>0</v>
      </c>
      <c r="AM12" s="55">
        <f t="shared" si="17"/>
        <v>0</v>
      </c>
      <c r="AN12" s="55">
        <f t="shared" si="17"/>
        <v>0</v>
      </c>
      <c r="AO12" s="55">
        <f t="shared" si="17"/>
        <v>0</v>
      </c>
      <c r="AP12" s="55">
        <f t="shared" si="17"/>
        <v>0</v>
      </c>
      <c r="AQ12" s="55">
        <f t="shared" si="17"/>
        <v>0</v>
      </c>
      <c r="AR12" s="55">
        <f t="shared" si="17"/>
        <v>0</v>
      </c>
      <c r="AS12" s="55">
        <f t="shared" si="17"/>
        <v>0</v>
      </c>
      <c r="AT12" s="55">
        <f t="shared" si="17"/>
        <v>0</v>
      </c>
      <c r="AU12" s="55">
        <f t="shared" si="17"/>
        <v>0</v>
      </c>
      <c r="AV12" s="55">
        <f t="shared" si="17"/>
        <v>0</v>
      </c>
      <c r="AW12" s="55">
        <f t="shared" si="17"/>
        <v>0</v>
      </c>
      <c r="AX12" s="55">
        <f t="shared" si="17"/>
        <v>0</v>
      </c>
      <c r="AY12" s="55">
        <f t="shared" si="17"/>
        <v>0</v>
      </c>
      <c r="AZ12" s="55">
        <f t="shared" si="17"/>
        <v>0</v>
      </c>
      <c r="BA12" s="55">
        <f t="shared" si="17"/>
        <v>0</v>
      </c>
      <c r="BB12" s="55">
        <f t="shared" si="17"/>
        <v>0</v>
      </c>
      <c r="BC12" s="55">
        <f t="shared" si="17"/>
        <v>0</v>
      </c>
      <c r="BD12" s="55">
        <f t="shared" si="17"/>
        <v>0</v>
      </c>
      <c r="BE12" s="55">
        <f t="shared" si="17"/>
        <v>0</v>
      </c>
      <c r="BF12" s="55">
        <f t="shared" si="17"/>
        <v>0</v>
      </c>
      <c r="BG12" s="55">
        <f t="shared" si="17"/>
        <v>0</v>
      </c>
      <c r="BH12" s="55">
        <f t="shared" si="17"/>
        <v>0</v>
      </c>
      <c r="BI12" s="55">
        <f t="shared" si="17"/>
        <v>0</v>
      </c>
      <c r="BJ12" s="55">
        <f t="shared" si="17"/>
        <v>0</v>
      </c>
      <c r="BK12" s="55">
        <f t="shared" si="17"/>
        <v>0</v>
      </c>
      <c r="BL12" s="55">
        <f t="shared" si="17"/>
        <v>0</v>
      </c>
      <c r="BM12" s="55">
        <f t="shared" si="17"/>
        <v>0</v>
      </c>
      <c r="BN12" s="55">
        <f t="shared" si="17"/>
        <v>0</v>
      </c>
      <c r="BO12" s="55">
        <f t="shared" si="17"/>
        <v>0</v>
      </c>
      <c r="BP12" s="55">
        <f t="shared" si="17"/>
        <v>0</v>
      </c>
      <c r="BQ12" s="55">
        <f t="shared" si="17"/>
        <v>0</v>
      </c>
      <c r="BR12" s="55">
        <f t="shared" si="17"/>
        <v>0</v>
      </c>
      <c r="BS12" s="55">
        <f t="shared" si="17"/>
        <v>0</v>
      </c>
      <c r="BT12" s="55">
        <f t="shared" si="17"/>
        <v>0</v>
      </c>
      <c r="BU12" s="55">
        <f t="shared" si="17"/>
        <v>0</v>
      </c>
      <c r="BV12" s="55">
        <f t="shared" si="17"/>
        <v>0</v>
      </c>
      <c r="BW12" s="55">
        <f t="shared" si="17"/>
        <v>0</v>
      </c>
      <c r="BX12" s="55">
        <f t="shared" si="17"/>
        <v>0</v>
      </c>
      <c r="BY12" s="55">
        <f t="shared" si="17"/>
        <v>0</v>
      </c>
      <c r="BZ12" s="55">
        <f t="shared" si="17"/>
        <v>0</v>
      </c>
      <c r="CA12" s="55">
        <f t="shared" si="17"/>
        <v>0</v>
      </c>
      <c r="CB12" s="55">
        <f t="shared" si="17"/>
        <v>0</v>
      </c>
      <c r="CC12" s="55">
        <f t="shared" si="17"/>
        <v>0</v>
      </c>
      <c r="CD12" s="55">
        <f t="shared" si="17"/>
        <v>0</v>
      </c>
      <c r="CE12" s="55">
        <f t="shared" si="17"/>
        <v>0</v>
      </c>
      <c r="CF12" s="55">
        <f t="shared" si="17"/>
        <v>0</v>
      </c>
      <c r="CG12" s="55">
        <f t="shared" si="17"/>
        <v>0</v>
      </c>
      <c r="CH12" s="55">
        <f t="shared" si="17"/>
        <v>0</v>
      </c>
      <c r="CI12" s="55">
        <f t="shared" si="17"/>
        <v>0</v>
      </c>
      <c r="CJ12" s="55">
        <f t="shared" si="17"/>
        <v>0</v>
      </c>
      <c r="CK12" s="55">
        <f t="shared" si="17"/>
        <v>0</v>
      </c>
      <c r="CL12" s="55">
        <f t="shared" ref="CL12:DY13" si="18">IF(CL$1&lt;$F12,$I12,0)</f>
        <v>0</v>
      </c>
      <c r="CM12" s="55">
        <f t="shared" si="18"/>
        <v>0</v>
      </c>
      <c r="CN12" s="55">
        <f t="shared" si="18"/>
        <v>0</v>
      </c>
      <c r="CO12" s="55">
        <f t="shared" si="18"/>
        <v>0</v>
      </c>
      <c r="CP12" s="55">
        <f t="shared" si="18"/>
        <v>0</v>
      </c>
      <c r="CQ12" s="55">
        <f t="shared" si="18"/>
        <v>0</v>
      </c>
      <c r="CR12" s="55">
        <f t="shared" si="18"/>
        <v>0</v>
      </c>
      <c r="CS12" s="55">
        <f t="shared" si="18"/>
        <v>0</v>
      </c>
      <c r="CT12" s="55">
        <f t="shared" si="18"/>
        <v>0</v>
      </c>
      <c r="CU12" s="55">
        <f t="shared" si="18"/>
        <v>0</v>
      </c>
      <c r="CV12" s="55">
        <f t="shared" si="18"/>
        <v>0</v>
      </c>
      <c r="CW12" s="55">
        <f t="shared" si="18"/>
        <v>0</v>
      </c>
      <c r="CX12" s="55">
        <f t="shared" si="18"/>
        <v>0</v>
      </c>
      <c r="CY12" s="55">
        <f t="shared" si="18"/>
        <v>0</v>
      </c>
      <c r="CZ12" s="55">
        <f t="shared" si="18"/>
        <v>0</v>
      </c>
      <c r="DA12" s="55">
        <f t="shared" si="18"/>
        <v>0</v>
      </c>
      <c r="DB12" s="55">
        <f t="shared" si="18"/>
        <v>0</v>
      </c>
      <c r="DC12" s="55">
        <f t="shared" si="18"/>
        <v>0</v>
      </c>
      <c r="DD12" s="55">
        <f t="shared" si="18"/>
        <v>0</v>
      </c>
      <c r="DE12" s="55">
        <f t="shared" si="18"/>
        <v>0</v>
      </c>
      <c r="DF12" s="55">
        <f t="shared" si="18"/>
        <v>0</v>
      </c>
      <c r="DG12" s="55">
        <f t="shared" si="18"/>
        <v>0</v>
      </c>
      <c r="DH12" s="55">
        <f t="shared" si="18"/>
        <v>0</v>
      </c>
      <c r="DI12" s="55">
        <f t="shared" si="18"/>
        <v>0</v>
      </c>
      <c r="DJ12" s="55">
        <f t="shared" si="18"/>
        <v>0</v>
      </c>
      <c r="DK12" s="55">
        <f t="shared" si="18"/>
        <v>0</v>
      </c>
      <c r="DL12" s="55">
        <f t="shared" si="18"/>
        <v>0</v>
      </c>
      <c r="DM12" s="55">
        <f t="shared" si="18"/>
        <v>0</v>
      </c>
      <c r="DN12" s="55">
        <f t="shared" si="18"/>
        <v>0</v>
      </c>
      <c r="DO12" s="55">
        <f t="shared" si="18"/>
        <v>0</v>
      </c>
      <c r="DP12" s="55">
        <f t="shared" si="18"/>
        <v>0</v>
      </c>
      <c r="DQ12" s="55">
        <f t="shared" si="18"/>
        <v>0</v>
      </c>
      <c r="DR12" s="55">
        <f t="shared" si="18"/>
        <v>0</v>
      </c>
      <c r="DS12" s="55">
        <f t="shared" si="18"/>
        <v>0</v>
      </c>
      <c r="DT12" s="55">
        <f t="shared" si="18"/>
        <v>0</v>
      </c>
      <c r="DU12" s="55">
        <f t="shared" si="18"/>
        <v>0</v>
      </c>
      <c r="DV12" s="55">
        <f t="shared" si="18"/>
        <v>0</v>
      </c>
      <c r="DW12" s="55">
        <f t="shared" si="18"/>
        <v>0</v>
      </c>
      <c r="DX12" s="55">
        <f t="shared" si="18"/>
        <v>0</v>
      </c>
      <c r="DY12" s="55">
        <f t="shared" si="18"/>
        <v>0</v>
      </c>
    </row>
    <row r="13" spans="1:129" x14ac:dyDescent="0.45">
      <c r="A13" s="3">
        <v>46022</v>
      </c>
      <c r="B13" s="2" t="s">
        <v>0</v>
      </c>
      <c r="C13" s="4" t="s">
        <v>11</v>
      </c>
      <c r="D13" s="17">
        <v>0.05</v>
      </c>
      <c r="E13" s="2" t="s">
        <v>47</v>
      </c>
      <c r="F13" s="2">
        <v>84</v>
      </c>
      <c r="G13" s="2" t="s">
        <v>47</v>
      </c>
      <c r="H13" s="2">
        <v>84</v>
      </c>
      <c r="I13" s="13">
        <v>28</v>
      </c>
      <c r="J13" s="58">
        <f t="shared" si="16"/>
        <v>28</v>
      </c>
      <c r="K13" s="58">
        <f t="shared" ref="K13:BV13" si="19">IF(K$1&lt;$F13,$I13,0)</f>
        <v>28</v>
      </c>
      <c r="L13" s="58">
        <f t="shared" si="19"/>
        <v>28</v>
      </c>
      <c r="M13" s="58">
        <f t="shared" si="19"/>
        <v>28</v>
      </c>
      <c r="N13" s="58">
        <f t="shared" si="19"/>
        <v>28</v>
      </c>
      <c r="O13" s="58">
        <f t="shared" si="19"/>
        <v>28</v>
      </c>
      <c r="P13" s="58">
        <f t="shared" si="19"/>
        <v>28</v>
      </c>
      <c r="Q13" s="58">
        <f t="shared" si="19"/>
        <v>28</v>
      </c>
      <c r="R13" s="58">
        <f t="shared" si="19"/>
        <v>28</v>
      </c>
      <c r="S13" s="58">
        <f t="shared" si="19"/>
        <v>28</v>
      </c>
      <c r="T13" s="58">
        <f t="shared" si="19"/>
        <v>28</v>
      </c>
      <c r="U13" s="58">
        <f t="shared" si="19"/>
        <v>28</v>
      </c>
      <c r="V13" s="58">
        <f t="shared" si="19"/>
        <v>28</v>
      </c>
      <c r="W13" s="58">
        <f t="shared" si="19"/>
        <v>28</v>
      </c>
      <c r="X13" s="58">
        <f t="shared" si="19"/>
        <v>28</v>
      </c>
      <c r="Y13" s="58">
        <f t="shared" si="19"/>
        <v>28</v>
      </c>
      <c r="Z13" s="58">
        <f t="shared" si="19"/>
        <v>28</v>
      </c>
      <c r="AA13" s="58">
        <f t="shared" si="19"/>
        <v>28</v>
      </c>
      <c r="AB13" s="58">
        <f t="shared" si="19"/>
        <v>28</v>
      </c>
      <c r="AC13" s="58">
        <f t="shared" si="19"/>
        <v>28</v>
      </c>
      <c r="AD13" s="58">
        <f t="shared" si="19"/>
        <v>28</v>
      </c>
      <c r="AE13" s="58">
        <f t="shared" si="19"/>
        <v>28</v>
      </c>
      <c r="AF13" s="58">
        <f t="shared" si="19"/>
        <v>28</v>
      </c>
      <c r="AG13" s="58">
        <f t="shared" si="19"/>
        <v>28</v>
      </c>
      <c r="AH13" s="58">
        <f t="shared" si="19"/>
        <v>28</v>
      </c>
      <c r="AI13" s="58">
        <f t="shared" si="19"/>
        <v>28</v>
      </c>
      <c r="AJ13" s="58">
        <f t="shared" si="19"/>
        <v>28</v>
      </c>
      <c r="AK13" s="58">
        <f t="shared" si="19"/>
        <v>28</v>
      </c>
      <c r="AL13" s="58">
        <f t="shared" si="19"/>
        <v>28</v>
      </c>
      <c r="AM13" s="58">
        <f t="shared" si="19"/>
        <v>28</v>
      </c>
      <c r="AN13" s="58">
        <f t="shared" si="19"/>
        <v>28</v>
      </c>
      <c r="AO13" s="58">
        <f t="shared" si="19"/>
        <v>28</v>
      </c>
      <c r="AP13" s="58">
        <f t="shared" si="19"/>
        <v>28</v>
      </c>
      <c r="AQ13" s="58">
        <f t="shared" si="19"/>
        <v>28</v>
      </c>
      <c r="AR13" s="58">
        <f t="shared" si="19"/>
        <v>28</v>
      </c>
      <c r="AS13" s="58">
        <f t="shared" si="19"/>
        <v>28</v>
      </c>
      <c r="AT13" s="58">
        <f t="shared" si="19"/>
        <v>28</v>
      </c>
      <c r="AU13" s="58">
        <f t="shared" si="19"/>
        <v>28</v>
      </c>
      <c r="AV13" s="58">
        <f t="shared" si="19"/>
        <v>28</v>
      </c>
      <c r="AW13" s="58">
        <f t="shared" si="19"/>
        <v>28</v>
      </c>
      <c r="AX13" s="58">
        <f t="shared" si="19"/>
        <v>28</v>
      </c>
      <c r="AY13" s="58">
        <f t="shared" si="19"/>
        <v>28</v>
      </c>
      <c r="AZ13" s="58">
        <f t="shared" si="19"/>
        <v>28</v>
      </c>
      <c r="BA13" s="58">
        <f t="shared" si="19"/>
        <v>28</v>
      </c>
      <c r="BB13" s="58">
        <f t="shared" si="19"/>
        <v>28</v>
      </c>
      <c r="BC13" s="58">
        <f t="shared" si="19"/>
        <v>28</v>
      </c>
      <c r="BD13" s="58">
        <f t="shared" si="19"/>
        <v>28</v>
      </c>
      <c r="BE13" s="58">
        <f t="shared" si="19"/>
        <v>28</v>
      </c>
      <c r="BF13" s="58">
        <f t="shared" si="19"/>
        <v>28</v>
      </c>
      <c r="BG13" s="58">
        <f t="shared" si="19"/>
        <v>28</v>
      </c>
      <c r="BH13" s="58">
        <f t="shared" si="19"/>
        <v>28</v>
      </c>
      <c r="BI13" s="58">
        <f t="shared" si="19"/>
        <v>28</v>
      </c>
      <c r="BJ13" s="58">
        <f t="shared" si="19"/>
        <v>28</v>
      </c>
      <c r="BK13" s="58">
        <f t="shared" si="19"/>
        <v>28</v>
      </c>
      <c r="BL13" s="58">
        <f t="shared" si="19"/>
        <v>28</v>
      </c>
      <c r="BM13" s="58">
        <f t="shared" si="19"/>
        <v>28</v>
      </c>
      <c r="BN13" s="58">
        <f t="shared" si="19"/>
        <v>28</v>
      </c>
      <c r="BO13" s="58">
        <f t="shared" si="19"/>
        <v>28</v>
      </c>
      <c r="BP13" s="58">
        <f t="shared" si="19"/>
        <v>28</v>
      </c>
      <c r="BQ13" s="58">
        <f t="shared" si="19"/>
        <v>28</v>
      </c>
      <c r="BR13" s="58">
        <f t="shared" si="19"/>
        <v>28</v>
      </c>
      <c r="BS13" s="58">
        <f t="shared" si="19"/>
        <v>28</v>
      </c>
      <c r="BT13" s="58">
        <f t="shared" si="19"/>
        <v>28</v>
      </c>
      <c r="BU13" s="58">
        <f t="shared" si="19"/>
        <v>28</v>
      </c>
      <c r="BV13" s="58">
        <f t="shared" si="19"/>
        <v>28</v>
      </c>
      <c r="BW13" s="58">
        <f t="shared" si="17"/>
        <v>28</v>
      </c>
      <c r="BX13" s="58">
        <f t="shared" si="17"/>
        <v>28</v>
      </c>
      <c r="BY13" s="58">
        <f t="shared" si="17"/>
        <v>28</v>
      </c>
      <c r="BZ13" s="58">
        <f t="shared" si="17"/>
        <v>28</v>
      </c>
      <c r="CA13" s="58">
        <f t="shared" si="17"/>
        <v>28</v>
      </c>
      <c r="CB13" s="58">
        <f t="shared" si="17"/>
        <v>28</v>
      </c>
      <c r="CC13" s="58">
        <f t="shared" si="17"/>
        <v>28</v>
      </c>
      <c r="CD13" s="58">
        <f t="shared" si="17"/>
        <v>28</v>
      </c>
      <c r="CE13" s="58">
        <f t="shared" si="17"/>
        <v>28</v>
      </c>
      <c r="CF13" s="58">
        <f t="shared" si="17"/>
        <v>28</v>
      </c>
      <c r="CG13" s="58">
        <f t="shared" si="17"/>
        <v>28</v>
      </c>
      <c r="CH13" s="58">
        <f t="shared" si="17"/>
        <v>28</v>
      </c>
      <c r="CI13" s="58">
        <f t="shared" si="17"/>
        <v>28</v>
      </c>
      <c r="CJ13" s="58">
        <f t="shared" si="17"/>
        <v>28</v>
      </c>
      <c r="CK13" s="58">
        <f t="shared" si="17"/>
        <v>28</v>
      </c>
      <c r="CL13" s="58">
        <f t="shared" si="18"/>
        <v>28</v>
      </c>
      <c r="CM13" s="58">
        <f t="shared" si="18"/>
        <v>28</v>
      </c>
      <c r="CN13" s="58">
        <f t="shared" si="18"/>
        <v>28</v>
      </c>
      <c r="CO13" s="58">
        <f t="shared" si="18"/>
        <v>0</v>
      </c>
      <c r="CP13" s="58">
        <f t="shared" si="18"/>
        <v>0</v>
      </c>
      <c r="CQ13" s="58">
        <f t="shared" si="18"/>
        <v>0</v>
      </c>
      <c r="CR13" s="58">
        <f t="shared" si="18"/>
        <v>0</v>
      </c>
      <c r="CS13" s="58">
        <f t="shared" si="18"/>
        <v>0</v>
      </c>
      <c r="CT13" s="58">
        <f t="shared" si="18"/>
        <v>0</v>
      </c>
      <c r="CU13" s="58">
        <f t="shared" si="18"/>
        <v>0</v>
      </c>
      <c r="CV13" s="58">
        <f t="shared" si="18"/>
        <v>0</v>
      </c>
      <c r="CW13" s="58">
        <f t="shared" si="18"/>
        <v>0</v>
      </c>
      <c r="CX13" s="58">
        <f t="shared" si="18"/>
        <v>0</v>
      </c>
      <c r="CY13" s="58">
        <f t="shared" si="18"/>
        <v>0</v>
      </c>
      <c r="CZ13" s="58">
        <f t="shared" si="18"/>
        <v>0</v>
      </c>
      <c r="DA13" s="58">
        <f t="shared" si="18"/>
        <v>0</v>
      </c>
      <c r="DB13" s="58">
        <f t="shared" si="18"/>
        <v>0</v>
      </c>
      <c r="DC13" s="58">
        <f t="shared" si="18"/>
        <v>0</v>
      </c>
      <c r="DD13" s="58">
        <f t="shared" si="18"/>
        <v>0</v>
      </c>
      <c r="DE13" s="58">
        <f t="shared" si="18"/>
        <v>0</v>
      </c>
      <c r="DF13" s="58">
        <f t="shared" si="18"/>
        <v>0</v>
      </c>
      <c r="DG13" s="58">
        <f t="shared" si="18"/>
        <v>0</v>
      </c>
      <c r="DH13" s="58">
        <f t="shared" si="18"/>
        <v>0</v>
      </c>
      <c r="DI13" s="58">
        <f t="shared" si="18"/>
        <v>0</v>
      </c>
      <c r="DJ13" s="58">
        <f t="shared" si="18"/>
        <v>0</v>
      </c>
      <c r="DK13" s="58">
        <f t="shared" si="18"/>
        <v>0</v>
      </c>
      <c r="DL13" s="58">
        <f t="shared" si="18"/>
        <v>0</v>
      </c>
      <c r="DM13" s="58">
        <f t="shared" si="18"/>
        <v>0</v>
      </c>
      <c r="DN13" s="58">
        <f t="shared" si="18"/>
        <v>0</v>
      </c>
      <c r="DO13" s="58">
        <f t="shared" si="18"/>
        <v>0</v>
      </c>
      <c r="DP13" s="58">
        <f t="shared" si="18"/>
        <v>0</v>
      </c>
      <c r="DQ13" s="58">
        <f t="shared" si="18"/>
        <v>0</v>
      </c>
      <c r="DR13" s="58">
        <f t="shared" si="18"/>
        <v>0</v>
      </c>
      <c r="DS13" s="58">
        <f t="shared" si="18"/>
        <v>0</v>
      </c>
      <c r="DT13" s="58">
        <f t="shared" si="18"/>
        <v>0</v>
      </c>
      <c r="DU13" s="58">
        <f t="shared" si="18"/>
        <v>0</v>
      </c>
      <c r="DV13" s="58">
        <f t="shared" si="18"/>
        <v>0</v>
      </c>
      <c r="DW13" s="58">
        <f t="shared" si="18"/>
        <v>0</v>
      </c>
      <c r="DX13" s="58">
        <f t="shared" si="18"/>
        <v>0</v>
      </c>
      <c r="DY13" s="58">
        <f t="shared" si="18"/>
        <v>0</v>
      </c>
    </row>
    <row r="14" spans="1:129" x14ac:dyDescent="0.45">
      <c r="A14" s="3">
        <v>46022</v>
      </c>
      <c r="B14" s="2" t="s">
        <v>0</v>
      </c>
      <c r="C14" s="4" t="s">
        <v>12</v>
      </c>
      <c r="D14" s="17"/>
      <c r="E14" s="2" t="s">
        <v>43</v>
      </c>
      <c r="F14" s="2">
        <v>120</v>
      </c>
      <c r="G14" s="2" t="s">
        <v>43</v>
      </c>
      <c r="H14" s="2">
        <v>120</v>
      </c>
      <c r="I14" s="13">
        <v>82</v>
      </c>
      <c r="J14" s="58">
        <f t="shared" ref="J14:Y15" si="20">IF(J$1&lt;$F14,$I14*(($F14-J$1)/$F14),0)</f>
        <v>81.316666666666663</v>
      </c>
      <c r="K14" s="58">
        <f t="shared" si="20"/>
        <v>80.633333333333326</v>
      </c>
      <c r="L14" s="58">
        <f t="shared" si="20"/>
        <v>79.95</v>
      </c>
      <c r="M14" s="58">
        <f t="shared" si="20"/>
        <v>79.266666666666666</v>
      </c>
      <c r="N14" s="58">
        <f t="shared" si="20"/>
        <v>78.583333333333343</v>
      </c>
      <c r="O14" s="58">
        <f t="shared" si="20"/>
        <v>77.899999999999991</v>
      </c>
      <c r="P14" s="58">
        <f t="shared" si="20"/>
        <v>77.216666666666669</v>
      </c>
      <c r="Q14" s="58">
        <f t="shared" si="20"/>
        <v>76.533333333333331</v>
      </c>
      <c r="R14" s="58">
        <f t="shared" si="20"/>
        <v>75.850000000000009</v>
      </c>
      <c r="S14" s="58">
        <f t="shared" si="20"/>
        <v>75.166666666666657</v>
      </c>
      <c r="T14" s="58">
        <f t="shared" si="20"/>
        <v>74.483333333333334</v>
      </c>
      <c r="U14" s="58">
        <f t="shared" si="20"/>
        <v>73.8</v>
      </c>
      <c r="V14" s="58">
        <f t="shared" si="20"/>
        <v>73.116666666666674</v>
      </c>
      <c r="W14" s="58">
        <f t="shared" si="20"/>
        <v>72.433333333333337</v>
      </c>
      <c r="X14" s="58">
        <f t="shared" si="20"/>
        <v>71.75</v>
      </c>
      <c r="Y14" s="58">
        <f t="shared" si="20"/>
        <v>71.066666666666663</v>
      </c>
      <c r="Z14" s="58">
        <f t="shared" ref="Z14:CK15" si="21">IF(Z$1&lt;$F14,$I14*(($F14-Z$1)/$F14),0)</f>
        <v>70.383333333333326</v>
      </c>
      <c r="AA14" s="58">
        <f t="shared" si="21"/>
        <v>69.7</v>
      </c>
      <c r="AB14" s="58">
        <f t="shared" si="21"/>
        <v>69.016666666666666</v>
      </c>
      <c r="AC14" s="58">
        <f t="shared" si="21"/>
        <v>68.333333333333343</v>
      </c>
      <c r="AD14" s="58">
        <f t="shared" si="21"/>
        <v>67.649999999999991</v>
      </c>
      <c r="AE14" s="58">
        <f t="shared" si="21"/>
        <v>66.966666666666669</v>
      </c>
      <c r="AF14" s="58">
        <f t="shared" si="21"/>
        <v>66.283333333333331</v>
      </c>
      <c r="AG14" s="58">
        <f t="shared" si="21"/>
        <v>65.600000000000009</v>
      </c>
      <c r="AH14" s="58">
        <f t="shared" si="21"/>
        <v>64.916666666666657</v>
      </c>
      <c r="AI14" s="58">
        <f t="shared" si="21"/>
        <v>64.233333333333334</v>
      </c>
      <c r="AJ14" s="58">
        <f t="shared" si="21"/>
        <v>63.550000000000004</v>
      </c>
      <c r="AK14" s="58">
        <f t="shared" si="21"/>
        <v>62.866666666666674</v>
      </c>
      <c r="AL14" s="58">
        <f t="shared" si="21"/>
        <v>62.18333333333333</v>
      </c>
      <c r="AM14" s="58">
        <f t="shared" si="21"/>
        <v>61.5</v>
      </c>
      <c r="AN14" s="58">
        <f t="shared" si="21"/>
        <v>60.81666666666667</v>
      </c>
      <c r="AO14" s="58">
        <f t="shared" si="21"/>
        <v>60.133333333333326</v>
      </c>
      <c r="AP14" s="58">
        <f t="shared" si="21"/>
        <v>59.449999999999996</v>
      </c>
      <c r="AQ14" s="58">
        <f t="shared" si="21"/>
        <v>58.766666666666666</v>
      </c>
      <c r="AR14" s="58">
        <f t="shared" si="21"/>
        <v>58.083333333333336</v>
      </c>
      <c r="AS14" s="58">
        <f t="shared" si="21"/>
        <v>57.4</v>
      </c>
      <c r="AT14" s="58">
        <f t="shared" si="21"/>
        <v>56.716666666666669</v>
      </c>
      <c r="AU14" s="58">
        <f t="shared" si="21"/>
        <v>56.033333333333331</v>
      </c>
      <c r="AV14" s="58">
        <f t="shared" si="21"/>
        <v>55.35</v>
      </c>
      <c r="AW14" s="58">
        <f t="shared" si="21"/>
        <v>54.666666666666664</v>
      </c>
      <c r="AX14" s="58">
        <f t="shared" si="21"/>
        <v>53.983333333333334</v>
      </c>
      <c r="AY14" s="58">
        <f t="shared" si="21"/>
        <v>53.300000000000004</v>
      </c>
      <c r="AZ14" s="58">
        <f t="shared" si="21"/>
        <v>52.616666666666674</v>
      </c>
      <c r="BA14" s="58">
        <f t="shared" si="21"/>
        <v>51.93333333333333</v>
      </c>
      <c r="BB14" s="58">
        <f t="shared" si="21"/>
        <v>51.25</v>
      </c>
      <c r="BC14" s="58">
        <f t="shared" si="21"/>
        <v>50.56666666666667</v>
      </c>
      <c r="BD14" s="58">
        <f t="shared" si="21"/>
        <v>49.883333333333326</v>
      </c>
      <c r="BE14" s="58">
        <f t="shared" si="21"/>
        <v>49.199999999999996</v>
      </c>
      <c r="BF14" s="58">
        <f t="shared" si="21"/>
        <v>48.516666666666666</v>
      </c>
      <c r="BG14" s="58">
        <f t="shared" si="21"/>
        <v>47.833333333333336</v>
      </c>
      <c r="BH14" s="58">
        <f t="shared" si="21"/>
        <v>47.15</v>
      </c>
      <c r="BI14" s="58">
        <f t="shared" si="21"/>
        <v>46.466666666666669</v>
      </c>
      <c r="BJ14" s="58">
        <f t="shared" si="21"/>
        <v>45.783333333333331</v>
      </c>
      <c r="BK14" s="58">
        <f t="shared" si="21"/>
        <v>45.1</v>
      </c>
      <c r="BL14" s="58">
        <f t="shared" si="21"/>
        <v>44.416666666666664</v>
      </c>
      <c r="BM14" s="58">
        <f t="shared" si="21"/>
        <v>43.733333333333334</v>
      </c>
      <c r="BN14" s="58">
        <f t="shared" si="21"/>
        <v>43.050000000000004</v>
      </c>
      <c r="BO14" s="58">
        <f t="shared" si="21"/>
        <v>42.366666666666674</v>
      </c>
      <c r="BP14" s="58">
        <f t="shared" si="21"/>
        <v>41.68333333333333</v>
      </c>
      <c r="BQ14" s="58">
        <f t="shared" si="21"/>
        <v>41</v>
      </c>
      <c r="BR14" s="58">
        <f t="shared" si="21"/>
        <v>40.316666666666663</v>
      </c>
      <c r="BS14" s="58">
        <f t="shared" si="21"/>
        <v>39.633333333333333</v>
      </c>
      <c r="BT14" s="58">
        <f t="shared" si="21"/>
        <v>38.949999999999996</v>
      </c>
      <c r="BU14" s="58">
        <f t="shared" si="21"/>
        <v>38.266666666666666</v>
      </c>
      <c r="BV14" s="58">
        <f t="shared" si="21"/>
        <v>37.583333333333329</v>
      </c>
      <c r="BW14" s="58">
        <f t="shared" si="21"/>
        <v>36.9</v>
      </c>
      <c r="BX14" s="58">
        <f t="shared" si="21"/>
        <v>36.216666666666669</v>
      </c>
      <c r="BY14" s="58">
        <f t="shared" si="21"/>
        <v>35.533333333333331</v>
      </c>
      <c r="BZ14" s="58">
        <f t="shared" si="21"/>
        <v>34.85</v>
      </c>
      <c r="CA14" s="58">
        <f t="shared" si="21"/>
        <v>34.166666666666671</v>
      </c>
      <c r="CB14" s="58">
        <f t="shared" si="21"/>
        <v>33.483333333333334</v>
      </c>
      <c r="CC14" s="58">
        <f t="shared" si="21"/>
        <v>32.800000000000004</v>
      </c>
      <c r="CD14" s="58">
        <f t="shared" si="21"/>
        <v>32.116666666666667</v>
      </c>
      <c r="CE14" s="58">
        <f t="shared" si="21"/>
        <v>31.433333333333337</v>
      </c>
      <c r="CF14" s="58">
        <f t="shared" si="21"/>
        <v>30.75</v>
      </c>
      <c r="CG14" s="58">
        <f t="shared" si="21"/>
        <v>30.066666666666663</v>
      </c>
      <c r="CH14" s="58">
        <f t="shared" si="21"/>
        <v>29.383333333333333</v>
      </c>
      <c r="CI14" s="58">
        <f t="shared" si="21"/>
        <v>28.7</v>
      </c>
      <c r="CJ14" s="58">
        <f t="shared" si="21"/>
        <v>28.016666666666666</v>
      </c>
      <c r="CK14" s="58">
        <f t="shared" si="21"/>
        <v>27.333333333333332</v>
      </c>
      <c r="CL14" s="58">
        <f t="shared" ref="CL14:DY15" si="22">IF(CL$1&lt;$F14,$I14*(($F14-CL$1)/$F14),0)</f>
        <v>26.650000000000002</v>
      </c>
      <c r="CM14" s="58">
        <f t="shared" si="22"/>
        <v>25.966666666666665</v>
      </c>
      <c r="CN14" s="58">
        <f t="shared" si="22"/>
        <v>25.283333333333335</v>
      </c>
      <c r="CO14" s="58">
        <f t="shared" si="22"/>
        <v>24.599999999999998</v>
      </c>
      <c r="CP14" s="58">
        <f t="shared" si="22"/>
        <v>23.916666666666668</v>
      </c>
      <c r="CQ14" s="58">
        <f t="shared" si="22"/>
        <v>23.233333333333334</v>
      </c>
      <c r="CR14" s="58">
        <f t="shared" si="22"/>
        <v>22.55</v>
      </c>
      <c r="CS14" s="58">
        <f t="shared" si="22"/>
        <v>21.866666666666667</v>
      </c>
      <c r="CT14" s="58">
        <f t="shared" si="22"/>
        <v>21.183333333333337</v>
      </c>
      <c r="CU14" s="58">
        <f t="shared" si="22"/>
        <v>20.5</v>
      </c>
      <c r="CV14" s="58">
        <f t="shared" si="22"/>
        <v>19.816666666666666</v>
      </c>
      <c r="CW14" s="58">
        <f t="shared" si="22"/>
        <v>19.133333333333333</v>
      </c>
      <c r="CX14" s="58">
        <f t="shared" si="22"/>
        <v>18.45</v>
      </c>
      <c r="CY14" s="58">
        <f t="shared" si="22"/>
        <v>17.766666666666666</v>
      </c>
      <c r="CZ14" s="58">
        <f t="shared" si="22"/>
        <v>17.083333333333336</v>
      </c>
      <c r="DA14" s="58">
        <f t="shared" si="22"/>
        <v>16.400000000000002</v>
      </c>
      <c r="DB14" s="58">
        <f t="shared" si="22"/>
        <v>15.716666666666669</v>
      </c>
      <c r="DC14" s="58">
        <f t="shared" si="22"/>
        <v>15.033333333333331</v>
      </c>
      <c r="DD14" s="58">
        <f t="shared" si="22"/>
        <v>14.35</v>
      </c>
      <c r="DE14" s="58">
        <f t="shared" si="22"/>
        <v>13.666666666666666</v>
      </c>
      <c r="DF14" s="58">
        <f t="shared" si="22"/>
        <v>12.983333333333333</v>
      </c>
      <c r="DG14" s="58">
        <f t="shared" si="22"/>
        <v>12.299999999999999</v>
      </c>
      <c r="DH14" s="58">
        <f t="shared" si="22"/>
        <v>11.616666666666667</v>
      </c>
      <c r="DI14" s="58">
        <f t="shared" si="22"/>
        <v>10.933333333333334</v>
      </c>
      <c r="DJ14" s="58">
        <f t="shared" si="22"/>
        <v>10.25</v>
      </c>
      <c r="DK14" s="58">
        <f t="shared" si="22"/>
        <v>9.5666666666666664</v>
      </c>
      <c r="DL14" s="58">
        <f t="shared" si="22"/>
        <v>8.8833333333333329</v>
      </c>
      <c r="DM14" s="58">
        <f t="shared" si="22"/>
        <v>8.2000000000000011</v>
      </c>
      <c r="DN14" s="58">
        <f t="shared" si="22"/>
        <v>7.5166666666666657</v>
      </c>
      <c r="DO14" s="58">
        <f t="shared" si="22"/>
        <v>6.833333333333333</v>
      </c>
      <c r="DP14" s="58">
        <f t="shared" si="22"/>
        <v>6.1499999999999995</v>
      </c>
      <c r="DQ14" s="58">
        <f t="shared" si="22"/>
        <v>5.4666666666666668</v>
      </c>
      <c r="DR14" s="58">
        <f t="shared" si="22"/>
        <v>4.7833333333333332</v>
      </c>
      <c r="DS14" s="58">
        <f t="shared" si="22"/>
        <v>4.1000000000000005</v>
      </c>
      <c r="DT14" s="58">
        <f t="shared" si="22"/>
        <v>3.4166666666666665</v>
      </c>
      <c r="DU14" s="58">
        <f t="shared" si="22"/>
        <v>2.7333333333333334</v>
      </c>
      <c r="DV14" s="58">
        <f t="shared" si="22"/>
        <v>2.0500000000000003</v>
      </c>
      <c r="DW14" s="58">
        <f t="shared" si="22"/>
        <v>1.3666666666666667</v>
      </c>
      <c r="DX14" s="58">
        <f t="shared" si="22"/>
        <v>0.68333333333333335</v>
      </c>
      <c r="DY14" s="58">
        <f t="shared" si="22"/>
        <v>0</v>
      </c>
    </row>
    <row r="15" spans="1:129" x14ac:dyDescent="0.45">
      <c r="A15" s="3">
        <v>46022</v>
      </c>
      <c r="B15" s="2" t="s">
        <v>0</v>
      </c>
      <c r="C15" s="4" t="s">
        <v>13</v>
      </c>
      <c r="D15" s="17"/>
      <c r="E15" s="2" t="s">
        <v>43</v>
      </c>
      <c r="F15" s="2">
        <v>120</v>
      </c>
      <c r="G15" s="2" t="s">
        <v>43</v>
      </c>
      <c r="H15" s="2">
        <v>120</v>
      </c>
      <c r="I15" s="13">
        <v>570</v>
      </c>
      <c r="J15" s="58">
        <f t="shared" si="20"/>
        <v>565.25</v>
      </c>
      <c r="K15" s="58">
        <f t="shared" si="20"/>
        <v>560.5</v>
      </c>
      <c r="L15" s="58">
        <f t="shared" si="20"/>
        <v>555.75</v>
      </c>
      <c r="M15" s="58">
        <f t="shared" si="20"/>
        <v>551</v>
      </c>
      <c r="N15" s="58">
        <f t="shared" si="20"/>
        <v>546.25</v>
      </c>
      <c r="O15" s="58">
        <f t="shared" si="20"/>
        <v>541.5</v>
      </c>
      <c r="P15" s="58">
        <f t="shared" si="20"/>
        <v>536.75</v>
      </c>
      <c r="Q15" s="58">
        <f t="shared" si="20"/>
        <v>532</v>
      </c>
      <c r="R15" s="58">
        <f t="shared" si="20"/>
        <v>527.25</v>
      </c>
      <c r="S15" s="58">
        <f t="shared" si="20"/>
        <v>522.5</v>
      </c>
      <c r="T15" s="58">
        <f t="shared" si="20"/>
        <v>517.75</v>
      </c>
      <c r="U15" s="58">
        <f t="shared" si="20"/>
        <v>513</v>
      </c>
      <c r="V15" s="58">
        <f t="shared" si="20"/>
        <v>508.25000000000006</v>
      </c>
      <c r="W15" s="58">
        <f t="shared" si="20"/>
        <v>503.5</v>
      </c>
      <c r="X15" s="58">
        <f t="shared" si="20"/>
        <v>498.75</v>
      </c>
      <c r="Y15" s="58">
        <f t="shared" si="20"/>
        <v>494</v>
      </c>
      <c r="Z15" s="58">
        <f t="shared" si="21"/>
        <v>489.24999999999994</v>
      </c>
      <c r="AA15" s="58">
        <f t="shared" si="21"/>
        <v>484.5</v>
      </c>
      <c r="AB15" s="58">
        <f t="shared" si="21"/>
        <v>479.75</v>
      </c>
      <c r="AC15" s="58">
        <f t="shared" si="21"/>
        <v>475</v>
      </c>
      <c r="AD15" s="58">
        <f t="shared" si="21"/>
        <v>470.25</v>
      </c>
      <c r="AE15" s="58">
        <f t="shared" si="21"/>
        <v>465.5</v>
      </c>
      <c r="AF15" s="58">
        <f t="shared" si="21"/>
        <v>460.75</v>
      </c>
      <c r="AG15" s="58">
        <f t="shared" si="21"/>
        <v>456</v>
      </c>
      <c r="AH15" s="58">
        <f t="shared" si="21"/>
        <v>451.25</v>
      </c>
      <c r="AI15" s="58">
        <f t="shared" si="21"/>
        <v>446.5</v>
      </c>
      <c r="AJ15" s="58">
        <f t="shared" si="21"/>
        <v>441.75</v>
      </c>
      <c r="AK15" s="58">
        <f t="shared" si="21"/>
        <v>437.00000000000006</v>
      </c>
      <c r="AL15" s="58">
        <f t="shared" si="21"/>
        <v>432.25</v>
      </c>
      <c r="AM15" s="58">
        <f t="shared" si="21"/>
        <v>427.5</v>
      </c>
      <c r="AN15" s="58">
        <f t="shared" si="21"/>
        <v>422.75</v>
      </c>
      <c r="AO15" s="58">
        <f t="shared" si="21"/>
        <v>417.99999999999994</v>
      </c>
      <c r="AP15" s="58">
        <f t="shared" si="21"/>
        <v>413.25</v>
      </c>
      <c r="AQ15" s="58">
        <f t="shared" si="21"/>
        <v>408.5</v>
      </c>
      <c r="AR15" s="58">
        <f t="shared" si="21"/>
        <v>403.75</v>
      </c>
      <c r="AS15" s="58">
        <f t="shared" si="21"/>
        <v>399</v>
      </c>
      <c r="AT15" s="58">
        <f t="shared" si="21"/>
        <v>394.25</v>
      </c>
      <c r="AU15" s="58">
        <f t="shared" si="21"/>
        <v>389.5</v>
      </c>
      <c r="AV15" s="58">
        <f t="shared" si="21"/>
        <v>384.75</v>
      </c>
      <c r="AW15" s="58">
        <f t="shared" si="21"/>
        <v>380</v>
      </c>
      <c r="AX15" s="58">
        <f t="shared" si="21"/>
        <v>375.25</v>
      </c>
      <c r="AY15" s="58">
        <f t="shared" si="21"/>
        <v>370.5</v>
      </c>
      <c r="AZ15" s="58">
        <f t="shared" si="21"/>
        <v>365.75000000000006</v>
      </c>
      <c r="BA15" s="58">
        <f t="shared" si="21"/>
        <v>361</v>
      </c>
      <c r="BB15" s="58">
        <f t="shared" si="21"/>
        <v>356.25</v>
      </c>
      <c r="BC15" s="58">
        <f t="shared" si="21"/>
        <v>351.5</v>
      </c>
      <c r="BD15" s="58">
        <f t="shared" si="21"/>
        <v>346.74999999999994</v>
      </c>
      <c r="BE15" s="58">
        <f t="shared" si="21"/>
        <v>342</v>
      </c>
      <c r="BF15" s="58">
        <f t="shared" si="21"/>
        <v>337.25</v>
      </c>
      <c r="BG15" s="58">
        <f t="shared" si="21"/>
        <v>332.5</v>
      </c>
      <c r="BH15" s="58">
        <f t="shared" si="21"/>
        <v>327.75</v>
      </c>
      <c r="BI15" s="58">
        <f t="shared" si="21"/>
        <v>323</v>
      </c>
      <c r="BJ15" s="58">
        <f t="shared" si="21"/>
        <v>318.25</v>
      </c>
      <c r="BK15" s="58">
        <f t="shared" si="21"/>
        <v>313.5</v>
      </c>
      <c r="BL15" s="58">
        <f t="shared" si="21"/>
        <v>308.75</v>
      </c>
      <c r="BM15" s="58">
        <f t="shared" si="21"/>
        <v>304</v>
      </c>
      <c r="BN15" s="58">
        <f t="shared" si="21"/>
        <v>299.25</v>
      </c>
      <c r="BO15" s="58">
        <f t="shared" si="21"/>
        <v>294.50000000000006</v>
      </c>
      <c r="BP15" s="58">
        <f t="shared" si="21"/>
        <v>289.75</v>
      </c>
      <c r="BQ15" s="58">
        <f t="shared" si="21"/>
        <v>285</v>
      </c>
      <c r="BR15" s="58">
        <f t="shared" si="21"/>
        <v>280.25</v>
      </c>
      <c r="BS15" s="58">
        <f t="shared" si="21"/>
        <v>275.5</v>
      </c>
      <c r="BT15" s="58">
        <f t="shared" si="21"/>
        <v>270.75</v>
      </c>
      <c r="BU15" s="58">
        <f t="shared" si="21"/>
        <v>266</v>
      </c>
      <c r="BV15" s="58">
        <f t="shared" si="21"/>
        <v>261.25</v>
      </c>
      <c r="BW15" s="58">
        <f t="shared" si="21"/>
        <v>256.5</v>
      </c>
      <c r="BX15" s="58">
        <f t="shared" si="21"/>
        <v>251.75</v>
      </c>
      <c r="BY15" s="58">
        <f t="shared" si="21"/>
        <v>247</v>
      </c>
      <c r="BZ15" s="58">
        <f t="shared" si="21"/>
        <v>242.25</v>
      </c>
      <c r="CA15" s="58">
        <f t="shared" si="21"/>
        <v>237.5</v>
      </c>
      <c r="CB15" s="58">
        <f t="shared" si="21"/>
        <v>232.75</v>
      </c>
      <c r="CC15" s="58">
        <f t="shared" si="21"/>
        <v>228</v>
      </c>
      <c r="CD15" s="58">
        <f t="shared" si="21"/>
        <v>223.25</v>
      </c>
      <c r="CE15" s="58">
        <f t="shared" si="21"/>
        <v>218.50000000000003</v>
      </c>
      <c r="CF15" s="58">
        <f t="shared" si="21"/>
        <v>213.75</v>
      </c>
      <c r="CG15" s="58">
        <f t="shared" si="21"/>
        <v>208.99999999999997</v>
      </c>
      <c r="CH15" s="58">
        <f t="shared" si="21"/>
        <v>204.25</v>
      </c>
      <c r="CI15" s="58">
        <f t="shared" si="21"/>
        <v>199.5</v>
      </c>
      <c r="CJ15" s="58">
        <f t="shared" si="21"/>
        <v>194.75</v>
      </c>
      <c r="CK15" s="58">
        <f t="shared" si="21"/>
        <v>190</v>
      </c>
      <c r="CL15" s="58">
        <f t="shared" si="22"/>
        <v>185.25</v>
      </c>
      <c r="CM15" s="58">
        <f t="shared" si="22"/>
        <v>180.5</v>
      </c>
      <c r="CN15" s="58">
        <f t="shared" si="22"/>
        <v>175.75</v>
      </c>
      <c r="CO15" s="58">
        <f t="shared" si="22"/>
        <v>171</v>
      </c>
      <c r="CP15" s="58">
        <f t="shared" si="22"/>
        <v>166.25</v>
      </c>
      <c r="CQ15" s="58">
        <f t="shared" si="22"/>
        <v>161.5</v>
      </c>
      <c r="CR15" s="58">
        <f t="shared" si="22"/>
        <v>156.75</v>
      </c>
      <c r="CS15" s="58">
        <f t="shared" si="22"/>
        <v>152</v>
      </c>
      <c r="CT15" s="58">
        <f t="shared" si="22"/>
        <v>147.25000000000003</v>
      </c>
      <c r="CU15" s="58">
        <f t="shared" si="22"/>
        <v>142.5</v>
      </c>
      <c r="CV15" s="58">
        <f t="shared" si="22"/>
        <v>137.75</v>
      </c>
      <c r="CW15" s="58">
        <f t="shared" si="22"/>
        <v>133</v>
      </c>
      <c r="CX15" s="58">
        <f t="shared" si="22"/>
        <v>128.25</v>
      </c>
      <c r="CY15" s="58">
        <f t="shared" si="22"/>
        <v>123.5</v>
      </c>
      <c r="CZ15" s="58">
        <f t="shared" si="22"/>
        <v>118.75</v>
      </c>
      <c r="DA15" s="58">
        <f t="shared" si="22"/>
        <v>114</v>
      </c>
      <c r="DB15" s="58">
        <f t="shared" si="22"/>
        <v>109.25000000000001</v>
      </c>
      <c r="DC15" s="58">
        <f t="shared" si="22"/>
        <v>104.49999999999999</v>
      </c>
      <c r="DD15" s="58">
        <f t="shared" si="22"/>
        <v>99.75</v>
      </c>
      <c r="DE15" s="58">
        <f t="shared" si="22"/>
        <v>95</v>
      </c>
      <c r="DF15" s="58">
        <f t="shared" si="22"/>
        <v>90.25</v>
      </c>
      <c r="DG15" s="58">
        <f t="shared" si="22"/>
        <v>85.5</v>
      </c>
      <c r="DH15" s="58">
        <f t="shared" si="22"/>
        <v>80.75</v>
      </c>
      <c r="DI15" s="58">
        <f t="shared" si="22"/>
        <v>76</v>
      </c>
      <c r="DJ15" s="58">
        <f t="shared" si="22"/>
        <v>71.25</v>
      </c>
      <c r="DK15" s="58">
        <f t="shared" si="22"/>
        <v>66.5</v>
      </c>
      <c r="DL15" s="58">
        <f t="shared" si="22"/>
        <v>61.75</v>
      </c>
      <c r="DM15" s="58">
        <f t="shared" si="22"/>
        <v>57</v>
      </c>
      <c r="DN15" s="58">
        <f t="shared" si="22"/>
        <v>52.249999999999993</v>
      </c>
      <c r="DO15" s="58">
        <f t="shared" si="22"/>
        <v>47.5</v>
      </c>
      <c r="DP15" s="58">
        <f t="shared" si="22"/>
        <v>42.75</v>
      </c>
      <c r="DQ15" s="58">
        <f t="shared" si="22"/>
        <v>38</v>
      </c>
      <c r="DR15" s="58">
        <f t="shared" si="22"/>
        <v>33.25</v>
      </c>
      <c r="DS15" s="58">
        <f t="shared" si="22"/>
        <v>28.5</v>
      </c>
      <c r="DT15" s="58">
        <f t="shared" si="22"/>
        <v>23.75</v>
      </c>
      <c r="DU15" s="58">
        <f t="shared" si="22"/>
        <v>19</v>
      </c>
      <c r="DV15" s="58">
        <f t="shared" si="22"/>
        <v>14.25</v>
      </c>
      <c r="DW15" s="58">
        <f t="shared" si="22"/>
        <v>9.5</v>
      </c>
      <c r="DX15" s="58">
        <f t="shared" si="22"/>
        <v>4.75</v>
      </c>
      <c r="DY15" s="58">
        <f t="shared" si="22"/>
        <v>0</v>
      </c>
    </row>
    <row r="16" spans="1:129" x14ac:dyDescent="0.45">
      <c r="A16" s="3">
        <v>46022</v>
      </c>
      <c r="B16" s="2" t="s">
        <v>0</v>
      </c>
      <c r="C16" s="8" t="s">
        <v>14</v>
      </c>
      <c r="D16" s="16"/>
      <c r="E16" s="54"/>
      <c r="F16" s="54"/>
      <c r="G16" s="54"/>
      <c r="H16" s="54"/>
      <c r="I16" s="15">
        <f>I3+I6+I9+I13+I14+I15</f>
        <v>155592.38798</v>
      </c>
      <c r="J16" s="15">
        <f t="shared" ref="J16:AO16" si="23">J3+J6+J9+SUM(J13:J15)</f>
        <v>71822.099134331045</v>
      </c>
      <c r="K16" s="15">
        <f t="shared" si="23"/>
        <v>63715.25975490555</v>
      </c>
      <c r="L16" s="15">
        <f t="shared" si="23"/>
        <v>55595.19839729213</v>
      </c>
      <c r="M16" s="15">
        <f t="shared" si="23"/>
        <v>47461.87952174848</v>
      </c>
      <c r="N16" s="15">
        <f t="shared" si="23"/>
        <v>39315.2674929649</v>
      </c>
      <c r="O16" s="15">
        <f t="shared" si="23"/>
        <v>31155.326579807203</v>
      </c>
      <c r="P16" s="15">
        <f t="shared" si="23"/>
        <v>26163.06662172552</v>
      </c>
      <c r="Q16" s="15">
        <f t="shared" si="23"/>
        <v>21157.406028495756</v>
      </c>
      <c r="R16" s="15">
        <f t="shared" si="23"/>
        <v>16138.308779960398</v>
      </c>
      <c r="S16" s="15">
        <f t="shared" si="23"/>
        <v>11105.738759101925</v>
      </c>
      <c r="T16" s="15">
        <f t="shared" si="23"/>
        <v>11094.801173618305</v>
      </c>
      <c r="U16" s="15">
        <f t="shared" si="23"/>
        <v>2163.1703679129541</v>
      </c>
      <c r="V16" s="15">
        <f t="shared" si="23"/>
        <v>2152.1882522846299</v>
      </c>
      <c r="W16" s="15">
        <f t="shared" si="23"/>
        <v>2141.1837366699729</v>
      </c>
      <c r="X16" s="15">
        <f t="shared" si="23"/>
        <v>2130.1567306420461</v>
      </c>
      <c r="Y16" s="15">
        <f t="shared" si="23"/>
        <v>2119.1071434088667</v>
      </c>
      <c r="Z16" s="15">
        <f t="shared" si="23"/>
        <v>2108.0348838119312</v>
      </c>
      <c r="AA16" s="15">
        <f t="shared" si="23"/>
        <v>2096.9398603247373</v>
      </c>
      <c r="AB16" s="15">
        <f t="shared" si="23"/>
        <v>2085.8219810512956</v>
      </c>
      <c r="AC16" s="15">
        <f t="shared" si="23"/>
        <v>2074.6811537246431</v>
      </c>
      <c r="AD16" s="15">
        <f t="shared" si="23"/>
        <v>2063.5172857053403</v>
      </c>
      <c r="AE16" s="15">
        <f t="shared" si="23"/>
        <v>2052.3302839799703</v>
      </c>
      <c r="AF16" s="15">
        <f t="shared" si="23"/>
        <v>2041.1200551596285</v>
      </c>
      <c r="AG16" s="15">
        <f t="shared" si="23"/>
        <v>2029.8865054784073</v>
      </c>
      <c r="AH16" s="15">
        <f t="shared" si="23"/>
        <v>2018.6295407918733</v>
      </c>
      <c r="AI16" s="15">
        <f t="shared" si="23"/>
        <v>2007.3490665755396</v>
      </c>
      <c r="AJ16" s="15">
        <f t="shared" si="23"/>
        <v>1996.0449879233315</v>
      </c>
      <c r="AK16" s="15">
        <f t="shared" si="23"/>
        <v>1984.7172095460467</v>
      </c>
      <c r="AL16" s="15">
        <f t="shared" si="23"/>
        <v>1973.3656357698069</v>
      </c>
      <c r="AM16" s="15">
        <f t="shared" si="23"/>
        <v>1961.9901705345073</v>
      </c>
      <c r="AN16" s="15">
        <f t="shared" si="23"/>
        <v>1950.590717392256</v>
      </c>
      <c r="AO16" s="15">
        <f t="shared" si="23"/>
        <v>1939.167179505808</v>
      </c>
      <c r="AP16" s="15">
        <f t="shared" ref="AP16:BU16" si="24">AP3+AP6+AP9+SUM(AP13:AP15)</f>
        <v>1927.7194596469951</v>
      </c>
      <c r="AQ16" s="15">
        <f t="shared" si="24"/>
        <v>1916.2474601951458</v>
      </c>
      <c r="AR16" s="15">
        <f t="shared" si="24"/>
        <v>1904.751083135503</v>
      </c>
      <c r="AS16" s="15">
        <f t="shared" si="24"/>
        <v>1893.2302300576307</v>
      </c>
      <c r="AT16" s="15">
        <f t="shared" si="24"/>
        <v>1881.6848021538194</v>
      </c>
      <c r="AU16" s="15">
        <f t="shared" si="24"/>
        <v>1870.1147002174791</v>
      </c>
      <c r="AV16" s="15">
        <f t="shared" si="24"/>
        <v>1858.5198246415325</v>
      </c>
      <c r="AW16" s="15">
        <f t="shared" si="24"/>
        <v>1846.9000754167951</v>
      </c>
      <c r="AX16" s="15">
        <f t="shared" si="24"/>
        <v>1835.2553521303544</v>
      </c>
      <c r="AY16" s="15">
        <f t="shared" si="24"/>
        <v>1823.5855539639385</v>
      </c>
      <c r="AZ16" s="15">
        <f t="shared" si="24"/>
        <v>1811.8905796922811</v>
      </c>
      <c r="BA16" s="15">
        <f t="shared" si="24"/>
        <v>1800.1703276814762</v>
      </c>
      <c r="BB16" s="15">
        <f t="shared" si="24"/>
        <v>1788.4246958873316</v>
      </c>
      <c r="BC16" s="15">
        <f t="shared" si="24"/>
        <v>1776.6535818537095</v>
      </c>
      <c r="BD16" s="15">
        <f t="shared" si="24"/>
        <v>1764.8568827108661</v>
      </c>
      <c r="BE16" s="15">
        <f t="shared" si="24"/>
        <v>1753.03449517378</v>
      </c>
      <c r="BF16" s="15">
        <f t="shared" si="24"/>
        <v>1741.1863155404767</v>
      </c>
      <c r="BG16" s="15">
        <f t="shared" si="24"/>
        <v>1729.312239690345</v>
      </c>
      <c r="BH16" s="15">
        <f t="shared" si="24"/>
        <v>1717.4121630824479</v>
      </c>
      <c r="BI16" s="15">
        <f t="shared" si="24"/>
        <v>1705.4859807538244</v>
      </c>
      <c r="BJ16" s="15">
        <f t="shared" si="24"/>
        <v>1693.5335873177862</v>
      </c>
      <c r="BK16" s="15">
        <f t="shared" si="24"/>
        <v>1681.5548769622087</v>
      </c>
      <c r="BL16" s="15">
        <f t="shared" si="24"/>
        <v>1669.5497434478111</v>
      </c>
      <c r="BM16" s="15">
        <f t="shared" si="24"/>
        <v>1657.5180801064337</v>
      </c>
      <c r="BN16" s="15">
        <f t="shared" si="24"/>
        <v>1645.4597798393058</v>
      </c>
      <c r="BO16" s="15">
        <f t="shared" si="24"/>
        <v>1633.3747351153083</v>
      </c>
      <c r="BP16" s="15">
        <f t="shared" si="24"/>
        <v>1621.2628379692264</v>
      </c>
      <c r="BQ16" s="15">
        <f t="shared" si="24"/>
        <v>1568.53712</v>
      </c>
      <c r="BR16" s="15">
        <f t="shared" si="24"/>
        <v>1563.1037866666666</v>
      </c>
      <c r="BS16" s="15">
        <f t="shared" si="24"/>
        <v>1557.6704533333332</v>
      </c>
      <c r="BT16" s="15">
        <f t="shared" si="24"/>
        <v>1552.23712</v>
      </c>
      <c r="BU16" s="15">
        <f t="shared" si="24"/>
        <v>1546.8037866666666</v>
      </c>
      <c r="BV16" s="15">
        <f t="shared" ref="BV16:DA16" si="25">BV3+BV6+BV9+SUM(BV13:BV15)</f>
        <v>1541.3704533333332</v>
      </c>
      <c r="BW16" s="15">
        <f t="shared" si="25"/>
        <v>1535.93712</v>
      </c>
      <c r="BX16" s="15">
        <f t="shared" si="25"/>
        <v>1530.5037866666667</v>
      </c>
      <c r="BY16" s="15">
        <f t="shared" si="25"/>
        <v>1525.0704533333333</v>
      </c>
      <c r="BZ16" s="15">
        <f t="shared" si="25"/>
        <v>1519.6371199999999</v>
      </c>
      <c r="CA16" s="15">
        <f t="shared" si="25"/>
        <v>1514.2037866666667</v>
      </c>
      <c r="CB16" s="15">
        <f t="shared" si="25"/>
        <v>1508.7704533333333</v>
      </c>
      <c r="CC16" s="15">
        <f t="shared" si="25"/>
        <v>1503.3371199999999</v>
      </c>
      <c r="CD16" s="15">
        <f t="shared" si="25"/>
        <v>1497.9037866666667</v>
      </c>
      <c r="CE16" s="15">
        <f t="shared" si="25"/>
        <v>1492.4704533333334</v>
      </c>
      <c r="CF16" s="15">
        <f t="shared" si="25"/>
        <v>1487.03712</v>
      </c>
      <c r="CG16" s="15">
        <f t="shared" si="25"/>
        <v>1481.6037866666666</v>
      </c>
      <c r="CH16" s="15">
        <f t="shared" si="25"/>
        <v>1476.1704533333332</v>
      </c>
      <c r="CI16" s="15">
        <f t="shared" si="25"/>
        <v>1470.73712</v>
      </c>
      <c r="CJ16" s="15">
        <f t="shared" si="25"/>
        <v>1465.3037866666666</v>
      </c>
      <c r="CK16" s="15">
        <f t="shared" si="25"/>
        <v>1459.8704533333332</v>
      </c>
      <c r="CL16" s="15">
        <f t="shared" si="25"/>
        <v>1454.43712</v>
      </c>
      <c r="CM16" s="15">
        <f t="shared" si="25"/>
        <v>1449.0037866666667</v>
      </c>
      <c r="CN16" s="15">
        <f t="shared" si="25"/>
        <v>1443.5704533333333</v>
      </c>
      <c r="CO16" s="15">
        <f t="shared" si="25"/>
        <v>1410.1371199999999</v>
      </c>
      <c r="CP16" s="15">
        <f t="shared" si="25"/>
        <v>1404.7037866666667</v>
      </c>
      <c r="CQ16" s="15">
        <f t="shared" si="25"/>
        <v>1399.2704533333333</v>
      </c>
      <c r="CR16" s="15">
        <f t="shared" si="25"/>
        <v>1393.8371199999999</v>
      </c>
      <c r="CS16" s="15">
        <f t="shared" si="25"/>
        <v>1388.4037866666667</v>
      </c>
      <c r="CT16" s="15">
        <f t="shared" si="25"/>
        <v>1382.9704533333334</v>
      </c>
      <c r="CU16" s="15">
        <f t="shared" si="25"/>
        <v>1377.53712</v>
      </c>
      <c r="CV16" s="15">
        <f t="shared" si="25"/>
        <v>1372.1037866666666</v>
      </c>
      <c r="CW16" s="15">
        <f t="shared" si="25"/>
        <v>1366.6704533333332</v>
      </c>
      <c r="CX16" s="15">
        <f t="shared" si="25"/>
        <v>1361.23712</v>
      </c>
      <c r="CY16" s="15">
        <f t="shared" si="25"/>
        <v>1355.8037866666666</v>
      </c>
      <c r="CZ16" s="15">
        <f t="shared" si="25"/>
        <v>1350.3704533333332</v>
      </c>
      <c r="DA16" s="15">
        <f t="shared" si="25"/>
        <v>1344.93712</v>
      </c>
      <c r="DB16" s="15">
        <f t="shared" ref="DB16:EG16" si="26">DB3+DB6+DB9+SUM(DB13:DB15)</f>
        <v>1339.5037866666667</v>
      </c>
      <c r="DC16" s="15">
        <f t="shared" si="26"/>
        <v>1334.0704533333333</v>
      </c>
      <c r="DD16" s="15">
        <f t="shared" si="26"/>
        <v>1328.6371199999999</v>
      </c>
      <c r="DE16" s="15">
        <f t="shared" si="26"/>
        <v>1323.2037866666667</v>
      </c>
      <c r="DF16" s="15">
        <f t="shared" si="26"/>
        <v>1317.7704533333333</v>
      </c>
      <c r="DG16" s="15">
        <f t="shared" si="26"/>
        <v>1312.3371199999999</v>
      </c>
      <c r="DH16" s="15">
        <f t="shared" si="26"/>
        <v>1306.9037866666667</v>
      </c>
      <c r="DI16" s="15">
        <f t="shared" si="26"/>
        <v>1301.4704533333334</v>
      </c>
      <c r="DJ16" s="15">
        <f t="shared" si="26"/>
        <v>1296.03712</v>
      </c>
      <c r="DK16" s="15">
        <f t="shared" si="26"/>
        <v>1290.6037866666666</v>
      </c>
      <c r="DL16" s="15">
        <f t="shared" si="26"/>
        <v>1285.1704533333332</v>
      </c>
      <c r="DM16" s="15">
        <f t="shared" si="26"/>
        <v>1279.73712</v>
      </c>
      <c r="DN16" s="15">
        <f t="shared" si="26"/>
        <v>1274.3037866666666</v>
      </c>
      <c r="DO16" s="15">
        <f t="shared" si="26"/>
        <v>1268.8704533333332</v>
      </c>
      <c r="DP16" s="15">
        <f t="shared" si="26"/>
        <v>1263.43712</v>
      </c>
      <c r="DQ16" s="15">
        <f t="shared" si="26"/>
        <v>1258.0037866666667</v>
      </c>
      <c r="DR16" s="15">
        <f t="shared" si="26"/>
        <v>1252.5704533333333</v>
      </c>
      <c r="DS16" s="15">
        <f t="shared" si="26"/>
        <v>1247.1371199999999</v>
      </c>
      <c r="DT16" s="15">
        <f t="shared" si="26"/>
        <v>1241.7037866666667</v>
      </c>
      <c r="DU16" s="15">
        <f t="shared" si="26"/>
        <v>1236.2704533333333</v>
      </c>
      <c r="DV16" s="15">
        <f t="shared" si="26"/>
        <v>1230.8371199999999</v>
      </c>
      <c r="DW16" s="15">
        <f t="shared" si="26"/>
        <v>1225.4037866666665</v>
      </c>
      <c r="DX16" s="15">
        <f t="shared" si="26"/>
        <v>1219.9704533333334</v>
      </c>
      <c r="DY16" s="15">
        <f t="shared" si="26"/>
        <v>0</v>
      </c>
    </row>
    <row r="17" spans="1:129" x14ac:dyDescent="0.45">
      <c r="A17" s="3">
        <v>46022</v>
      </c>
      <c r="B17" s="2" t="s">
        <v>19</v>
      </c>
      <c r="C17" s="4" t="s">
        <v>20</v>
      </c>
      <c r="D17" s="16"/>
      <c r="E17" s="54"/>
      <c r="F17" s="54"/>
      <c r="G17" s="54"/>
      <c r="H17" s="54"/>
      <c r="I17" s="13">
        <f>I18+I19</f>
        <v>74095.3</v>
      </c>
      <c r="J17" s="58">
        <f>SUM(J18:J19)</f>
        <v>74095.3</v>
      </c>
      <c r="K17" s="58">
        <f t="shared" ref="K17:BV17" si="27">SUM(K18:K19)</f>
        <v>74095.3</v>
      </c>
      <c r="L17" s="58">
        <f t="shared" si="27"/>
        <v>74095.3</v>
      </c>
      <c r="M17" s="58">
        <f t="shared" si="27"/>
        <v>72205.100000000006</v>
      </c>
      <c r="N17" s="58">
        <f t="shared" si="27"/>
        <v>72205.100000000006</v>
      </c>
      <c r="O17" s="58">
        <f t="shared" si="27"/>
        <v>72205.100000000006</v>
      </c>
      <c r="P17" s="58">
        <f t="shared" si="27"/>
        <v>72205.100000000006</v>
      </c>
      <c r="Q17" s="58">
        <f t="shared" si="27"/>
        <v>72205.100000000006</v>
      </c>
      <c r="R17" s="58">
        <f t="shared" si="27"/>
        <v>72205.100000000006</v>
      </c>
      <c r="S17" s="58">
        <f t="shared" si="27"/>
        <v>72205.100000000006</v>
      </c>
      <c r="T17" s="58">
        <f t="shared" si="27"/>
        <v>72205.100000000006</v>
      </c>
      <c r="U17" s="58">
        <f t="shared" si="27"/>
        <v>72205.100000000006</v>
      </c>
      <c r="V17" s="58">
        <f t="shared" si="27"/>
        <v>72205.100000000006</v>
      </c>
      <c r="W17" s="58">
        <f t="shared" si="27"/>
        <v>72205.100000000006</v>
      </c>
      <c r="X17" s="58">
        <f t="shared" si="27"/>
        <v>72205.100000000006</v>
      </c>
      <c r="Y17" s="58">
        <f t="shared" si="27"/>
        <v>72205.100000000006</v>
      </c>
      <c r="Z17" s="58">
        <f t="shared" si="27"/>
        <v>72205.100000000006</v>
      </c>
      <c r="AA17" s="58">
        <f t="shared" si="27"/>
        <v>72205.100000000006</v>
      </c>
      <c r="AB17" s="58">
        <f t="shared" si="27"/>
        <v>72205.100000000006</v>
      </c>
      <c r="AC17" s="58">
        <f t="shared" si="27"/>
        <v>72205.100000000006</v>
      </c>
      <c r="AD17" s="58">
        <f t="shared" si="27"/>
        <v>72205.100000000006</v>
      </c>
      <c r="AE17" s="58">
        <f t="shared" si="27"/>
        <v>72205.100000000006</v>
      </c>
      <c r="AF17" s="58">
        <f t="shared" si="27"/>
        <v>72205.100000000006</v>
      </c>
      <c r="AG17" s="58">
        <f t="shared" si="27"/>
        <v>0</v>
      </c>
      <c r="AH17" s="58">
        <f t="shared" si="27"/>
        <v>0</v>
      </c>
      <c r="AI17" s="58">
        <f t="shared" si="27"/>
        <v>0</v>
      </c>
      <c r="AJ17" s="58">
        <f t="shared" si="27"/>
        <v>0</v>
      </c>
      <c r="AK17" s="58">
        <f t="shared" si="27"/>
        <v>0</v>
      </c>
      <c r="AL17" s="58">
        <f t="shared" si="27"/>
        <v>0</v>
      </c>
      <c r="AM17" s="58">
        <f t="shared" si="27"/>
        <v>0</v>
      </c>
      <c r="AN17" s="58">
        <f t="shared" si="27"/>
        <v>0</v>
      </c>
      <c r="AO17" s="58">
        <f t="shared" si="27"/>
        <v>0</v>
      </c>
      <c r="AP17" s="58">
        <f t="shared" si="27"/>
        <v>0</v>
      </c>
      <c r="AQ17" s="58">
        <f t="shared" si="27"/>
        <v>0</v>
      </c>
      <c r="AR17" s="58">
        <f t="shared" si="27"/>
        <v>0</v>
      </c>
      <c r="AS17" s="58">
        <f t="shared" si="27"/>
        <v>0</v>
      </c>
      <c r="AT17" s="58">
        <f t="shared" si="27"/>
        <v>0</v>
      </c>
      <c r="AU17" s="58">
        <f t="shared" si="27"/>
        <v>0</v>
      </c>
      <c r="AV17" s="58">
        <f t="shared" si="27"/>
        <v>0</v>
      </c>
      <c r="AW17" s="58">
        <f t="shared" si="27"/>
        <v>0</v>
      </c>
      <c r="AX17" s="58">
        <f t="shared" si="27"/>
        <v>0</v>
      </c>
      <c r="AY17" s="58">
        <f t="shared" si="27"/>
        <v>0</v>
      </c>
      <c r="AZ17" s="58">
        <f t="shared" si="27"/>
        <v>0</v>
      </c>
      <c r="BA17" s="58">
        <f t="shared" si="27"/>
        <v>0</v>
      </c>
      <c r="BB17" s="58">
        <f t="shared" si="27"/>
        <v>0</v>
      </c>
      <c r="BC17" s="58">
        <f t="shared" si="27"/>
        <v>0</v>
      </c>
      <c r="BD17" s="58">
        <f t="shared" si="27"/>
        <v>0</v>
      </c>
      <c r="BE17" s="58">
        <f t="shared" si="27"/>
        <v>0</v>
      </c>
      <c r="BF17" s="58">
        <f t="shared" si="27"/>
        <v>0</v>
      </c>
      <c r="BG17" s="58">
        <f t="shared" si="27"/>
        <v>0</v>
      </c>
      <c r="BH17" s="58">
        <f t="shared" si="27"/>
        <v>0</v>
      </c>
      <c r="BI17" s="58">
        <f t="shared" si="27"/>
        <v>0</v>
      </c>
      <c r="BJ17" s="58">
        <f t="shared" si="27"/>
        <v>0</v>
      </c>
      <c r="BK17" s="58">
        <f t="shared" si="27"/>
        <v>0</v>
      </c>
      <c r="BL17" s="58">
        <f t="shared" si="27"/>
        <v>0</v>
      </c>
      <c r="BM17" s="58">
        <f t="shared" si="27"/>
        <v>0</v>
      </c>
      <c r="BN17" s="58">
        <f t="shared" si="27"/>
        <v>0</v>
      </c>
      <c r="BO17" s="58">
        <f t="shared" si="27"/>
        <v>0</v>
      </c>
      <c r="BP17" s="58">
        <f t="shared" si="27"/>
        <v>0</v>
      </c>
      <c r="BQ17" s="58">
        <f t="shared" si="27"/>
        <v>0</v>
      </c>
      <c r="BR17" s="58">
        <f t="shared" si="27"/>
        <v>0</v>
      </c>
      <c r="BS17" s="58">
        <f t="shared" si="27"/>
        <v>0</v>
      </c>
      <c r="BT17" s="58">
        <f t="shared" si="27"/>
        <v>0</v>
      </c>
      <c r="BU17" s="58">
        <f t="shared" si="27"/>
        <v>0</v>
      </c>
      <c r="BV17" s="58">
        <f t="shared" si="27"/>
        <v>0</v>
      </c>
      <c r="BW17" s="58">
        <f t="shared" ref="BW17:DY17" si="28">SUM(BW18:BW19)</f>
        <v>0</v>
      </c>
      <c r="BX17" s="58">
        <f t="shared" si="28"/>
        <v>0</v>
      </c>
      <c r="BY17" s="58">
        <f t="shared" si="28"/>
        <v>0</v>
      </c>
      <c r="BZ17" s="58">
        <f t="shared" si="28"/>
        <v>0</v>
      </c>
      <c r="CA17" s="58">
        <f t="shared" si="28"/>
        <v>0</v>
      </c>
      <c r="CB17" s="58">
        <f t="shared" si="28"/>
        <v>0</v>
      </c>
      <c r="CC17" s="58">
        <f t="shared" si="28"/>
        <v>0</v>
      </c>
      <c r="CD17" s="58">
        <f t="shared" si="28"/>
        <v>0</v>
      </c>
      <c r="CE17" s="58">
        <f t="shared" si="28"/>
        <v>0</v>
      </c>
      <c r="CF17" s="58">
        <f t="shared" si="28"/>
        <v>0</v>
      </c>
      <c r="CG17" s="58">
        <f t="shared" si="28"/>
        <v>0</v>
      </c>
      <c r="CH17" s="58">
        <f t="shared" si="28"/>
        <v>0</v>
      </c>
      <c r="CI17" s="58">
        <f t="shared" si="28"/>
        <v>0</v>
      </c>
      <c r="CJ17" s="58">
        <f t="shared" si="28"/>
        <v>0</v>
      </c>
      <c r="CK17" s="58">
        <f t="shared" si="28"/>
        <v>0</v>
      </c>
      <c r="CL17" s="58">
        <f t="shared" si="28"/>
        <v>0</v>
      </c>
      <c r="CM17" s="58">
        <f t="shared" si="28"/>
        <v>0</v>
      </c>
      <c r="CN17" s="58">
        <f t="shared" si="28"/>
        <v>0</v>
      </c>
      <c r="CO17" s="58">
        <f t="shared" si="28"/>
        <v>0</v>
      </c>
      <c r="CP17" s="58">
        <f t="shared" si="28"/>
        <v>0</v>
      </c>
      <c r="CQ17" s="58">
        <f t="shared" si="28"/>
        <v>0</v>
      </c>
      <c r="CR17" s="58">
        <f t="shared" si="28"/>
        <v>0</v>
      </c>
      <c r="CS17" s="58">
        <f t="shared" si="28"/>
        <v>0</v>
      </c>
      <c r="CT17" s="58">
        <f t="shared" si="28"/>
        <v>0</v>
      </c>
      <c r="CU17" s="58">
        <f t="shared" si="28"/>
        <v>0</v>
      </c>
      <c r="CV17" s="58">
        <f t="shared" si="28"/>
        <v>0</v>
      </c>
      <c r="CW17" s="58">
        <f t="shared" si="28"/>
        <v>0</v>
      </c>
      <c r="CX17" s="58">
        <f t="shared" si="28"/>
        <v>0</v>
      </c>
      <c r="CY17" s="58">
        <f t="shared" si="28"/>
        <v>0</v>
      </c>
      <c r="CZ17" s="58">
        <f t="shared" si="28"/>
        <v>0</v>
      </c>
      <c r="DA17" s="58">
        <f t="shared" si="28"/>
        <v>0</v>
      </c>
      <c r="DB17" s="58">
        <f t="shared" si="28"/>
        <v>0</v>
      </c>
      <c r="DC17" s="58">
        <f t="shared" si="28"/>
        <v>0</v>
      </c>
      <c r="DD17" s="58">
        <f t="shared" si="28"/>
        <v>0</v>
      </c>
      <c r="DE17" s="58">
        <f t="shared" si="28"/>
        <v>0</v>
      </c>
      <c r="DF17" s="58">
        <f t="shared" si="28"/>
        <v>0</v>
      </c>
      <c r="DG17" s="58">
        <f t="shared" si="28"/>
        <v>0</v>
      </c>
      <c r="DH17" s="58">
        <f t="shared" si="28"/>
        <v>0</v>
      </c>
      <c r="DI17" s="58">
        <f t="shared" si="28"/>
        <v>0</v>
      </c>
      <c r="DJ17" s="58">
        <f t="shared" si="28"/>
        <v>0</v>
      </c>
      <c r="DK17" s="58">
        <f t="shared" si="28"/>
        <v>0</v>
      </c>
      <c r="DL17" s="58">
        <f t="shared" si="28"/>
        <v>0</v>
      </c>
      <c r="DM17" s="58">
        <f t="shared" si="28"/>
        <v>0</v>
      </c>
      <c r="DN17" s="58">
        <f t="shared" si="28"/>
        <v>0</v>
      </c>
      <c r="DO17" s="58">
        <f t="shared" si="28"/>
        <v>0</v>
      </c>
      <c r="DP17" s="58">
        <f t="shared" si="28"/>
        <v>0</v>
      </c>
      <c r="DQ17" s="58">
        <f t="shared" si="28"/>
        <v>0</v>
      </c>
      <c r="DR17" s="58">
        <f t="shared" si="28"/>
        <v>0</v>
      </c>
      <c r="DS17" s="58">
        <f t="shared" si="28"/>
        <v>0</v>
      </c>
      <c r="DT17" s="58">
        <f t="shared" si="28"/>
        <v>0</v>
      </c>
      <c r="DU17" s="58">
        <f t="shared" si="28"/>
        <v>0</v>
      </c>
      <c r="DV17" s="58">
        <f t="shared" si="28"/>
        <v>0</v>
      </c>
      <c r="DW17" s="58">
        <f t="shared" si="28"/>
        <v>0</v>
      </c>
      <c r="DX17" s="58">
        <f t="shared" si="28"/>
        <v>0</v>
      </c>
      <c r="DY17" s="58">
        <f t="shared" si="28"/>
        <v>0</v>
      </c>
    </row>
    <row r="18" spans="1:129" x14ac:dyDescent="0.45">
      <c r="A18" s="3">
        <v>46022</v>
      </c>
      <c r="B18" s="2" t="s">
        <v>19</v>
      </c>
      <c r="C18" s="6" t="s">
        <v>5</v>
      </c>
      <c r="D18" s="17">
        <v>0</v>
      </c>
      <c r="E18" s="2" t="s">
        <v>48</v>
      </c>
      <c r="F18" s="2">
        <v>4</v>
      </c>
      <c r="G18" s="2" t="s">
        <v>45</v>
      </c>
      <c r="H18" s="2">
        <v>4</v>
      </c>
      <c r="I18" s="14">
        <v>1890.2</v>
      </c>
      <c r="J18" s="55">
        <f t="shared" ref="J18:Y19" si="29">IF(J$1&lt;$F18,$I18,0)</f>
        <v>1890.2</v>
      </c>
      <c r="K18" s="55">
        <f t="shared" si="29"/>
        <v>1890.2</v>
      </c>
      <c r="L18" s="55">
        <f t="shared" si="29"/>
        <v>1890.2</v>
      </c>
      <c r="M18" s="55">
        <f t="shared" si="29"/>
        <v>0</v>
      </c>
      <c r="N18" s="55">
        <f t="shared" si="29"/>
        <v>0</v>
      </c>
      <c r="O18" s="55">
        <f t="shared" si="29"/>
        <v>0</v>
      </c>
      <c r="P18" s="55">
        <f t="shared" si="29"/>
        <v>0</v>
      </c>
      <c r="Q18" s="55">
        <f t="shared" si="29"/>
        <v>0</v>
      </c>
      <c r="R18" s="55">
        <f t="shared" si="29"/>
        <v>0</v>
      </c>
      <c r="S18" s="55">
        <f t="shared" si="29"/>
        <v>0</v>
      </c>
      <c r="T18" s="55">
        <f t="shared" si="29"/>
        <v>0</v>
      </c>
      <c r="U18" s="55">
        <f t="shared" si="29"/>
        <v>0</v>
      </c>
      <c r="V18" s="55">
        <f t="shared" si="29"/>
        <v>0</v>
      </c>
      <c r="W18" s="55">
        <f t="shared" si="29"/>
        <v>0</v>
      </c>
      <c r="X18" s="55">
        <f t="shared" si="29"/>
        <v>0</v>
      </c>
      <c r="Y18" s="55">
        <f t="shared" si="29"/>
        <v>0</v>
      </c>
      <c r="Z18" s="55">
        <f t="shared" ref="Z18:CK19" si="30">IF(Z$1&lt;$F18,$I18,0)</f>
        <v>0</v>
      </c>
      <c r="AA18" s="55">
        <f t="shared" si="30"/>
        <v>0</v>
      </c>
      <c r="AB18" s="55">
        <f t="shared" si="30"/>
        <v>0</v>
      </c>
      <c r="AC18" s="55">
        <f t="shared" si="30"/>
        <v>0</v>
      </c>
      <c r="AD18" s="55">
        <f t="shared" si="30"/>
        <v>0</v>
      </c>
      <c r="AE18" s="55">
        <f t="shared" si="30"/>
        <v>0</v>
      </c>
      <c r="AF18" s="55">
        <f t="shared" si="30"/>
        <v>0</v>
      </c>
      <c r="AG18" s="55">
        <f t="shared" si="30"/>
        <v>0</v>
      </c>
      <c r="AH18" s="55">
        <f t="shared" si="30"/>
        <v>0</v>
      </c>
      <c r="AI18" s="55">
        <f t="shared" si="30"/>
        <v>0</v>
      </c>
      <c r="AJ18" s="55">
        <f t="shared" si="30"/>
        <v>0</v>
      </c>
      <c r="AK18" s="55">
        <f t="shared" si="30"/>
        <v>0</v>
      </c>
      <c r="AL18" s="55">
        <f t="shared" si="30"/>
        <v>0</v>
      </c>
      <c r="AM18" s="55">
        <f t="shared" si="30"/>
        <v>0</v>
      </c>
      <c r="AN18" s="55">
        <f t="shared" si="30"/>
        <v>0</v>
      </c>
      <c r="AO18" s="55">
        <f t="shared" si="30"/>
        <v>0</v>
      </c>
      <c r="AP18" s="55">
        <f t="shared" si="30"/>
        <v>0</v>
      </c>
      <c r="AQ18" s="55">
        <f t="shared" si="30"/>
        <v>0</v>
      </c>
      <c r="AR18" s="55">
        <f t="shared" si="30"/>
        <v>0</v>
      </c>
      <c r="AS18" s="55">
        <f t="shared" si="30"/>
        <v>0</v>
      </c>
      <c r="AT18" s="55">
        <f t="shared" si="30"/>
        <v>0</v>
      </c>
      <c r="AU18" s="55">
        <f t="shared" si="30"/>
        <v>0</v>
      </c>
      <c r="AV18" s="55">
        <f t="shared" si="30"/>
        <v>0</v>
      </c>
      <c r="AW18" s="55">
        <f t="shared" si="30"/>
        <v>0</v>
      </c>
      <c r="AX18" s="55">
        <f t="shared" si="30"/>
        <v>0</v>
      </c>
      <c r="AY18" s="55">
        <f t="shared" si="30"/>
        <v>0</v>
      </c>
      <c r="AZ18" s="55">
        <f t="shared" si="30"/>
        <v>0</v>
      </c>
      <c r="BA18" s="55">
        <f t="shared" si="30"/>
        <v>0</v>
      </c>
      <c r="BB18" s="55">
        <f t="shared" si="30"/>
        <v>0</v>
      </c>
      <c r="BC18" s="55">
        <f t="shared" si="30"/>
        <v>0</v>
      </c>
      <c r="BD18" s="55">
        <f t="shared" si="30"/>
        <v>0</v>
      </c>
      <c r="BE18" s="55">
        <f t="shared" si="30"/>
        <v>0</v>
      </c>
      <c r="BF18" s="55">
        <f t="shared" si="30"/>
        <v>0</v>
      </c>
      <c r="BG18" s="55">
        <f t="shared" si="30"/>
        <v>0</v>
      </c>
      <c r="BH18" s="55">
        <f t="shared" si="30"/>
        <v>0</v>
      </c>
      <c r="BI18" s="55">
        <f t="shared" si="30"/>
        <v>0</v>
      </c>
      <c r="BJ18" s="55">
        <f t="shared" si="30"/>
        <v>0</v>
      </c>
      <c r="BK18" s="55">
        <f t="shared" si="30"/>
        <v>0</v>
      </c>
      <c r="BL18" s="55">
        <f t="shared" si="30"/>
        <v>0</v>
      </c>
      <c r="BM18" s="55">
        <f t="shared" si="30"/>
        <v>0</v>
      </c>
      <c r="BN18" s="55">
        <f t="shared" si="30"/>
        <v>0</v>
      </c>
      <c r="BO18" s="55">
        <f t="shared" si="30"/>
        <v>0</v>
      </c>
      <c r="BP18" s="55">
        <f t="shared" si="30"/>
        <v>0</v>
      </c>
      <c r="BQ18" s="55">
        <f t="shared" si="30"/>
        <v>0</v>
      </c>
      <c r="BR18" s="55">
        <f t="shared" si="30"/>
        <v>0</v>
      </c>
      <c r="BS18" s="55">
        <f t="shared" si="30"/>
        <v>0</v>
      </c>
      <c r="BT18" s="55">
        <f t="shared" si="30"/>
        <v>0</v>
      </c>
      <c r="BU18" s="55">
        <f t="shared" si="30"/>
        <v>0</v>
      </c>
      <c r="BV18" s="55">
        <f t="shared" si="30"/>
        <v>0</v>
      </c>
      <c r="BW18" s="55">
        <f t="shared" si="30"/>
        <v>0</v>
      </c>
      <c r="BX18" s="55">
        <f t="shared" si="30"/>
        <v>0</v>
      </c>
      <c r="BY18" s="55">
        <f t="shared" si="30"/>
        <v>0</v>
      </c>
      <c r="BZ18" s="55">
        <f t="shared" si="30"/>
        <v>0</v>
      </c>
      <c r="CA18" s="55">
        <f t="shared" si="30"/>
        <v>0</v>
      </c>
      <c r="CB18" s="55">
        <f t="shared" si="30"/>
        <v>0</v>
      </c>
      <c r="CC18" s="55">
        <f t="shared" si="30"/>
        <v>0</v>
      </c>
      <c r="CD18" s="55">
        <f t="shared" si="30"/>
        <v>0</v>
      </c>
      <c r="CE18" s="55">
        <f t="shared" si="30"/>
        <v>0</v>
      </c>
      <c r="CF18" s="55">
        <f t="shared" si="30"/>
        <v>0</v>
      </c>
      <c r="CG18" s="55">
        <f t="shared" si="30"/>
        <v>0</v>
      </c>
      <c r="CH18" s="55">
        <f t="shared" si="30"/>
        <v>0</v>
      </c>
      <c r="CI18" s="55">
        <f t="shared" si="30"/>
        <v>0</v>
      </c>
      <c r="CJ18" s="55">
        <f t="shared" si="30"/>
        <v>0</v>
      </c>
      <c r="CK18" s="55">
        <f t="shared" si="30"/>
        <v>0</v>
      </c>
      <c r="CL18" s="55">
        <f t="shared" ref="CL18:DY19" si="31">IF(CL$1&lt;$F18,$I18,0)</f>
        <v>0</v>
      </c>
      <c r="CM18" s="55">
        <f t="shared" si="31"/>
        <v>0</v>
      </c>
      <c r="CN18" s="55">
        <f t="shared" si="31"/>
        <v>0</v>
      </c>
      <c r="CO18" s="55">
        <f t="shared" si="31"/>
        <v>0</v>
      </c>
      <c r="CP18" s="55">
        <f t="shared" si="31"/>
        <v>0</v>
      </c>
      <c r="CQ18" s="55">
        <f t="shared" si="31"/>
        <v>0</v>
      </c>
      <c r="CR18" s="55">
        <f t="shared" si="31"/>
        <v>0</v>
      </c>
      <c r="CS18" s="55">
        <f t="shared" si="31"/>
        <v>0</v>
      </c>
      <c r="CT18" s="55">
        <f t="shared" si="31"/>
        <v>0</v>
      </c>
      <c r="CU18" s="55">
        <f t="shared" si="31"/>
        <v>0</v>
      </c>
      <c r="CV18" s="55">
        <f t="shared" si="31"/>
        <v>0</v>
      </c>
      <c r="CW18" s="55">
        <f t="shared" si="31"/>
        <v>0</v>
      </c>
      <c r="CX18" s="55">
        <f t="shared" si="31"/>
        <v>0</v>
      </c>
      <c r="CY18" s="55">
        <f t="shared" si="31"/>
        <v>0</v>
      </c>
      <c r="CZ18" s="55">
        <f t="shared" si="31"/>
        <v>0</v>
      </c>
      <c r="DA18" s="55">
        <f t="shared" si="31"/>
        <v>0</v>
      </c>
      <c r="DB18" s="55">
        <f t="shared" si="31"/>
        <v>0</v>
      </c>
      <c r="DC18" s="55">
        <f t="shared" si="31"/>
        <v>0</v>
      </c>
      <c r="DD18" s="55">
        <f t="shared" si="31"/>
        <v>0</v>
      </c>
      <c r="DE18" s="55">
        <f t="shared" si="31"/>
        <v>0</v>
      </c>
      <c r="DF18" s="55">
        <f t="shared" si="31"/>
        <v>0</v>
      </c>
      <c r="DG18" s="55">
        <f t="shared" si="31"/>
        <v>0</v>
      </c>
      <c r="DH18" s="55">
        <f t="shared" si="31"/>
        <v>0</v>
      </c>
      <c r="DI18" s="55">
        <f t="shared" si="31"/>
        <v>0</v>
      </c>
      <c r="DJ18" s="55">
        <f t="shared" si="31"/>
        <v>0</v>
      </c>
      <c r="DK18" s="55">
        <f t="shared" si="31"/>
        <v>0</v>
      </c>
      <c r="DL18" s="55">
        <f t="shared" si="31"/>
        <v>0</v>
      </c>
      <c r="DM18" s="55">
        <f t="shared" si="31"/>
        <v>0</v>
      </c>
      <c r="DN18" s="55">
        <f t="shared" si="31"/>
        <v>0</v>
      </c>
      <c r="DO18" s="55">
        <f t="shared" si="31"/>
        <v>0</v>
      </c>
      <c r="DP18" s="55">
        <f t="shared" si="31"/>
        <v>0</v>
      </c>
      <c r="DQ18" s="55">
        <f t="shared" si="31"/>
        <v>0</v>
      </c>
      <c r="DR18" s="55">
        <f t="shared" si="31"/>
        <v>0</v>
      </c>
      <c r="DS18" s="55">
        <f t="shared" si="31"/>
        <v>0</v>
      </c>
      <c r="DT18" s="55">
        <f t="shared" si="31"/>
        <v>0</v>
      </c>
      <c r="DU18" s="55">
        <f t="shared" si="31"/>
        <v>0</v>
      </c>
      <c r="DV18" s="55">
        <f t="shared" si="31"/>
        <v>0</v>
      </c>
      <c r="DW18" s="55">
        <f t="shared" si="31"/>
        <v>0</v>
      </c>
      <c r="DX18" s="55">
        <f t="shared" si="31"/>
        <v>0</v>
      </c>
      <c r="DY18" s="55">
        <f t="shared" si="31"/>
        <v>0</v>
      </c>
    </row>
    <row r="19" spans="1:129" x14ac:dyDescent="0.45">
      <c r="A19" s="3">
        <v>46022</v>
      </c>
      <c r="B19" s="2" t="s">
        <v>19</v>
      </c>
      <c r="C19" s="6" t="s">
        <v>6</v>
      </c>
      <c r="D19" s="17">
        <v>1.3896500000000001E-2</v>
      </c>
      <c r="E19" s="2" t="s">
        <v>47</v>
      </c>
      <c r="F19" s="2">
        <v>24</v>
      </c>
      <c r="G19" s="2" t="s">
        <v>47</v>
      </c>
      <c r="H19" s="2">
        <v>24</v>
      </c>
      <c r="I19" s="14">
        <v>72205.100000000006</v>
      </c>
      <c r="J19" s="55">
        <f t="shared" si="29"/>
        <v>72205.100000000006</v>
      </c>
      <c r="K19" s="55">
        <f t="shared" ref="K19:BV19" si="32">IF(K$1&lt;$F19,$I19,0)</f>
        <v>72205.100000000006</v>
      </c>
      <c r="L19" s="55">
        <f t="shared" si="32"/>
        <v>72205.100000000006</v>
      </c>
      <c r="M19" s="55">
        <f t="shared" si="32"/>
        <v>72205.100000000006</v>
      </c>
      <c r="N19" s="55">
        <f t="shared" si="32"/>
        <v>72205.100000000006</v>
      </c>
      <c r="O19" s="55">
        <f t="shared" si="32"/>
        <v>72205.100000000006</v>
      </c>
      <c r="P19" s="55">
        <f t="shared" si="32"/>
        <v>72205.100000000006</v>
      </c>
      <c r="Q19" s="55">
        <f t="shared" si="32"/>
        <v>72205.100000000006</v>
      </c>
      <c r="R19" s="55">
        <f t="shared" si="32"/>
        <v>72205.100000000006</v>
      </c>
      <c r="S19" s="55">
        <f t="shared" si="32"/>
        <v>72205.100000000006</v>
      </c>
      <c r="T19" s="55">
        <f t="shared" si="32"/>
        <v>72205.100000000006</v>
      </c>
      <c r="U19" s="55">
        <f t="shared" si="32"/>
        <v>72205.100000000006</v>
      </c>
      <c r="V19" s="55">
        <f t="shared" si="32"/>
        <v>72205.100000000006</v>
      </c>
      <c r="W19" s="55">
        <f t="shared" si="32"/>
        <v>72205.100000000006</v>
      </c>
      <c r="X19" s="55">
        <f t="shared" si="32"/>
        <v>72205.100000000006</v>
      </c>
      <c r="Y19" s="55">
        <f t="shared" si="32"/>
        <v>72205.100000000006</v>
      </c>
      <c r="Z19" s="55">
        <f t="shared" si="32"/>
        <v>72205.100000000006</v>
      </c>
      <c r="AA19" s="55">
        <f t="shared" si="32"/>
        <v>72205.100000000006</v>
      </c>
      <c r="AB19" s="55">
        <f t="shared" si="32"/>
        <v>72205.100000000006</v>
      </c>
      <c r="AC19" s="55">
        <f t="shared" si="32"/>
        <v>72205.100000000006</v>
      </c>
      <c r="AD19" s="55">
        <f t="shared" si="32"/>
        <v>72205.100000000006</v>
      </c>
      <c r="AE19" s="55">
        <f t="shared" si="32"/>
        <v>72205.100000000006</v>
      </c>
      <c r="AF19" s="55">
        <f t="shared" si="32"/>
        <v>72205.100000000006</v>
      </c>
      <c r="AG19" s="55">
        <f t="shared" si="32"/>
        <v>0</v>
      </c>
      <c r="AH19" s="55">
        <f t="shared" si="32"/>
        <v>0</v>
      </c>
      <c r="AI19" s="55">
        <f t="shared" si="32"/>
        <v>0</v>
      </c>
      <c r="AJ19" s="55">
        <f t="shared" si="32"/>
        <v>0</v>
      </c>
      <c r="AK19" s="55">
        <f t="shared" si="32"/>
        <v>0</v>
      </c>
      <c r="AL19" s="55">
        <f t="shared" si="32"/>
        <v>0</v>
      </c>
      <c r="AM19" s="55">
        <f t="shared" si="32"/>
        <v>0</v>
      </c>
      <c r="AN19" s="55">
        <f t="shared" si="32"/>
        <v>0</v>
      </c>
      <c r="AO19" s="55">
        <f t="shared" si="32"/>
        <v>0</v>
      </c>
      <c r="AP19" s="55">
        <f t="shared" si="32"/>
        <v>0</v>
      </c>
      <c r="AQ19" s="55">
        <f t="shared" si="32"/>
        <v>0</v>
      </c>
      <c r="AR19" s="55">
        <f t="shared" si="32"/>
        <v>0</v>
      </c>
      <c r="AS19" s="55">
        <f t="shared" si="32"/>
        <v>0</v>
      </c>
      <c r="AT19" s="55">
        <f t="shared" si="32"/>
        <v>0</v>
      </c>
      <c r="AU19" s="55">
        <f t="shared" si="32"/>
        <v>0</v>
      </c>
      <c r="AV19" s="55">
        <f t="shared" si="32"/>
        <v>0</v>
      </c>
      <c r="AW19" s="55">
        <f t="shared" si="32"/>
        <v>0</v>
      </c>
      <c r="AX19" s="55">
        <f t="shared" si="32"/>
        <v>0</v>
      </c>
      <c r="AY19" s="55">
        <f t="shared" si="32"/>
        <v>0</v>
      </c>
      <c r="AZ19" s="55">
        <f t="shared" si="32"/>
        <v>0</v>
      </c>
      <c r="BA19" s="55">
        <f t="shared" si="32"/>
        <v>0</v>
      </c>
      <c r="BB19" s="55">
        <f t="shared" si="32"/>
        <v>0</v>
      </c>
      <c r="BC19" s="55">
        <f t="shared" si="32"/>
        <v>0</v>
      </c>
      <c r="BD19" s="55">
        <f t="shared" si="32"/>
        <v>0</v>
      </c>
      <c r="BE19" s="55">
        <f t="shared" si="32"/>
        <v>0</v>
      </c>
      <c r="BF19" s="55">
        <f t="shared" si="32"/>
        <v>0</v>
      </c>
      <c r="BG19" s="55">
        <f t="shared" si="32"/>
        <v>0</v>
      </c>
      <c r="BH19" s="55">
        <f t="shared" si="32"/>
        <v>0</v>
      </c>
      <c r="BI19" s="55">
        <f t="shared" si="32"/>
        <v>0</v>
      </c>
      <c r="BJ19" s="55">
        <f t="shared" si="32"/>
        <v>0</v>
      </c>
      <c r="BK19" s="55">
        <f t="shared" si="32"/>
        <v>0</v>
      </c>
      <c r="BL19" s="55">
        <f t="shared" si="32"/>
        <v>0</v>
      </c>
      <c r="BM19" s="55">
        <f t="shared" si="32"/>
        <v>0</v>
      </c>
      <c r="BN19" s="55">
        <f t="shared" si="32"/>
        <v>0</v>
      </c>
      <c r="BO19" s="55">
        <f t="shared" si="32"/>
        <v>0</v>
      </c>
      <c r="BP19" s="55">
        <f t="shared" si="32"/>
        <v>0</v>
      </c>
      <c r="BQ19" s="55">
        <f t="shared" si="32"/>
        <v>0</v>
      </c>
      <c r="BR19" s="55">
        <f t="shared" si="32"/>
        <v>0</v>
      </c>
      <c r="BS19" s="55">
        <f t="shared" si="32"/>
        <v>0</v>
      </c>
      <c r="BT19" s="55">
        <f t="shared" si="32"/>
        <v>0</v>
      </c>
      <c r="BU19" s="55">
        <f t="shared" si="32"/>
        <v>0</v>
      </c>
      <c r="BV19" s="55">
        <f t="shared" si="32"/>
        <v>0</v>
      </c>
      <c r="BW19" s="55">
        <f t="shared" si="30"/>
        <v>0</v>
      </c>
      <c r="BX19" s="55">
        <f t="shared" si="30"/>
        <v>0</v>
      </c>
      <c r="BY19" s="55">
        <f t="shared" si="30"/>
        <v>0</v>
      </c>
      <c r="BZ19" s="55">
        <f t="shared" si="30"/>
        <v>0</v>
      </c>
      <c r="CA19" s="55">
        <f t="shared" si="30"/>
        <v>0</v>
      </c>
      <c r="CB19" s="55">
        <f t="shared" si="30"/>
        <v>0</v>
      </c>
      <c r="CC19" s="55">
        <f t="shared" si="30"/>
        <v>0</v>
      </c>
      <c r="CD19" s="55">
        <f t="shared" si="30"/>
        <v>0</v>
      </c>
      <c r="CE19" s="55">
        <f t="shared" si="30"/>
        <v>0</v>
      </c>
      <c r="CF19" s="55">
        <f t="shared" si="30"/>
        <v>0</v>
      </c>
      <c r="CG19" s="55">
        <f t="shared" si="30"/>
        <v>0</v>
      </c>
      <c r="CH19" s="55">
        <f t="shared" si="30"/>
        <v>0</v>
      </c>
      <c r="CI19" s="55">
        <f t="shared" si="30"/>
        <v>0</v>
      </c>
      <c r="CJ19" s="55">
        <f t="shared" si="30"/>
        <v>0</v>
      </c>
      <c r="CK19" s="55">
        <f t="shared" si="30"/>
        <v>0</v>
      </c>
      <c r="CL19" s="55">
        <f t="shared" si="31"/>
        <v>0</v>
      </c>
      <c r="CM19" s="55">
        <f t="shared" si="31"/>
        <v>0</v>
      </c>
      <c r="CN19" s="55">
        <f t="shared" si="31"/>
        <v>0</v>
      </c>
      <c r="CO19" s="55">
        <f t="shared" si="31"/>
        <v>0</v>
      </c>
      <c r="CP19" s="55">
        <f t="shared" si="31"/>
        <v>0</v>
      </c>
      <c r="CQ19" s="55">
        <f t="shared" si="31"/>
        <v>0</v>
      </c>
      <c r="CR19" s="55">
        <f t="shared" si="31"/>
        <v>0</v>
      </c>
      <c r="CS19" s="55">
        <f t="shared" si="31"/>
        <v>0</v>
      </c>
      <c r="CT19" s="55">
        <f t="shared" si="31"/>
        <v>0</v>
      </c>
      <c r="CU19" s="55">
        <f t="shared" si="31"/>
        <v>0</v>
      </c>
      <c r="CV19" s="55">
        <f t="shared" si="31"/>
        <v>0</v>
      </c>
      <c r="CW19" s="55">
        <f t="shared" si="31"/>
        <v>0</v>
      </c>
      <c r="CX19" s="55">
        <f t="shared" si="31"/>
        <v>0</v>
      </c>
      <c r="CY19" s="55">
        <f t="shared" si="31"/>
        <v>0</v>
      </c>
      <c r="CZ19" s="55">
        <f t="shared" si="31"/>
        <v>0</v>
      </c>
      <c r="DA19" s="55">
        <f t="shared" si="31"/>
        <v>0</v>
      </c>
      <c r="DB19" s="55">
        <f t="shared" si="31"/>
        <v>0</v>
      </c>
      <c r="DC19" s="55">
        <f t="shared" si="31"/>
        <v>0</v>
      </c>
      <c r="DD19" s="55">
        <f t="shared" si="31"/>
        <v>0</v>
      </c>
      <c r="DE19" s="55">
        <f t="shared" si="31"/>
        <v>0</v>
      </c>
      <c r="DF19" s="55">
        <f t="shared" si="31"/>
        <v>0</v>
      </c>
      <c r="DG19" s="55">
        <f t="shared" si="31"/>
        <v>0</v>
      </c>
      <c r="DH19" s="55">
        <f t="shared" si="31"/>
        <v>0</v>
      </c>
      <c r="DI19" s="55">
        <f t="shared" si="31"/>
        <v>0</v>
      </c>
      <c r="DJ19" s="55">
        <f t="shared" si="31"/>
        <v>0</v>
      </c>
      <c r="DK19" s="55">
        <f t="shared" si="31"/>
        <v>0</v>
      </c>
      <c r="DL19" s="55">
        <f t="shared" si="31"/>
        <v>0</v>
      </c>
      <c r="DM19" s="55">
        <f t="shared" si="31"/>
        <v>0</v>
      </c>
      <c r="DN19" s="55">
        <f t="shared" si="31"/>
        <v>0</v>
      </c>
      <c r="DO19" s="55">
        <f t="shared" si="31"/>
        <v>0</v>
      </c>
      <c r="DP19" s="55">
        <f t="shared" si="31"/>
        <v>0</v>
      </c>
      <c r="DQ19" s="55">
        <f t="shared" si="31"/>
        <v>0</v>
      </c>
      <c r="DR19" s="55">
        <f t="shared" si="31"/>
        <v>0</v>
      </c>
      <c r="DS19" s="55">
        <f t="shared" si="31"/>
        <v>0</v>
      </c>
      <c r="DT19" s="55">
        <f t="shared" si="31"/>
        <v>0</v>
      </c>
      <c r="DU19" s="55">
        <f t="shared" si="31"/>
        <v>0</v>
      </c>
      <c r="DV19" s="55">
        <f t="shared" si="31"/>
        <v>0</v>
      </c>
      <c r="DW19" s="55">
        <f t="shared" si="31"/>
        <v>0</v>
      </c>
      <c r="DX19" s="55">
        <f t="shared" si="31"/>
        <v>0</v>
      </c>
      <c r="DY19" s="55">
        <f t="shared" si="31"/>
        <v>0</v>
      </c>
    </row>
    <row r="20" spans="1:129" x14ac:dyDescent="0.45">
      <c r="A20" s="3">
        <v>46022</v>
      </c>
      <c r="B20" s="2" t="s">
        <v>19</v>
      </c>
      <c r="C20" s="4" t="s">
        <v>21</v>
      </c>
      <c r="D20" s="16"/>
      <c r="E20" s="54"/>
      <c r="F20" s="54"/>
      <c r="G20" s="54"/>
      <c r="H20" s="54"/>
      <c r="I20" s="13">
        <v>50161.059000000001</v>
      </c>
      <c r="J20" s="58">
        <f>SUM(J21:J22)</f>
        <v>49961.149883333332</v>
      </c>
      <c r="K20" s="58">
        <f t="shared" ref="K20:BV20" si="33">SUM(K21:K22)</f>
        <v>49761.24076666667</v>
      </c>
      <c r="L20" s="58">
        <f t="shared" si="33"/>
        <v>49561.33165</v>
      </c>
      <c r="M20" s="58">
        <f t="shared" si="33"/>
        <v>49361.422533333331</v>
      </c>
      <c r="N20" s="58">
        <f t="shared" si="33"/>
        <v>49161.513416666668</v>
      </c>
      <c r="O20" s="58">
        <f t="shared" si="33"/>
        <v>48961.604299999999</v>
      </c>
      <c r="P20" s="58">
        <f t="shared" si="33"/>
        <v>48761.69518333333</v>
      </c>
      <c r="Q20" s="58">
        <f t="shared" si="33"/>
        <v>48561.786066666667</v>
      </c>
      <c r="R20" s="58">
        <f t="shared" si="33"/>
        <v>48361.876950000005</v>
      </c>
      <c r="S20" s="58">
        <f t="shared" si="33"/>
        <v>48161.967833333329</v>
      </c>
      <c r="T20" s="58">
        <f t="shared" si="33"/>
        <v>47962.058716666666</v>
      </c>
      <c r="U20" s="58">
        <f t="shared" si="33"/>
        <v>47762.149600000004</v>
      </c>
      <c r="V20" s="58">
        <f t="shared" si="33"/>
        <v>47562.240483333335</v>
      </c>
      <c r="W20" s="58">
        <f t="shared" si="33"/>
        <v>47362.331366666665</v>
      </c>
      <c r="X20" s="58">
        <f t="shared" si="33"/>
        <v>47162.422250000003</v>
      </c>
      <c r="Y20" s="58">
        <f t="shared" si="33"/>
        <v>46962.513133333334</v>
      </c>
      <c r="Z20" s="58">
        <f t="shared" si="33"/>
        <v>46762.604016666664</v>
      </c>
      <c r="AA20" s="58">
        <f t="shared" si="33"/>
        <v>46562.694900000002</v>
      </c>
      <c r="AB20" s="58">
        <f t="shared" si="33"/>
        <v>46362.785783333333</v>
      </c>
      <c r="AC20" s="58">
        <f t="shared" si="33"/>
        <v>46162.876666666663</v>
      </c>
      <c r="AD20" s="58">
        <f t="shared" si="33"/>
        <v>45962.967550000001</v>
      </c>
      <c r="AE20" s="58">
        <f t="shared" si="33"/>
        <v>45763.058433333339</v>
      </c>
      <c r="AF20" s="58">
        <f t="shared" si="33"/>
        <v>45563.14931666667</v>
      </c>
      <c r="AG20" s="58">
        <f t="shared" si="33"/>
        <v>45363.2402</v>
      </c>
      <c r="AH20" s="58">
        <f t="shared" si="33"/>
        <v>45163.331083333338</v>
      </c>
      <c r="AI20" s="58">
        <f t="shared" si="33"/>
        <v>44963.421966666669</v>
      </c>
      <c r="AJ20" s="58">
        <f t="shared" si="33"/>
        <v>44763.512849999999</v>
      </c>
      <c r="AK20" s="58">
        <f t="shared" si="33"/>
        <v>44563.603733333337</v>
      </c>
      <c r="AL20" s="58">
        <f t="shared" si="33"/>
        <v>44363.694616666668</v>
      </c>
      <c r="AM20" s="58">
        <f t="shared" si="33"/>
        <v>44163.785499999998</v>
      </c>
      <c r="AN20" s="58">
        <f t="shared" si="33"/>
        <v>43963.876383333336</v>
      </c>
      <c r="AO20" s="58">
        <f t="shared" si="33"/>
        <v>43763.967266666667</v>
      </c>
      <c r="AP20" s="58">
        <f t="shared" si="33"/>
        <v>43564.058149999997</v>
      </c>
      <c r="AQ20" s="58">
        <f t="shared" si="33"/>
        <v>43364.149033333335</v>
      </c>
      <c r="AR20" s="58">
        <f t="shared" si="33"/>
        <v>43164.239916666673</v>
      </c>
      <c r="AS20" s="58">
        <f t="shared" si="33"/>
        <v>42964.330799999996</v>
      </c>
      <c r="AT20" s="58">
        <f t="shared" si="33"/>
        <v>42764.421683333334</v>
      </c>
      <c r="AU20" s="58">
        <f t="shared" si="33"/>
        <v>42564.512566666672</v>
      </c>
      <c r="AV20" s="58">
        <f t="shared" si="33"/>
        <v>42364.603450000002</v>
      </c>
      <c r="AW20" s="58">
        <f t="shared" si="33"/>
        <v>42164.694333333333</v>
      </c>
      <c r="AX20" s="58">
        <f t="shared" si="33"/>
        <v>41964.785216666671</v>
      </c>
      <c r="AY20" s="58">
        <f t="shared" si="33"/>
        <v>41764.876100000001</v>
      </c>
      <c r="AZ20" s="58">
        <f t="shared" si="33"/>
        <v>41564.966983333332</v>
      </c>
      <c r="BA20" s="58">
        <f t="shared" si="33"/>
        <v>41365.05786666667</v>
      </c>
      <c r="BB20" s="58">
        <f t="shared" si="33"/>
        <v>41165.14875</v>
      </c>
      <c r="BC20" s="58">
        <f t="shared" si="33"/>
        <v>40965.239633333331</v>
      </c>
      <c r="BD20" s="58">
        <f t="shared" si="33"/>
        <v>40765.330516666669</v>
      </c>
      <c r="BE20" s="58">
        <f t="shared" si="33"/>
        <v>40565.421399999999</v>
      </c>
      <c r="BF20" s="58">
        <f t="shared" si="33"/>
        <v>40365.51228333333</v>
      </c>
      <c r="BG20" s="58">
        <f t="shared" si="33"/>
        <v>40165.603166666668</v>
      </c>
      <c r="BH20" s="58">
        <f t="shared" si="33"/>
        <v>39965.694049999998</v>
      </c>
      <c r="BI20" s="58">
        <f t="shared" si="33"/>
        <v>39765.784933333336</v>
      </c>
      <c r="BJ20" s="58">
        <f t="shared" si="33"/>
        <v>39565.875816666667</v>
      </c>
      <c r="BK20" s="58">
        <f t="shared" si="33"/>
        <v>39365.966700000004</v>
      </c>
      <c r="BL20" s="58">
        <f t="shared" si="33"/>
        <v>39166.057583333335</v>
      </c>
      <c r="BM20" s="58">
        <f t="shared" si="33"/>
        <v>38966.148466666666</v>
      </c>
      <c r="BN20" s="58">
        <f t="shared" si="33"/>
        <v>38766.239350000003</v>
      </c>
      <c r="BO20" s="58">
        <f t="shared" si="33"/>
        <v>38566.330233333334</v>
      </c>
      <c r="BP20" s="58">
        <f t="shared" si="33"/>
        <v>38366.421116666665</v>
      </c>
      <c r="BQ20" s="58">
        <f t="shared" si="33"/>
        <v>11994.547</v>
      </c>
      <c r="BR20" s="58">
        <f t="shared" si="33"/>
        <v>11794.637883333333</v>
      </c>
      <c r="BS20" s="58">
        <f t="shared" si="33"/>
        <v>11594.728766666667</v>
      </c>
      <c r="BT20" s="58">
        <f t="shared" si="33"/>
        <v>11394.819649999999</v>
      </c>
      <c r="BU20" s="58">
        <f t="shared" si="33"/>
        <v>11194.910533333334</v>
      </c>
      <c r="BV20" s="58">
        <f t="shared" si="33"/>
        <v>10995.001416666666</v>
      </c>
      <c r="BW20" s="58">
        <f t="shared" ref="BW20:DY20" si="34">SUM(BW21:BW22)</f>
        <v>10795.0923</v>
      </c>
      <c r="BX20" s="58">
        <f t="shared" si="34"/>
        <v>10595.183183333333</v>
      </c>
      <c r="BY20" s="58">
        <f t="shared" si="34"/>
        <v>10395.274066666667</v>
      </c>
      <c r="BZ20" s="58">
        <f t="shared" si="34"/>
        <v>10195.364950000001</v>
      </c>
      <c r="CA20" s="58">
        <f t="shared" si="34"/>
        <v>9995.4558333333334</v>
      </c>
      <c r="CB20" s="58">
        <f t="shared" si="34"/>
        <v>9795.5467166666676</v>
      </c>
      <c r="CC20" s="58">
        <f t="shared" si="34"/>
        <v>9595.6376</v>
      </c>
      <c r="CD20" s="58">
        <f t="shared" si="34"/>
        <v>9395.7284833333342</v>
      </c>
      <c r="CE20" s="58">
        <f t="shared" si="34"/>
        <v>9195.8193666666684</v>
      </c>
      <c r="CF20" s="58">
        <f t="shared" si="34"/>
        <v>8995.9102500000008</v>
      </c>
      <c r="CG20" s="58">
        <f t="shared" si="34"/>
        <v>8796.0011333333332</v>
      </c>
      <c r="CH20" s="58">
        <f t="shared" si="34"/>
        <v>8596.0920166666674</v>
      </c>
      <c r="CI20" s="58">
        <f t="shared" si="34"/>
        <v>8396.1828999999998</v>
      </c>
      <c r="CJ20" s="58">
        <f t="shared" si="34"/>
        <v>8196.273783333334</v>
      </c>
      <c r="CK20" s="58">
        <f t="shared" si="34"/>
        <v>7996.3646666666664</v>
      </c>
      <c r="CL20" s="58">
        <f t="shared" si="34"/>
        <v>7796.4555500000006</v>
      </c>
      <c r="CM20" s="58">
        <f t="shared" si="34"/>
        <v>7596.546433333333</v>
      </c>
      <c r="CN20" s="58">
        <f t="shared" si="34"/>
        <v>7396.6373166666672</v>
      </c>
      <c r="CO20" s="58">
        <f t="shared" si="34"/>
        <v>7196.7282000000005</v>
      </c>
      <c r="CP20" s="58">
        <f t="shared" si="34"/>
        <v>6996.8190833333338</v>
      </c>
      <c r="CQ20" s="58">
        <f t="shared" si="34"/>
        <v>6796.9099666666671</v>
      </c>
      <c r="CR20" s="58">
        <f t="shared" si="34"/>
        <v>6597.0008500000004</v>
      </c>
      <c r="CS20" s="58">
        <f t="shared" si="34"/>
        <v>6397.0917333333337</v>
      </c>
      <c r="CT20" s="58">
        <f t="shared" si="34"/>
        <v>6197.1826166666679</v>
      </c>
      <c r="CU20" s="58">
        <f t="shared" si="34"/>
        <v>5997.2735000000002</v>
      </c>
      <c r="CV20" s="58">
        <f t="shared" si="34"/>
        <v>5797.3643833333335</v>
      </c>
      <c r="CW20" s="58">
        <f t="shared" si="34"/>
        <v>5597.4552666666668</v>
      </c>
      <c r="CX20" s="58">
        <f t="shared" si="34"/>
        <v>5397.5461500000001</v>
      </c>
      <c r="CY20" s="58">
        <f t="shared" si="34"/>
        <v>5197.6370333333334</v>
      </c>
      <c r="CZ20" s="58">
        <f t="shared" si="34"/>
        <v>4997.7279166666667</v>
      </c>
      <c r="DA20" s="58">
        <f t="shared" si="34"/>
        <v>4797.8188</v>
      </c>
      <c r="DB20" s="58">
        <f t="shared" si="34"/>
        <v>4597.9096833333342</v>
      </c>
      <c r="DC20" s="58">
        <f t="shared" si="34"/>
        <v>4398.0005666666666</v>
      </c>
      <c r="DD20" s="58">
        <f t="shared" si="34"/>
        <v>4198.0914499999999</v>
      </c>
      <c r="DE20" s="58">
        <f t="shared" si="34"/>
        <v>3998.1823333333332</v>
      </c>
      <c r="DF20" s="58">
        <f t="shared" si="34"/>
        <v>3798.2732166666665</v>
      </c>
      <c r="DG20" s="58">
        <f t="shared" si="34"/>
        <v>3598.3641000000002</v>
      </c>
      <c r="DH20" s="58">
        <f t="shared" si="34"/>
        <v>3398.4549833333335</v>
      </c>
      <c r="DI20" s="58">
        <f t="shared" si="34"/>
        <v>3198.5458666666668</v>
      </c>
      <c r="DJ20" s="58">
        <f t="shared" si="34"/>
        <v>2998.6367500000001</v>
      </c>
      <c r="DK20" s="58">
        <f t="shared" si="34"/>
        <v>2798.7276333333334</v>
      </c>
      <c r="DL20" s="58">
        <f t="shared" si="34"/>
        <v>2598.8185166666667</v>
      </c>
      <c r="DM20" s="58">
        <f t="shared" si="34"/>
        <v>2398.9094</v>
      </c>
      <c r="DN20" s="58">
        <f t="shared" si="34"/>
        <v>2199.0002833333333</v>
      </c>
      <c r="DO20" s="58">
        <f t="shared" si="34"/>
        <v>1999.0911666666666</v>
      </c>
      <c r="DP20" s="58">
        <f t="shared" si="34"/>
        <v>1799.1820500000001</v>
      </c>
      <c r="DQ20" s="58">
        <f t="shared" si="34"/>
        <v>1599.2729333333334</v>
      </c>
      <c r="DR20" s="58">
        <f t="shared" si="34"/>
        <v>1399.3638166666667</v>
      </c>
      <c r="DS20" s="58">
        <f t="shared" si="34"/>
        <v>1199.4547</v>
      </c>
      <c r="DT20" s="58">
        <f t="shared" si="34"/>
        <v>999.5455833333333</v>
      </c>
      <c r="DU20" s="58">
        <f t="shared" si="34"/>
        <v>799.63646666666671</v>
      </c>
      <c r="DV20" s="58">
        <f t="shared" si="34"/>
        <v>599.72735</v>
      </c>
      <c r="DW20" s="58">
        <f t="shared" si="34"/>
        <v>399.81823333333335</v>
      </c>
      <c r="DX20" s="58">
        <f t="shared" si="34"/>
        <v>199.90911666666668</v>
      </c>
      <c r="DY20" s="58">
        <f t="shared" si="34"/>
        <v>0</v>
      </c>
    </row>
    <row r="21" spans="1:129" x14ac:dyDescent="0.45">
      <c r="A21" s="3">
        <v>46022</v>
      </c>
      <c r="B21" s="2" t="s">
        <v>19</v>
      </c>
      <c r="C21" s="6" t="s">
        <v>5</v>
      </c>
      <c r="D21" s="17">
        <v>0</v>
      </c>
      <c r="E21" s="2" t="s">
        <v>49</v>
      </c>
      <c r="F21" s="2">
        <v>120</v>
      </c>
      <c r="G21" s="2" t="s">
        <v>43</v>
      </c>
      <c r="H21" s="2">
        <v>120</v>
      </c>
      <c r="I21" s="14">
        <v>23989.094000000001</v>
      </c>
      <c r="J21" s="55">
        <f>IF(J$1&lt;$F21,$I21*(($F21-J$1)/$F21),0)</f>
        <v>23789.184883333335</v>
      </c>
      <c r="K21" s="55">
        <f t="shared" ref="K21:BV21" si="35">IF(K$1&lt;$F21,$I21*(($F21-K$1)/$F21),0)</f>
        <v>23589.275766666666</v>
      </c>
      <c r="L21" s="55">
        <f t="shared" si="35"/>
        <v>23389.36665</v>
      </c>
      <c r="M21" s="55">
        <f t="shared" si="35"/>
        <v>23189.457533333334</v>
      </c>
      <c r="N21" s="55">
        <f t="shared" si="35"/>
        <v>22989.548416666668</v>
      </c>
      <c r="O21" s="55">
        <f t="shared" si="35"/>
        <v>22789.639299999999</v>
      </c>
      <c r="P21" s="55">
        <f t="shared" si="35"/>
        <v>22589.730183333333</v>
      </c>
      <c r="Q21" s="55">
        <f t="shared" si="35"/>
        <v>22389.821066666667</v>
      </c>
      <c r="R21" s="55">
        <f t="shared" si="35"/>
        <v>22189.911950000002</v>
      </c>
      <c r="S21" s="55">
        <f t="shared" si="35"/>
        <v>21990.002833333332</v>
      </c>
      <c r="T21" s="55">
        <f t="shared" si="35"/>
        <v>21790.093716666666</v>
      </c>
      <c r="U21" s="55">
        <f t="shared" si="35"/>
        <v>21590.184600000001</v>
      </c>
      <c r="V21" s="55">
        <f t="shared" si="35"/>
        <v>21390.275483333335</v>
      </c>
      <c r="W21" s="55">
        <f t="shared" si="35"/>
        <v>21190.366366666665</v>
      </c>
      <c r="X21" s="55">
        <f t="shared" si="35"/>
        <v>20990.457249999999</v>
      </c>
      <c r="Y21" s="55">
        <f t="shared" si="35"/>
        <v>20790.548133333334</v>
      </c>
      <c r="Z21" s="55">
        <f t="shared" si="35"/>
        <v>20590.639016666668</v>
      </c>
      <c r="AA21" s="55">
        <f t="shared" si="35"/>
        <v>20390.729900000002</v>
      </c>
      <c r="AB21" s="55">
        <f t="shared" si="35"/>
        <v>20190.820783333333</v>
      </c>
      <c r="AC21" s="55">
        <f t="shared" si="35"/>
        <v>19990.911666666667</v>
      </c>
      <c r="AD21" s="55">
        <f t="shared" si="35"/>
        <v>19791.002550000001</v>
      </c>
      <c r="AE21" s="55">
        <f t="shared" si="35"/>
        <v>19591.093433333335</v>
      </c>
      <c r="AF21" s="55">
        <f t="shared" si="35"/>
        <v>19391.184316666669</v>
      </c>
      <c r="AG21" s="55">
        <f t="shared" si="35"/>
        <v>19191.2752</v>
      </c>
      <c r="AH21" s="55">
        <f t="shared" si="35"/>
        <v>18991.366083333334</v>
      </c>
      <c r="AI21" s="55">
        <f t="shared" si="35"/>
        <v>18791.456966666668</v>
      </c>
      <c r="AJ21" s="55">
        <f t="shared" si="35"/>
        <v>18591.547850000003</v>
      </c>
      <c r="AK21" s="55">
        <f t="shared" si="35"/>
        <v>18391.638733333337</v>
      </c>
      <c r="AL21" s="55">
        <f t="shared" si="35"/>
        <v>18191.729616666667</v>
      </c>
      <c r="AM21" s="55">
        <f t="shared" si="35"/>
        <v>17991.820500000002</v>
      </c>
      <c r="AN21" s="55">
        <f t="shared" si="35"/>
        <v>17791.911383333336</v>
      </c>
      <c r="AO21" s="55">
        <f t="shared" si="35"/>
        <v>17592.002266666666</v>
      </c>
      <c r="AP21" s="55">
        <f t="shared" si="35"/>
        <v>17392.093150000001</v>
      </c>
      <c r="AQ21" s="55">
        <f t="shared" si="35"/>
        <v>17192.184033333335</v>
      </c>
      <c r="AR21" s="55">
        <f t="shared" si="35"/>
        <v>16992.274916666669</v>
      </c>
      <c r="AS21" s="55">
        <f t="shared" si="35"/>
        <v>16792.3658</v>
      </c>
      <c r="AT21" s="55">
        <f t="shared" si="35"/>
        <v>16592.456683333334</v>
      </c>
      <c r="AU21" s="55">
        <f t="shared" si="35"/>
        <v>16392.547566666668</v>
      </c>
      <c r="AV21" s="55">
        <f t="shared" si="35"/>
        <v>16192.638450000002</v>
      </c>
      <c r="AW21" s="55">
        <f t="shared" si="35"/>
        <v>15992.729333333333</v>
      </c>
      <c r="AX21" s="55">
        <f t="shared" si="35"/>
        <v>15792.820216666667</v>
      </c>
      <c r="AY21" s="55">
        <f t="shared" si="35"/>
        <v>15592.911100000001</v>
      </c>
      <c r="AZ21" s="55">
        <f t="shared" si="35"/>
        <v>15393.001983333335</v>
      </c>
      <c r="BA21" s="55">
        <f t="shared" si="35"/>
        <v>15193.092866666666</v>
      </c>
      <c r="BB21" s="55">
        <f t="shared" si="35"/>
        <v>14993.18375</v>
      </c>
      <c r="BC21" s="55">
        <f t="shared" si="35"/>
        <v>14793.274633333334</v>
      </c>
      <c r="BD21" s="55">
        <f t="shared" si="35"/>
        <v>14593.365516666667</v>
      </c>
      <c r="BE21" s="55">
        <f t="shared" si="35"/>
        <v>14393.456400000001</v>
      </c>
      <c r="BF21" s="55">
        <f t="shared" si="35"/>
        <v>14193.547283333333</v>
      </c>
      <c r="BG21" s="55">
        <f t="shared" si="35"/>
        <v>13993.638166666668</v>
      </c>
      <c r="BH21" s="55">
        <f t="shared" si="35"/>
        <v>13793.72905</v>
      </c>
      <c r="BI21" s="55">
        <f t="shared" si="35"/>
        <v>13593.819933333334</v>
      </c>
      <c r="BJ21" s="55">
        <f t="shared" si="35"/>
        <v>13393.910816666668</v>
      </c>
      <c r="BK21" s="55">
        <f t="shared" si="35"/>
        <v>13194.001700000001</v>
      </c>
      <c r="BL21" s="55">
        <f t="shared" si="35"/>
        <v>12994.092583333333</v>
      </c>
      <c r="BM21" s="55">
        <f t="shared" si="35"/>
        <v>12794.183466666667</v>
      </c>
      <c r="BN21" s="55">
        <f t="shared" si="35"/>
        <v>12594.274350000002</v>
      </c>
      <c r="BO21" s="55">
        <f t="shared" si="35"/>
        <v>12394.365233333336</v>
      </c>
      <c r="BP21" s="55">
        <f t="shared" si="35"/>
        <v>12194.456116666666</v>
      </c>
      <c r="BQ21" s="55">
        <f t="shared" si="35"/>
        <v>11994.547</v>
      </c>
      <c r="BR21" s="55">
        <f t="shared" si="35"/>
        <v>11794.637883333333</v>
      </c>
      <c r="BS21" s="55">
        <f t="shared" si="35"/>
        <v>11594.728766666667</v>
      </c>
      <c r="BT21" s="55">
        <f t="shared" si="35"/>
        <v>11394.819649999999</v>
      </c>
      <c r="BU21" s="55">
        <f t="shared" si="35"/>
        <v>11194.910533333334</v>
      </c>
      <c r="BV21" s="55">
        <f t="shared" si="35"/>
        <v>10995.001416666666</v>
      </c>
      <c r="BW21" s="55">
        <f t="shared" ref="BW21:DY21" si="36">IF(BW$1&lt;$F21,$I21*(($F21-BW$1)/$F21),0)</f>
        <v>10795.0923</v>
      </c>
      <c r="BX21" s="55">
        <f t="shared" si="36"/>
        <v>10595.183183333333</v>
      </c>
      <c r="BY21" s="55">
        <f t="shared" si="36"/>
        <v>10395.274066666667</v>
      </c>
      <c r="BZ21" s="55">
        <f t="shared" si="36"/>
        <v>10195.364950000001</v>
      </c>
      <c r="CA21" s="55">
        <f t="shared" si="36"/>
        <v>9995.4558333333334</v>
      </c>
      <c r="CB21" s="55">
        <f t="shared" si="36"/>
        <v>9795.5467166666676</v>
      </c>
      <c r="CC21" s="55">
        <f t="shared" si="36"/>
        <v>9595.6376</v>
      </c>
      <c r="CD21" s="55">
        <f t="shared" si="36"/>
        <v>9395.7284833333342</v>
      </c>
      <c r="CE21" s="55">
        <f t="shared" si="36"/>
        <v>9195.8193666666684</v>
      </c>
      <c r="CF21" s="55">
        <f t="shared" si="36"/>
        <v>8995.9102500000008</v>
      </c>
      <c r="CG21" s="55">
        <f t="shared" si="36"/>
        <v>8796.0011333333332</v>
      </c>
      <c r="CH21" s="55">
        <f t="shared" si="36"/>
        <v>8596.0920166666674</v>
      </c>
      <c r="CI21" s="55">
        <f t="shared" si="36"/>
        <v>8396.1828999999998</v>
      </c>
      <c r="CJ21" s="55">
        <f t="shared" si="36"/>
        <v>8196.273783333334</v>
      </c>
      <c r="CK21" s="55">
        <f t="shared" si="36"/>
        <v>7996.3646666666664</v>
      </c>
      <c r="CL21" s="55">
        <f t="shared" si="36"/>
        <v>7796.4555500000006</v>
      </c>
      <c r="CM21" s="55">
        <f t="shared" si="36"/>
        <v>7596.546433333333</v>
      </c>
      <c r="CN21" s="55">
        <f t="shared" si="36"/>
        <v>7396.6373166666672</v>
      </c>
      <c r="CO21" s="55">
        <f t="shared" si="36"/>
        <v>7196.7282000000005</v>
      </c>
      <c r="CP21" s="55">
        <f t="shared" si="36"/>
        <v>6996.8190833333338</v>
      </c>
      <c r="CQ21" s="55">
        <f t="shared" si="36"/>
        <v>6796.9099666666671</v>
      </c>
      <c r="CR21" s="55">
        <f t="shared" si="36"/>
        <v>6597.0008500000004</v>
      </c>
      <c r="CS21" s="55">
        <f t="shared" si="36"/>
        <v>6397.0917333333337</v>
      </c>
      <c r="CT21" s="55">
        <f t="shared" si="36"/>
        <v>6197.1826166666679</v>
      </c>
      <c r="CU21" s="55">
        <f t="shared" si="36"/>
        <v>5997.2735000000002</v>
      </c>
      <c r="CV21" s="55">
        <f t="shared" si="36"/>
        <v>5797.3643833333335</v>
      </c>
      <c r="CW21" s="55">
        <f t="shared" si="36"/>
        <v>5597.4552666666668</v>
      </c>
      <c r="CX21" s="55">
        <f t="shared" si="36"/>
        <v>5397.5461500000001</v>
      </c>
      <c r="CY21" s="55">
        <f t="shared" si="36"/>
        <v>5197.6370333333334</v>
      </c>
      <c r="CZ21" s="55">
        <f t="shared" si="36"/>
        <v>4997.7279166666667</v>
      </c>
      <c r="DA21" s="55">
        <f t="shared" si="36"/>
        <v>4797.8188</v>
      </c>
      <c r="DB21" s="55">
        <f t="shared" si="36"/>
        <v>4597.9096833333342</v>
      </c>
      <c r="DC21" s="55">
        <f t="shared" si="36"/>
        <v>4398.0005666666666</v>
      </c>
      <c r="DD21" s="55">
        <f t="shared" si="36"/>
        <v>4198.0914499999999</v>
      </c>
      <c r="DE21" s="55">
        <f t="shared" si="36"/>
        <v>3998.1823333333332</v>
      </c>
      <c r="DF21" s="55">
        <f t="shared" si="36"/>
        <v>3798.2732166666665</v>
      </c>
      <c r="DG21" s="55">
        <f t="shared" si="36"/>
        <v>3598.3641000000002</v>
      </c>
      <c r="DH21" s="55">
        <f t="shared" si="36"/>
        <v>3398.4549833333335</v>
      </c>
      <c r="DI21" s="55">
        <f t="shared" si="36"/>
        <v>3198.5458666666668</v>
      </c>
      <c r="DJ21" s="55">
        <f t="shared" si="36"/>
        <v>2998.6367500000001</v>
      </c>
      <c r="DK21" s="55">
        <f t="shared" si="36"/>
        <v>2798.7276333333334</v>
      </c>
      <c r="DL21" s="55">
        <f t="shared" si="36"/>
        <v>2598.8185166666667</v>
      </c>
      <c r="DM21" s="55">
        <f t="shared" si="36"/>
        <v>2398.9094</v>
      </c>
      <c r="DN21" s="55">
        <f t="shared" si="36"/>
        <v>2199.0002833333333</v>
      </c>
      <c r="DO21" s="55">
        <f t="shared" si="36"/>
        <v>1999.0911666666666</v>
      </c>
      <c r="DP21" s="55">
        <f t="shared" si="36"/>
        <v>1799.1820500000001</v>
      </c>
      <c r="DQ21" s="55">
        <f t="shared" si="36"/>
        <v>1599.2729333333334</v>
      </c>
      <c r="DR21" s="55">
        <f t="shared" si="36"/>
        <v>1399.3638166666667</v>
      </c>
      <c r="DS21" s="55">
        <f t="shared" si="36"/>
        <v>1199.4547</v>
      </c>
      <c r="DT21" s="55">
        <f t="shared" si="36"/>
        <v>999.5455833333333</v>
      </c>
      <c r="DU21" s="55">
        <f t="shared" si="36"/>
        <v>799.63646666666671</v>
      </c>
      <c r="DV21" s="55">
        <f t="shared" si="36"/>
        <v>599.72735</v>
      </c>
      <c r="DW21" s="55">
        <f t="shared" si="36"/>
        <v>399.81823333333335</v>
      </c>
      <c r="DX21" s="55">
        <f t="shared" si="36"/>
        <v>199.90911666666668</v>
      </c>
      <c r="DY21" s="55">
        <f t="shared" si="36"/>
        <v>0</v>
      </c>
    </row>
    <row r="22" spans="1:129" x14ac:dyDescent="0.45">
      <c r="A22" s="3">
        <v>46022</v>
      </c>
      <c r="B22" s="2" t="s">
        <v>19</v>
      </c>
      <c r="C22" s="6" t="s">
        <v>6</v>
      </c>
      <c r="D22" s="17">
        <v>8.3386457267199329E-3</v>
      </c>
      <c r="E22" s="2" t="s">
        <v>45</v>
      </c>
      <c r="F22" s="2">
        <v>60</v>
      </c>
      <c r="G22" s="2" t="s">
        <v>45</v>
      </c>
      <c r="H22" s="2">
        <v>60</v>
      </c>
      <c r="I22" s="14">
        <v>26171.965</v>
      </c>
      <c r="J22" s="55">
        <f t="shared" ref="J22" si="37">IF(J$1&lt;$F22,$I22,0)</f>
        <v>26171.965</v>
      </c>
      <c r="K22" s="55">
        <f t="shared" ref="K22:BU22" si="38">IF(K$1&lt;$F22,$I22,0)</f>
        <v>26171.965</v>
      </c>
      <c r="L22" s="55">
        <f t="shared" si="38"/>
        <v>26171.965</v>
      </c>
      <c r="M22" s="55">
        <f t="shared" si="38"/>
        <v>26171.965</v>
      </c>
      <c r="N22" s="55">
        <f t="shared" si="38"/>
        <v>26171.965</v>
      </c>
      <c r="O22" s="55">
        <f t="shared" si="38"/>
        <v>26171.965</v>
      </c>
      <c r="P22" s="55">
        <f t="shared" si="38"/>
        <v>26171.965</v>
      </c>
      <c r="Q22" s="55">
        <f t="shared" si="38"/>
        <v>26171.965</v>
      </c>
      <c r="R22" s="55">
        <f t="shared" si="38"/>
        <v>26171.965</v>
      </c>
      <c r="S22" s="55">
        <f t="shared" si="38"/>
        <v>26171.965</v>
      </c>
      <c r="T22" s="55">
        <f t="shared" si="38"/>
        <v>26171.965</v>
      </c>
      <c r="U22" s="55">
        <f t="shared" si="38"/>
        <v>26171.965</v>
      </c>
      <c r="V22" s="55">
        <f t="shared" si="38"/>
        <v>26171.965</v>
      </c>
      <c r="W22" s="55">
        <f t="shared" si="38"/>
        <v>26171.965</v>
      </c>
      <c r="X22" s="55">
        <f t="shared" si="38"/>
        <v>26171.965</v>
      </c>
      <c r="Y22" s="55">
        <f t="shared" si="38"/>
        <v>26171.965</v>
      </c>
      <c r="Z22" s="55">
        <f t="shared" si="38"/>
        <v>26171.965</v>
      </c>
      <c r="AA22" s="55">
        <f t="shared" si="38"/>
        <v>26171.965</v>
      </c>
      <c r="AB22" s="55">
        <f t="shared" si="38"/>
        <v>26171.965</v>
      </c>
      <c r="AC22" s="55">
        <f t="shared" si="38"/>
        <v>26171.965</v>
      </c>
      <c r="AD22" s="55">
        <f t="shared" si="38"/>
        <v>26171.965</v>
      </c>
      <c r="AE22" s="55">
        <f t="shared" si="38"/>
        <v>26171.965</v>
      </c>
      <c r="AF22" s="55">
        <f t="shared" si="38"/>
        <v>26171.965</v>
      </c>
      <c r="AG22" s="55">
        <f t="shared" si="38"/>
        <v>26171.965</v>
      </c>
      <c r="AH22" s="55">
        <f t="shared" si="38"/>
        <v>26171.965</v>
      </c>
      <c r="AI22" s="55">
        <f t="shared" si="38"/>
        <v>26171.965</v>
      </c>
      <c r="AJ22" s="55">
        <f t="shared" si="38"/>
        <v>26171.965</v>
      </c>
      <c r="AK22" s="55">
        <f t="shared" si="38"/>
        <v>26171.965</v>
      </c>
      <c r="AL22" s="55">
        <f t="shared" si="38"/>
        <v>26171.965</v>
      </c>
      <c r="AM22" s="55">
        <f t="shared" si="38"/>
        <v>26171.965</v>
      </c>
      <c r="AN22" s="55">
        <f t="shared" si="38"/>
        <v>26171.965</v>
      </c>
      <c r="AO22" s="55">
        <f t="shared" si="38"/>
        <v>26171.965</v>
      </c>
      <c r="AP22" s="55">
        <f t="shared" si="38"/>
        <v>26171.965</v>
      </c>
      <c r="AQ22" s="55">
        <f t="shared" si="38"/>
        <v>26171.965</v>
      </c>
      <c r="AR22" s="55">
        <f t="shared" si="38"/>
        <v>26171.965</v>
      </c>
      <c r="AS22" s="55">
        <f t="shared" si="38"/>
        <v>26171.965</v>
      </c>
      <c r="AT22" s="55">
        <f t="shared" si="38"/>
        <v>26171.965</v>
      </c>
      <c r="AU22" s="55">
        <f t="shared" si="38"/>
        <v>26171.965</v>
      </c>
      <c r="AV22" s="55">
        <f t="shared" si="38"/>
        <v>26171.965</v>
      </c>
      <c r="AW22" s="55">
        <f t="shared" si="38"/>
        <v>26171.965</v>
      </c>
      <c r="AX22" s="55">
        <f t="shared" si="38"/>
        <v>26171.965</v>
      </c>
      <c r="AY22" s="55">
        <f t="shared" si="38"/>
        <v>26171.965</v>
      </c>
      <c r="AZ22" s="55">
        <f t="shared" si="38"/>
        <v>26171.965</v>
      </c>
      <c r="BA22" s="55">
        <f t="shared" si="38"/>
        <v>26171.965</v>
      </c>
      <c r="BB22" s="55">
        <f t="shared" si="38"/>
        <v>26171.965</v>
      </c>
      <c r="BC22" s="55">
        <f t="shared" si="38"/>
        <v>26171.965</v>
      </c>
      <c r="BD22" s="55">
        <f t="shared" si="38"/>
        <v>26171.965</v>
      </c>
      <c r="BE22" s="55">
        <f t="shared" si="38"/>
        <v>26171.965</v>
      </c>
      <c r="BF22" s="55">
        <f t="shared" si="38"/>
        <v>26171.965</v>
      </c>
      <c r="BG22" s="55">
        <f t="shared" si="38"/>
        <v>26171.965</v>
      </c>
      <c r="BH22" s="55">
        <f t="shared" si="38"/>
        <v>26171.965</v>
      </c>
      <c r="BI22" s="55">
        <f t="shared" si="38"/>
        <v>26171.965</v>
      </c>
      <c r="BJ22" s="55">
        <f t="shared" si="38"/>
        <v>26171.965</v>
      </c>
      <c r="BK22" s="55">
        <f t="shared" si="38"/>
        <v>26171.965</v>
      </c>
      <c r="BL22" s="55">
        <f t="shared" si="38"/>
        <v>26171.965</v>
      </c>
      <c r="BM22" s="55">
        <f t="shared" si="38"/>
        <v>26171.965</v>
      </c>
      <c r="BN22" s="55">
        <f t="shared" si="38"/>
        <v>26171.965</v>
      </c>
      <c r="BO22" s="55">
        <f t="shared" si="38"/>
        <v>26171.965</v>
      </c>
      <c r="BP22" s="55">
        <f t="shared" si="38"/>
        <v>26171.965</v>
      </c>
      <c r="BQ22" s="55">
        <f t="shared" si="38"/>
        <v>0</v>
      </c>
      <c r="BR22" s="55">
        <f t="shared" si="38"/>
        <v>0</v>
      </c>
      <c r="BS22" s="55">
        <f t="shared" si="38"/>
        <v>0</v>
      </c>
      <c r="BT22" s="55">
        <f t="shared" si="38"/>
        <v>0</v>
      </c>
      <c r="BU22" s="55">
        <f t="shared" si="38"/>
        <v>0</v>
      </c>
      <c r="BV22" s="55">
        <f t="shared" ref="BV22:DY22" si="39">IF(BV$1&lt;$F22,$I22,0)</f>
        <v>0</v>
      </c>
      <c r="BW22" s="55">
        <f t="shared" si="39"/>
        <v>0</v>
      </c>
      <c r="BX22" s="55">
        <f t="shared" si="39"/>
        <v>0</v>
      </c>
      <c r="BY22" s="55">
        <f t="shared" si="39"/>
        <v>0</v>
      </c>
      <c r="BZ22" s="55">
        <f t="shared" si="39"/>
        <v>0</v>
      </c>
      <c r="CA22" s="55">
        <f t="shared" si="39"/>
        <v>0</v>
      </c>
      <c r="CB22" s="55">
        <f t="shared" si="39"/>
        <v>0</v>
      </c>
      <c r="CC22" s="55">
        <f t="shared" si="39"/>
        <v>0</v>
      </c>
      <c r="CD22" s="55">
        <f t="shared" si="39"/>
        <v>0</v>
      </c>
      <c r="CE22" s="55">
        <f t="shared" si="39"/>
        <v>0</v>
      </c>
      <c r="CF22" s="55">
        <f t="shared" si="39"/>
        <v>0</v>
      </c>
      <c r="CG22" s="55">
        <f t="shared" si="39"/>
        <v>0</v>
      </c>
      <c r="CH22" s="55">
        <f t="shared" si="39"/>
        <v>0</v>
      </c>
      <c r="CI22" s="55">
        <f t="shared" si="39"/>
        <v>0</v>
      </c>
      <c r="CJ22" s="55">
        <f t="shared" si="39"/>
        <v>0</v>
      </c>
      <c r="CK22" s="55">
        <f t="shared" si="39"/>
        <v>0</v>
      </c>
      <c r="CL22" s="55">
        <f t="shared" si="39"/>
        <v>0</v>
      </c>
      <c r="CM22" s="55">
        <f t="shared" si="39"/>
        <v>0</v>
      </c>
      <c r="CN22" s="55">
        <f t="shared" si="39"/>
        <v>0</v>
      </c>
      <c r="CO22" s="55">
        <f t="shared" si="39"/>
        <v>0</v>
      </c>
      <c r="CP22" s="55">
        <f t="shared" si="39"/>
        <v>0</v>
      </c>
      <c r="CQ22" s="55">
        <f t="shared" si="39"/>
        <v>0</v>
      </c>
      <c r="CR22" s="55">
        <f t="shared" si="39"/>
        <v>0</v>
      </c>
      <c r="CS22" s="55">
        <f t="shared" si="39"/>
        <v>0</v>
      </c>
      <c r="CT22" s="55">
        <f t="shared" si="39"/>
        <v>0</v>
      </c>
      <c r="CU22" s="55">
        <f t="shared" si="39"/>
        <v>0</v>
      </c>
      <c r="CV22" s="55">
        <f t="shared" si="39"/>
        <v>0</v>
      </c>
      <c r="CW22" s="55">
        <f t="shared" si="39"/>
        <v>0</v>
      </c>
      <c r="CX22" s="55">
        <f t="shared" si="39"/>
        <v>0</v>
      </c>
      <c r="CY22" s="55">
        <f t="shared" si="39"/>
        <v>0</v>
      </c>
      <c r="CZ22" s="55">
        <f t="shared" si="39"/>
        <v>0</v>
      </c>
      <c r="DA22" s="55">
        <f t="shared" si="39"/>
        <v>0</v>
      </c>
      <c r="DB22" s="55">
        <f t="shared" si="39"/>
        <v>0</v>
      </c>
      <c r="DC22" s="55">
        <f t="shared" si="39"/>
        <v>0</v>
      </c>
      <c r="DD22" s="55">
        <f t="shared" si="39"/>
        <v>0</v>
      </c>
      <c r="DE22" s="55">
        <f t="shared" si="39"/>
        <v>0</v>
      </c>
      <c r="DF22" s="55">
        <f t="shared" si="39"/>
        <v>0</v>
      </c>
      <c r="DG22" s="55">
        <f t="shared" si="39"/>
        <v>0</v>
      </c>
      <c r="DH22" s="55">
        <f t="shared" si="39"/>
        <v>0</v>
      </c>
      <c r="DI22" s="55">
        <f t="shared" si="39"/>
        <v>0</v>
      </c>
      <c r="DJ22" s="55">
        <f t="shared" si="39"/>
        <v>0</v>
      </c>
      <c r="DK22" s="55">
        <f t="shared" si="39"/>
        <v>0</v>
      </c>
      <c r="DL22" s="55">
        <f t="shared" si="39"/>
        <v>0</v>
      </c>
      <c r="DM22" s="55">
        <f t="shared" si="39"/>
        <v>0</v>
      </c>
      <c r="DN22" s="55">
        <f t="shared" si="39"/>
        <v>0</v>
      </c>
      <c r="DO22" s="55">
        <f t="shared" si="39"/>
        <v>0</v>
      </c>
      <c r="DP22" s="55">
        <f t="shared" si="39"/>
        <v>0</v>
      </c>
      <c r="DQ22" s="55">
        <f t="shared" si="39"/>
        <v>0</v>
      </c>
      <c r="DR22" s="55">
        <f t="shared" si="39"/>
        <v>0</v>
      </c>
      <c r="DS22" s="55">
        <f t="shared" si="39"/>
        <v>0</v>
      </c>
      <c r="DT22" s="55">
        <f t="shared" si="39"/>
        <v>0</v>
      </c>
      <c r="DU22" s="55">
        <f t="shared" si="39"/>
        <v>0</v>
      </c>
      <c r="DV22" s="55">
        <f t="shared" si="39"/>
        <v>0</v>
      </c>
      <c r="DW22" s="55">
        <f t="shared" si="39"/>
        <v>0</v>
      </c>
      <c r="DX22" s="55">
        <f t="shared" si="39"/>
        <v>0</v>
      </c>
      <c r="DY22" s="55">
        <f t="shared" si="39"/>
        <v>0</v>
      </c>
    </row>
    <row r="23" spans="1:129" x14ac:dyDescent="0.45">
      <c r="A23" s="3">
        <v>46022</v>
      </c>
      <c r="B23" s="2" t="s">
        <v>19</v>
      </c>
      <c r="C23" s="4" t="s">
        <v>53</v>
      </c>
      <c r="D23" s="17">
        <v>0</v>
      </c>
      <c r="E23" s="2" t="s">
        <v>43</v>
      </c>
      <c r="F23" s="2">
        <v>120</v>
      </c>
      <c r="G23" s="2" t="s">
        <v>43</v>
      </c>
      <c r="H23" s="2">
        <v>120</v>
      </c>
      <c r="I23" s="13">
        <v>2297.337</v>
      </c>
      <c r="J23" s="58">
        <f t="shared" ref="J23:Y24" si="40">IF(J$1&lt;$F23,$I23*(($F23-J$1)/$F23),0)</f>
        <v>2278.1925249999999</v>
      </c>
      <c r="K23" s="58">
        <f t="shared" si="40"/>
        <v>2259.0480499999999</v>
      </c>
      <c r="L23" s="58">
        <f t="shared" si="40"/>
        <v>2239.9035749999998</v>
      </c>
      <c r="M23" s="58">
        <f t="shared" si="40"/>
        <v>2220.7591000000002</v>
      </c>
      <c r="N23" s="58">
        <f t="shared" si="40"/>
        <v>2201.6146250000002</v>
      </c>
      <c r="O23" s="58">
        <f t="shared" si="40"/>
        <v>2182.4701500000001</v>
      </c>
      <c r="P23" s="58">
        <f t="shared" si="40"/>
        <v>2163.325675</v>
      </c>
      <c r="Q23" s="58">
        <f t="shared" si="40"/>
        <v>2144.1812</v>
      </c>
      <c r="R23" s="58">
        <f t="shared" si="40"/>
        <v>2125.0367249999999</v>
      </c>
      <c r="S23" s="58">
        <f t="shared" si="40"/>
        <v>2105.8922499999999</v>
      </c>
      <c r="T23" s="58">
        <f t="shared" si="40"/>
        <v>2086.7477749999998</v>
      </c>
      <c r="U23" s="58">
        <f t="shared" si="40"/>
        <v>2067.6033000000002</v>
      </c>
      <c r="V23" s="58">
        <f t="shared" si="40"/>
        <v>2048.4588250000002</v>
      </c>
      <c r="W23" s="58">
        <f t="shared" si="40"/>
        <v>2029.3143499999999</v>
      </c>
      <c r="X23" s="58">
        <f t="shared" si="40"/>
        <v>2010.169875</v>
      </c>
      <c r="Y23" s="58">
        <f t="shared" si="40"/>
        <v>1991.0254</v>
      </c>
      <c r="Z23" s="58">
        <f t="shared" ref="Z23:CK24" si="41">IF(Z$1&lt;$F23,$I23*(($F23-Z$1)/$F23),0)</f>
        <v>1971.8809249999999</v>
      </c>
      <c r="AA23" s="58">
        <f t="shared" si="41"/>
        <v>1952.7364499999999</v>
      </c>
      <c r="AB23" s="58">
        <f t="shared" si="41"/>
        <v>1933.591975</v>
      </c>
      <c r="AC23" s="58">
        <f t="shared" si="41"/>
        <v>1914.4475</v>
      </c>
      <c r="AD23" s="58">
        <f t="shared" si="41"/>
        <v>1895.3030249999999</v>
      </c>
      <c r="AE23" s="58">
        <f t="shared" si="41"/>
        <v>1876.1585499999999</v>
      </c>
      <c r="AF23" s="58">
        <f t="shared" si="41"/>
        <v>1857.014075</v>
      </c>
      <c r="AG23" s="58">
        <f t="shared" si="41"/>
        <v>1837.8696</v>
      </c>
      <c r="AH23" s="58">
        <f t="shared" si="41"/>
        <v>1818.7251249999999</v>
      </c>
      <c r="AI23" s="58">
        <f t="shared" si="41"/>
        <v>1799.5806499999999</v>
      </c>
      <c r="AJ23" s="58">
        <f t="shared" si="41"/>
        <v>1780.436175</v>
      </c>
      <c r="AK23" s="58">
        <f t="shared" si="41"/>
        <v>1761.2917000000002</v>
      </c>
      <c r="AL23" s="58">
        <f t="shared" si="41"/>
        <v>1742.1472249999999</v>
      </c>
      <c r="AM23" s="58">
        <f t="shared" si="41"/>
        <v>1723.0027500000001</v>
      </c>
      <c r="AN23" s="58">
        <f t="shared" si="41"/>
        <v>1703.858275</v>
      </c>
      <c r="AO23" s="58">
        <f t="shared" si="41"/>
        <v>1684.7137999999998</v>
      </c>
      <c r="AP23" s="58">
        <f t="shared" si="41"/>
        <v>1665.5693249999999</v>
      </c>
      <c r="AQ23" s="58">
        <f t="shared" si="41"/>
        <v>1646.4248500000001</v>
      </c>
      <c r="AR23" s="58">
        <f t="shared" si="41"/>
        <v>1627.280375</v>
      </c>
      <c r="AS23" s="58">
        <f t="shared" si="41"/>
        <v>1608.1359</v>
      </c>
      <c r="AT23" s="58">
        <f t="shared" si="41"/>
        <v>1588.9914249999999</v>
      </c>
      <c r="AU23" s="58">
        <f t="shared" si="41"/>
        <v>1569.8469500000001</v>
      </c>
      <c r="AV23" s="58">
        <f t="shared" si="41"/>
        <v>1550.702475</v>
      </c>
      <c r="AW23" s="58">
        <f t="shared" si="41"/>
        <v>1531.558</v>
      </c>
      <c r="AX23" s="58">
        <f t="shared" si="41"/>
        <v>1512.4135249999999</v>
      </c>
      <c r="AY23" s="58">
        <f t="shared" si="41"/>
        <v>1493.2690500000001</v>
      </c>
      <c r="AZ23" s="58">
        <f t="shared" si="41"/>
        <v>1474.124575</v>
      </c>
      <c r="BA23" s="58">
        <f t="shared" si="41"/>
        <v>1454.9801</v>
      </c>
      <c r="BB23" s="58">
        <f t="shared" si="41"/>
        <v>1435.8356249999999</v>
      </c>
      <c r="BC23" s="58">
        <f t="shared" si="41"/>
        <v>1416.6911500000001</v>
      </c>
      <c r="BD23" s="58">
        <f t="shared" si="41"/>
        <v>1397.5466749999998</v>
      </c>
      <c r="BE23" s="58">
        <f t="shared" si="41"/>
        <v>1378.4022</v>
      </c>
      <c r="BF23" s="58">
        <f t="shared" si="41"/>
        <v>1359.2577249999999</v>
      </c>
      <c r="BG23" s="58">
        <f t="shared" si="41"/>
        <v>1340.1132500000001</v>
      </c>
      <c r="BH23" s="58">
        <f t="shared" si="41"/>
        <v>1320.9687749999998</v>
      </c>
      <c r="BI23" s="58">
        <f t="shared" si="41"/>
        <v>1301.8243</v>
      </c>
      <c r="BJ23" s="58">
        <f t="shared" si="41"/>
        <v>1282.6798249999999</v>
      </c>
      <c r="BK23" s="58">
        <f t="shared" si="41"/>
        <v>1263.5353500000001</v>
      </c>
      <c r="BL23" s="58">
        <f t="shared" si="41"/>
        <v>1244.3908749999998</v>
      </c>
      <c r="BM23" s="58">
        <f t="shared" si="41"/>
        <v>1225.2464</v>
      </c>
      <c r="BN23" s="58">
        <f t="shared" si="41"/>
        <v>1206.1019249999999</v>
      </c>
      <c r="BO23" s="58">
        <f t="shared" si="41"/>
        <v>1186.9574500000001</v>
      </c>
      <c r="BP23" s="58">
        <f t="shared" si="41"/>
        <v>1167.8129749999998</v>
      </c>
      <c r="BQ23" s="58">
        <f t="shared" si="41"/>
        <v>1148.6685</v>
      </c>
      <c r="BR23" s="58">
        <f t="shared" si="41"/>
        <v>1129.5240249999999</v>
      </c>
      <c r="BS23" s="58">
        <f t="shared" si="41"/>
        <v>1110.3795500000001</v>
      </c>
      <c r="BT23" s="58">
        <f t="shared" si="41"/>
        <v>1091.2350750000001</v>
      </c>
      <c r="BU23" s="58">
        <f t="shared" si="41"/>
        <v>1072.0906</v>
      </c>
      <c r="BV23" s="58">
        <f t="shared" si="41"/>
        <v>1052.9461249999999</v>
      </c>
      <c r="BW23" s="58">
        <f t="shared" si="41"/>
        <v>1033.8016500000001</v>
      </c>
      <c r="BX23" s="58">
        <f t="shared" si="41"/>
        <v>1014.6571749999999</v>
      </c>
      <c r="BY23" s="58">
        <f t="shared" si="41"/>
        <v>995.5127</v>
      </c>
      <c r="BZ23" s="58">
        <f t="shared" si="41"/>
        <v>976.36822499999994</v>
      </c>
      <c r="CA23" s="58">
        <f t="shared" si="41"/>
        <v>957.22375</v>
      </c>
      <c r="CB23" s="58">
        <f t="shared" si="41"/>
        <v>938.07927499999994</v>
      </c>
      <c r="CC23" s="58">
        <f t="shared" si="41"/>
        <v>918.9348</v>
      </c>
      <c r="CD23" s="58">
        <f t="shared" si="41"/>
        <v>899.79032499999994</v>
      </c>
      <c r="CE23" s="58">
        <f t="shared" si="41"/>
        <v>880.64585000000011</v>
      </c>
      <c r="CF23" s="58">
        <f t="shared" si="41"/>
        <v>861.50137500000005</v>
      </c>
      <c r="CG23" s="58">
        <f t="shared" si="41"/>
        <v>842.35689999999988</v>
      </c>
      <c r="CH23" s="58">
        <f t="shared" si="41"/>
        <v>823.21242500000005</v>
      </c>
      <c r="CI23" s="58">
        <f t="shared" si="41"/>
        <v>804.06795</v>
      </c>
      <c r="CJ23" s="58">
        <f t="shared" si="41"/>
        <v>784.92347500000005</v>
      </c>
      <c r="CK23" s="58">
        <f t="shared" si="41"/>
        <v>765.779</v>
      </c>
      <c r="CL23" s="58">
        <f t="shared" ref="CL23:DY24" si="42">IF(CL$1&lt;$F23,$I23*(($F23-CL$1)/$F23),0)</f>
        <v>746.63452500000005</v>
      </c>
      <c r="CM23" s="58">
        <f t="shared" si="42"/>
        <v>727.49005</v>
      </c>
      <c r="CN23" s="58">
        <f t="shared" si="42"/>
        <v>708.34557500000005</v>
      </c>
      <c r="CO23" s="58">
        <f t="shared" si="42"/>
        <v>689.2011</v>
      </c>
      <c r="CP23" s="58">
        <f t="shared" si="42"/>
        <v>670.05662500000005</v>
      </c>
      <c r="CQ23" s="58">
        <f t="shared" si="42"/>
        <v>650.91215</v>
      </c>
      <c r="CR23" s="58">
        <f t="shared" si="42"/>
        <v>631.76767500000005</v>
      </c>
      <c r="CS23" s="58">
        <f t="shared" si="42"/>
        <v>612.6232</v>
      </c>
      <c r="CT23" s="58">
        <f t="shared" si="42"/>
        <v>593.47872500000005</v>
      </c>
      <c r="CU23" s="58">
        <f t="shared" si="42"/>
        <v>574.33425</v>
      </c>
      <c r="CV23" s="58">
        <f t="shared" si="42"/>
        <v>555.18977500000005</v>
      </c>
      <c r="CW23" s="58">
        <f t="shared" si="42"/>
        <v>536.0453</v>
      </c>
      <c r="CX23" s="58">
        <f t="shared" si="42"/>
        <v>516.90082500000005</v>
      </c>
      <c r="CY23" s="58">
        <f t="shared" si="42"/>
        <v>497.75635</v>
      </c>
      <c r="CZ23" s="58">
        <f t="shared" si="42"/>
        <v>478.611875</v>
      </c>
      <c r="DA23" s="58">
        <f t="shared" si="42"/>
        <v>459.4674</v>
      </c>
      <c r="DB23" s="58">
        <f t="shared" si="42"/>
        <v>440.32292500000005</v>
      </c>
      <c r="DC23" s="58">
        <f t="shared" si="42"/>
        <v>421.17844999999994</v>
      </c>
      <c r="DD23" s="58">
        <f t="shared" si="42"/>
        <v>402.033975</v>
      </c>
      <c r="DE23" s="58">
        <f t="shared" si="42"/>
        <v>382.8895</v>
      </c>
      <c r="DF23" s="58">
        <f t="shared" si="42"/>
        <v>363.745025</v>
      </c>
      <c r="DG23" s="58">
        <f t="shared" si="42"/>
        <v>344.60055</v>
      </c>
      <c r="DH23" s="58">
        <f t="shared" si="42"/>
        <v>325.456075</v>
      </c>
      <c r="DI23" s="58">
        <f t="shared" si="42"/>
        <v>306.3116</v>
      </c>
      <c r="DJ23" s="58">
        <f t="shared" si="42"/>
        <v>287.167125</v>
      </c>
      <c r="DK23" s="58">
        <f t="shared" si="42"/>
        <v>268.02265</v>
      </c>
      <c r="DL23" s="58">
        <f t="shared" si="42"/>
        <v>248.878175</v>
      </c>
      <c r="DM23" s="58">
        <f t="shared" si="42"/>
        <v>229.7337</v>
      </c>
      <c r="DN23" s="58">
        <f t="shared" si="42"/>
        <v>210.58922499999997</v>
      </c>
      <c r="DO23" s="58">
        <f t="shared" si="42"/>
        <v>191.44475</v>
      </c>
      <c r="DP23" s="58">
        <f t="shared" si="42"/>
        <v>172.300275</v>
      </c>
      <c r="DQ23" s="58">
        <f t="shared" si="42"/>
        <v>153.1558</v>
      </c>
      <c r="DR23" s="58">
        <f t="shared" si="42"/>
        <v>134.011325</v>
      </c>
      <c r="DS23" s="58">
        <f t="shared" si="42"/>
        <v>114.86685</v>
      </c>
      <c r="DT23" s="58">
        <f t="shared" si="42"/>
        <v>95.722375</v>
      </c>
      <c r="DU23" s="58">
        <f t="shared" si="42"/>
        <v>76.5779</v>
      </c>
      <c r="DV23" s="58">
        <f t="shared" si="42"/>
        <v>57.433425</v>
      </c>
      <c r="DW23" s="58">
        <f t="shared" si="42"/>
        <v>38.28895</v>
      </c>
      <c r="DX23" s="58">
        <f t="shared" si="42"/>
        <v>19.144475</v>
      </c>
      <c r="DY23" s="58">
        <f t="shared" si="42"/>
        <v>0</v>
      </c>
    </row>
    <row r="24" spans="1:129" x14ac:dyDescent="0.45">
      <c r="A24" s="3">
        <v>46022</v>
      </c>
      <c r="B24" s="2" t="s">
        <v>19</v>
      </c>
      <c r="C24" s="4" t="s">
        <v>22</v>
      </c>
      <c r="D24" s="17">
        <v>0</v>
      </c>
      <c r="E24" s="2" t="s">
        <v>43</v>
      </c>
      <c r="F24" s="2">
        <v>120</v>
      </c>
      <c r="G24" s="2" t="s">
        <v>43</v>
      </c>
      <c r="H24" s="2">
        <v>120</v>
      </c>
      <c r="I24" s="13">
        <v>2994.7869999999998</v>
      </c>
      <c r="J24" s="58">
        <f t="shared" si="40"/>
        <v>2969.8304416666665</v>
      </c>
      <c r="K24" s="58">
        <f t="shared" si="40"/>
        <v>2944.8738833333332</v>
      </c>
      <c r="L24" s="58">
        <f t="shared" si="40"/>
        <v>2919.9173249999999</v>
      </c>
      <c r="M24" s="58">
        <f t="shared" si="40"/>
        <v>2894.9607666666666</v>
      </c>
      <c r="N24" s="58">
        <f t="shared" si="40"/>
        <v>2870.0042083333333</v>
      </c>
      <c r="O24" s="58">
        <f t="shared" si="40"/>
        <v>2845.0476499999995</v>
      </c>
      <c r="P24" s="58">
        <f t="shared" si="40"/>
        <v>2820.0910916666662</v>
      </c>
      <c r="Q24" s="58">
        <f t="shared" si="40"/>
        <v>2795.1345333333334</v>
      </c>
      <c r="R24" s="58">
        <f t="shared" si="40"/>
        <v>2770.1779750000001</v>
      </c>
      <c r="S24" s="58">
        <f t="shared" si="40"/>
        <v>2745.2214166666663</v>
      </c>
      <c r="T24" s="58">
        <f t="shared" si="40"/>
        <v>2720.264858333333</v>
      </c>
      <c r="U24" s="58">
        <f t="shared" si="40"/>
        <v>2695.3082999999997</v>
      </c>
      <c r="V24" s="58">
        <f t="shared" si="40"/>
        <v>2670.3517416666668</v>
      </c>
      <c r="W24" s="58">
        <f t="shared" si="40"/>
        <v>2645.3951833333331</v>
      </c>
      <c r="X24" s="58">
        <f t="shared" si="40"/>
        <v>2620.4386249999998</v>
      </c>
      <c r="Y24" s="58">
        <f t="shared" si="40"/>
        <v>2595.4820666666665</v>
      </c>
      <c r="Z24" s="58">
        <f t="shared" si="41"/>
        <v>2570.5255083333332</v>
      </c>
      <c r="AA24" s="58">
        <f t="shared" si="41"/>
        <v>2545.5689499999999</v>
      </c>
      <c r="AB24" s="58">
        <f t="shared" si="41"/>
        <v>2520.6123916666666</v>
      </c>
      <c r="AC24" s="58">
        <f t="shared" si="41"/>
        <v>2495.6558333333332</v>
      </c>
      <c r="AD24" s="58">
        <f t="shared" si="41"/>
        <v>2470.6992749999995</v>
      </c>
      <c r="AE24" s="58">
        <f t="shared" si="41"/>
        <v>2445.7427166666666</v>
      </c>
      <c r="AF24" s="58">
        <f t="shared" si="41"/>
        <v>2420.7861583333333</v>
      </c>
      <c r="AG24" s="58">
        <f t="shared" si="41"/>
        <v>2395.8296</v>
      </c>
      <c r="AH24" s="58">
        <f t="shared" si="41"/>
        <v>2370.8730416666663</v>
      </c>
      <c r="AI24" s="58">
        <f t="shared" si="41"/>
        <v>2345.916483333333</v>
      </c>
      <c r="AJ24" s="58">
        <f t="shared" si="41"/>
        <v>2320.9599250000001</v>
      </c>
      <c r="AK24" s="58">
        <f t="shared" si="41"/>
        <v>2296.0033666666668</v>
      </c>
      <c r="AL24" s="58">
        <f t="shared" si="41"/>
        <v>2271.046808333333</v>
      </c>
      <c r="AM24" s="58">
        <f t="shared" si="41"/>
        <v>2246.0902499999997</v>
      </c>
      <c r="AN24" s="58">
        <f t="shared" si="41"/>
        <v>2221.1336916666664</v>
      </c>
      <c r="AO24" s="58">
        <f t="shared" si="41"/>
        <v>2196.1771333333331</v>
      </c>
      <c r="AP24" s="58">
        <f t="shared" si="41"/>
        <v>2171.2205749999998</v>
      </c>
      <c r="AQ24" s="58">
        <f t="shared" si="41"/>
        <v>2146.2640166666665</v>
      </c>
      <c r="AR24" s="58">
        <f t="shared" si="41"/>
        <v>2121.3074583333332</v>
      </c>
      <c r="AS24" s="58">
        <f t="shared" si="41"/>
        <v>2096.3508999999999</v>
      </c>
      <c r="AT24" s="58">
        <f t="shared" si="41"/>
        <v>2071.3943416666666</v>
      </c>
      <c r="AU24" s="58">
        <f t="shared" si="41"/>
        <v>2046.4377833333333</v>
      </c>
      <c r="AV24" s="58">
        <f t="shared" si="41"/>
        <v>2021.481225</v>
      </c>
      <c r="AW24" s="58">
        <f t="shared" si="41"/>
        <v>1996.5246666666665</v>
      </c>
      <c r="AX24" s="58">
        <f t="shared" si="41"/>
        <v>1971.5681083333332</v>
      </c>
      <c r="AY24" s="58">
        <f t="shared" si="41"/>
        <v>1946.6115499999999</v>
      </c>
      <c r="AZ24" s="58">
        <f t="shared" si="41"/>
        <v>1921.6549916666668</v>
      </c>
      <c r="BA24" s="58">
        <f t="shared" si="41"/>
        <v>1896.698433333333</v>
      </c>
      <c r="BB24" s="58">
        <f t="shared" si="41"/>
        <v>1871.7418749999999</v>
      </c>
      <c r="BC24" s="58">
        <f t="shared" si="41"/>
        <v>1846.7853166666666</v>
      </c>
      <c r="BD24" s="58">
        <f t="shared" si="41"/>
        <v>1821.8287583333331</v>
      </c>
      <c r="BE24" s="58">
        <f t="shared" si="41"/>
        <v>1796.8721999999998</v>
      </c>
      <c r="BF24" s="58">
        <f t="shared" si="41"/>
        <v>1771.9156416666665</v>
      </c>
      <c r="BG24" s="58">
        <f t="shared" si="41"/>
        <v>1746.9590833333334</v>
      </c>
      <c r="BH24" s="58">
        <f t="shared" si="41"/>
        <v>1722.0025249999997</v>
      </c>
      <c r="BI24" s="58">
        <f t="shared" si="41"/>
        <v>1697.0459666666666</v>
      </c>
      <c r="BJ24" s="58">
        <f t="shared" si="41"/>
        <v>1672.0894083333333</v>
      </c>
      <c r="BK24" s="58">
        <f t="shared" si="41"/>
        <v>1647.13285</v>
      </c>
      <c r="BL24" s="58">
        <f t="shared" si="41"/>
        <v>1622.1762916666664</v>
      </c>
      <c r="BM24" s="58">
        <f t="shared" si="41"/>
        <v>1597.2197333333331</v>
      </c>
      <c r="BN24" s="58">
        <f t="shared" si="41"/>
        <v>1572.263175</v>
      </c>
      <c r="BO24" s="58">
        <f t="shared" si="41"/>
        <v>1547.3066166666667</v>
      </c>
      <c r="BP24" s="58">
        <f t="shared" si="41"/>
        <v>1522.3500583333332</v>
      </c>
      <c r="BQ24" s="58">
        <f t="shared" si="41"/>
        <v>1497.3934999999999</v>
      </c>
      <c r="BR24" s="58">
        <f t="shared" si="41"/>
        <v>1472.4369416666666</v>
      </c>
      <c r="BS24" s="58">
        <f t="shared" si="41"/>
        <v>1447.4803833333333</v>
      </c>
      <c r="BT24" s="58">
        <f t="shared" si="41"/>
        <v>1422.5238249999998</v>
      </c>
      <c r="BU24" s="58">
        <f t="shared" si="41"/>
        <v>1397.5672666666667</v>
      </c>
      <c r="BV24" s="58">
        <f t="shared" si="41"/>
        <v>1372.6107083333332</v>
      </c>
      <c r="BW24" s="58">
        <f t="shared" si="41"/>
        <v>1347.6541499999998</v>
      </c>
      <c r="BX24" s="58">
        <f t="shared" si="41"/>
        <v>1322.6975916666665</v>
      </c>
      <c r="BY24" s="58">
        <f t="shared" si="41"/>
        <v>1297.7410333333332</v>
      </c>
      <c r="BZ24" s="58">
        <f t="shared" si="41"/>
        <v>1272.7844749999999</v>
      </c>
      <c r="CA24" s="58">
        <f t="shared" si="41"/>
        <v>1247.8279166666666</v>
      </c>
      <c r="CB24" s="58">
        <f t="shared" si="41"/>
        <v>1222.8713583333333</v>
      </c>
      <c r="CC24" s="58">
        <f t="shared" si="41"/>
        <v>1197.9148</v>
      </c>
      <c r="CD24" s="58">
        <f t="shared" si="41"/>
        <v>1172.9582416666665</v>
      </c>
      <c r="CE24" s="58">
        <f t="shared" si="41"/>
        <v>1148.0016833333334</v>
      </c>
      <c r="CF24" s="58">
        <f t="shared" si="41"/>
        <v>1123.0451249999999</v>
      </c>
      <c r="CG24" s="58">
        <f t="shared" si="41"/>
        <v>1098.0885666666666</v>
      </c>
      <c r="CH24" s="58">
        <f t="shared" si="41"/>
        <v>1073.1320083333333</v>
      </c>
      <c r="CI24" s="58">
        <f t="shared" si="41"/>
        <v>1048.17545</v>
      </c>
      <c r="CJ24" s="58">
        <f t="shared" si="41"/>
        <v>1023.2188916666667</v>
      </c>
      <c r="CK24" s="58">
        <f t="shared" si="41"/>
        <v>998.26233333333323</v>
      </c>
      <c r="CL24" s="58">
        <f t="shared" si="42"/>
        <v>973.30577499999993</v>
      </c>
      <c r="CM24" s="58">
        <f t="shared" si="42"/>
        <v>948.34921666666651</v>
      </c>
      <c r="CN24" s="58">
        <f t="shared" si="42"/>
        <v>923.39265833333332</v>
      </c>
      <c r="CO24" s="58">
        <f t="shared" si="42"/>
        <v>898.4360999999999</v>
      </c>
      <c r="CP24" s="58">
        <f t="shared" si="42"/>
        <v>873.47954166666671</v>
      </c>
      <c r="CQ24" s="58">
        <f t="shared" si="42"/>
        <v>848.52298333333329</v>
      </c>
      <c r="CR24" s="58">
        <f t="shared" si="42"/>
        <v>823.56642499999998</v>
      </c>
      <c r="CS24" s="58">
        <f t="shared" si="42"/>
        <v>798.60986666666656</v>
      </c>
      <c r="CT24" s="58">
        <f t="shared" si="42"/>
        <v>773.65330833333337</v>
      </c>
      <c r="CU24" s="58">
        <f t="shared" si="42"/>
        <v>748.69674999999995</v>
      </c>
      <c r="CV24" s="58">
        <f t="shared" si="42"/>
        <v>723.74019166666665</v>
      </c>
      <c r="CW24" s="58">
        <f t="shared" si="42"/>
        <v>698.78363333333334</v>
      </c>
      <c r="CX24" s="58">
        <f t="shared" si="42"/>
        <v>673.82707499999992</v>
      </c>
      <c r="CY24" s="58">
        <f t="shared" si="42"/>
        <v>648.87051666666662</v>
      </c>
      <c r="CZ24" s="58">
        <f t="shared" si="42"/>
        <v>623.91395833333331</v>
      </c>
      <c r="DA24" s="58">
        <f t="shared" si="42"/>
        <v>598.95740000000001</v>
      </c>
      <c r="DB24" s="58">
        <f t="shared" si="42"/>
        <v>574.0008416666667</v>
      </c>
      <c r="DC24" s="58">
        <f t="shared" si="42"/>
        <v>549.04428333333328</v>
      </c>
      <c r="DD24" s="58">
        <f t="shared" si="42"/>
        <v>524.08772499999998</v>
      </c>
      <c r="DE24" s="58">
        <f t="shared" si="42"/>
        <v>499.13116666666662</v>
      </c>
      <c r="DF24" s="58">
        <f t="shared" si="42"/>
        <v>474.17460833333325</v>
      </c>
      <c r="DG24" s="58">
        <f t="shared" si="42"/>
        <v>449.21804999999995</v>
      </c>
      <c r="DH24" s="58">
        <f t="shared" si="42"/>
        <v>424.26149166666664</v>
      </c>
      <c r="DI24" s="58">
        <f t="shared" si="42"/>
        <v>399.30493333333328</v>
      </c>
      <c r="DJ24" s="58">
        <f t="shared" si="42"/>
        <v>374.34837499999998</v>
      </c>
      <c r="DK24" s="58">
        <f t="shared" si="42"/>
        <v>349.39181666666667</v>
      </c>
      <c r="DL24" s="58">
        <f t="shared" si="42"/>
        <v>324.43525833333331</v>
      </c>
      <c r="DM24" s="58">
        <f t="shared" si="42"/>
        <v>299.4787</v>
      </c>
      <c r="DN24" s="58">
        <f t="shared" si="42"/>
        <v>274.52214166666664</v>
      </c>
      <c r="DO24" s="58">
        <f t="shared" si="42"/>
        <v>249.56558333333331</v>
      </c>
      <c r="DP24" s="58">
        <f t="shared" si="42"/>
        <v>224.60902499999997</v>
      </c>
      <c r="DQ24" s="58">
        <f t="shared" si="42"/>
        <v>199.65246666666664</v>
      </c>
      <c r="DR24" s="58">
        <f t="shared" si="42"/>
        <v>174.69590833333334</v>
      </c>
      <c r="DS24" s="58">
        <f t="shared" si="42"/>
        <v>149.73935</v>
      </c>
      <c r="DT24" s="58">
        <f t="shared" si="42"/>
        <v>124.78279166666665</v>
      </c>
      <c r="DU24" s="58">
        <f t="shared" si="42"/>
        <v>99.82623333333332</v>
      </c>
      <c r="DV24" s="58">
        <f t="shared" si="42"/>
        <v>74.869675000000001</v>
      </c>
      <c r="DW24" s="58">
        <f t="shared" si="42"/>
        <v>49.91311666666666</v>
      </c>
      <c r="DX24" s="58">
        <f t="shared" si="42"/>
        <v>24.95655833333333</v>
      </c>
      <c r="DY24" s="58">
        <f t="shared" si="42"/>
        <v>0</v>
      </c>
    </row>
    <row r="25" spans="1:129" x14ac:dyDescent="0.45">
      <c r="A25" s="3">
        <v>46022</v>
      </c>
      <c r="B25" s="2" t="s">
        <v>19</v>
      </c>
      <c r="C25" s="4" t="s">
        <v>32</v>
      </c>
      <c r="D25" s="17">
        <v>3.5000000000000003E-2</v>
      </c>
      <c r="E25" s="2" t="s">
        <v>45</v>
      </c>
      <c r="F25" s="2">
        <v>72</v>
      </c>
      <c r="G25" s="2" t="s">
        <v>45</v>
      </c>
      <c r="H25" s="2">
        <v>72</v>
      </c>
      <c r="I25" s="59">
        <v>130</v>
      </c>
      <c r="J25" s="58">
        <f t="shared" ref="J25:BU25" si="43">IF(J$1&lt;$F25,$I25,0)</f>
        <v>130</v>
      </c>
      <c r="K25" s="58">
        <f t="shared" si="43"/>
        <v>130</v>
      </c>
      <c r="L25" s="58">
        <f t="shared" si="43"/>
        <v>130</v>
      </c>
      <c r="M25" s="58">
        <f t="shared" si="43"/>
        <v>130</v>
      </c>
      <c r="N25" s="58">
        <f t="shared" si="43"/>
        <v>130</v>
      </c>
      <c r="O25" s="58">
        <f t="shared" si="43"/>
        <v>130</v>
      </c>
      <c r="P25" s="58">
        <f t="shared" si="43"/>
        <v>130</v>
      </c>
      <c r="Q25" s="58">
        <f t="shared" si="43"/>
        <v>130</v>
      </c>
      <c r="R25" s="58">
        <f t="shared" si="43"/>
        <v>130</v>
      </c>
      <c r="S25" s="58">
        <f t="shared" si="43"/>
        <v>130</v>
      </c>
      <c r="T25" s="58">
        <f t="shared" si="43"/>
        <v>130</v>
      </c>
      <c r="U25" s="58">
        <f t="shared" si="43"/>
        <v>130</v>
      </c>
      <c r="V25" s="58">
        <f t="shared" si="43"/>
        <v>130</v>
      </c>
      <c r="W25" s="58">
        <f t="shared" si="43"/>
        <v>130</v>
      </c>
      <c r="X25" s="58">
        <f t="shared" si="43"/>
        <v>130</v>
      </c>
      <c r="Y25" s="58">
        <f t="shared" si="43"/>
        <v>130</v>
      </c>
      <c r="Z25" s="58">
        <f t="shared" si="43"/>
        <v>130</v>
      </c>
      <c r="AA25" s="58">
        <f t="shared" si="43"/>
        <v>130</v>
      </c>
      <c r="AB25" s="58">
        <f t="shared" si="43"/>
        <v>130</v>
      </c>
      <c r="AC25" s="58">
        <f t="shared" si="43"/>
        <v>130</v>
      </c>
      <c r="AD25" s="58">
        <f t="shared" si="43"/>
        <v>130</v>
      </c>
      <c r="AE25" s="58">
        <f t="shared" si="43"/>
        <v>130</v>
      </c>
      <c r="AF25" s="58">
        <f t="shared" si="43"/>
        <v>130</v>
      </c>
      <c r="AG25" s="58">
        <f t="shared" si="43"/>
        <v>130</v>
      </c>
      <c r="AH25" s="58">
        <f t="shared" si="43"/>
        <v>130</v>
      </c>
      <c r="AI25" s="58">
        <f t="shared" si="43"/>
        <v>130</v>
      </c>
      <c r="AJ25" s="58">
        <f t="shared" si="43"/>
        <v>130</v>
      </c>
      <c r="AK25" s="58">
        <f t="shared" si="43"/>
        <v>130</v>
      </c>
      <c r="AL25" s="58">
        <f t="shared" si="43"/>
        <v>130</v>
      </c>
      <c r="AM25" s="58">
        <f t="shared" si="43"/>
        <v>130</v>
      </c>
      <c r="AN25" s="58">
        <f t="shared" si="43"/>
        <v>130</v>
      </c>
      <c r="AO25" s="58">
        <f t="shared" si="43"/>
        <v>130</v>
      </c>
      <c r="AP25" s="58">
        <f t="shared" si="43"/>
        <v>130</v>
      </c>
      <c r="AQ25" s="58">
        <f t="shared" si="43"/>
        <v>130</v>
      </c>
      <c r="AR25" s="58">
        <f t="shared" si="43"/>
        <v>130</v>
      </c>
      <c r="AS25" s="58">
        <f t="shared" si="43"/>
        <v>130</v>
      </c>
      <c r="AT25" s="58">
        <f t="shared" si="43"/>
        <v>130</v>
      </c>
      <c r="AU25" s="58">
        <f t="shared" si="43"/>
        <v>130</v>
      </c>
      <c r="AV25" s="58">
        <f t="shared" si="43"/>
        <v>130</v>
      </c>
      <c r="AW25" s="58">
        <f t="shared" si="43"/>
        <v>130</v>
      </c>
      <c r="AX25" s="58">
        <f t="shared" si="43"/>
        <v>130</v>
      </c>
      <c r="AY25" s="58">
        <f t="shared" si="43"/>
        <v>130</v>
      </c>
      <c r="AZ25" s="58">
        <f t="shared" si="43"/>
        <v>130</v>
      </c>
      <c r="BA25" s="58">
        <f t="shared" si="43"/>
        <v>130</v>
      </c>
      <c r="BB25" s="58">
        <f t="shared" si="43"/>
        <v>130</v>
      </c>
      <c r="BC25" s="58">
        <f t="shared" si="43"/>
        <v>130</v>
      </c>
      <c r="BD25" s="58">
        <f t="shared" si="43"/>
        <v>130</v>
      </c>
      <c r="BE25" s="58">
        <f t="shared" si="43"/>
        <v>130</v>
      </c>
      <c r="BF25" s="58">
        <f t="shared" si="43"/>
        <v>130</v>
      </c>
      <c r="BG25" s="58">
        <f t="shared" si="43"/>
        <v>130</v>
      </c>
      <c r="BH25" s="58">
        <f t="shared" si="43"/>
        <v>130</v>
      </c>
      <c r="BI25" s="58">
        <f t="shared" si="43"/>
        <v>130</v>
      </c>
      <c r="BJ25" s="58">
        <f t="shared" si="43"/>
        <v>130</v>
      </c>
      <c r="BK25" s="58">
        <f t="shared" si="43"/>
        <v>130</v>
      </c>
      <c r="BL25" s="58">
        <f t="shared" si="43"/>
        <v>130</v>
      </c>
      <c r="BM25" s="58">
        <f t="shared" si="43"/>
        <v>130</v>
      </c>
      <c r="BN25" s="58">
        <f t="shared" si="43"/>
        <v>130</v>
      </c>
      <c r="BO25" s="58">
        <f t="shared" si="43"/>
        <v>130</v>
      </c>
      <c r="BP25" s="58">
        <f t="shared" si="43"/>
        <v>130</v>
      </c>
      <c r="BQ25" s="58">
        <f t="shared" si="43"/>
        <v>130</v>
      </c>
      <c r="BR25" s="58">
        <f t="shared" si="43"/>
        <v>130</v>
      </c>
      <c r="BS25" s="58">
        <f t="shared" si="43"/>
        <v>130</v>
      </c>
      <c r="BT25" s="58">
        <f t="shared" si="43"/>
        <v>130</v>
      </c>
      <c r="BU25" s="58">
        <f t="shared" si="43"/>
        <v>130</v>
      </c>
      <c r="BV25" s="58">
        <f t="shared" ref="BV25:DY25" si="44">IF(BV$1&lt;$F25,$I25,0)</f>
        <v>130</v>
      </c>
      <c r="BW25" s="58">
        <f t="shared" si="44"/>
        <v>130</v>
      </c>
      <c r="BX25" s="58">
        <f t="shared" si="44"/>
        <v>130</v>
      </c>
      <c r="BY25" s="58">
        <f t="shared" si="44"/>
        <v>130</v>
      </c>
      <c r="BZ25" s="58">
        <f t="shared" si="44"/>
        <v>130</v>
      </c>
      <c r="CA25" s="58">
        <f t="shared" si="44"/>
        <v>130</v>
      </c>
      <c r="CB25" s="58">
        <f t="shared" si="44"/>
        <v>130</v>
      </c>
      <c r="CC25" s="58">
        <f t="shared" si="44"/>
        <v>0</v>
      </c>
      <c r="CD25" s="58">
        <f t="shared" si="44"/>
        <v>0</v>
      </c>
      <c r="CE25" s="58">
        <f t="shared" si="44"/>
        <v>0</v>
      </c>
      <c r="CF25" s="58">
        <f t="shared" si="44"/>
        <v>0</v>
      </c>
      <c r="CG25" s="58">
        <f t="shared" si="44"/>
        <v>0</v>
      </c>
      <c r="CH25" s="58">
        <f t="shared" si="44"/>
        <v>0</v>
      </c>
      <c r="CI25" s="58">
        <f t="shared" si="44"/>
        <v>0</v>
      </c>
      <c r="CJ25" s="58">
        <f t="shared" si="44"/>
        <v>0</v>
      </c>
      <c r="CK25" s="58">
        <f t="shared" si="44"/>
        <v>0</v>
      </c>
      <c r="CL25" s="58">
        <f t="shared" si="44"/>
        <v>0</v>
      </c>
      <c r="CM25" s="58">
        <f t="shared" si="44"/>
        <v>0</v>
      </c>
      <c r="CN25" s="58">
        <f t="shared" si="44"/>
        <v>0</v>
      </c>
      <c r="CO25" s="58">
        <f t="shared" si="44"/>
        <v>0</v>
      </c>
      <c r="CP25" s="58">
        <f t="shared" si="44"/>
        <v>0</v>
      </c>
      <c r="CQ25" s="58">
        <f t="shared" si="44"/>
        <v>0</v>
      </c>
      <c r="CR25" s="58">
        <f t="shared" si="44"/>
        <v>0</v>
      </c>
      <c r="CS25" s="58">
        <f t="shared" si="44"/>
        <v>0</v>
      </c>
      <c r="CT25" s="58">
        <f t="shared" si="44"/>
        <v>0</v>
      </c>
      <c r="CU25" s="58">
        <f t="shared" si="44"/>
        <v>0</v>
      </c>
      <c r="CV25" s="58">
        <f t="shared" si="44"/>
        <v>0</v>
      </c>
      <c r="CW25" s="58">
        <f t="shared" si="44"/>
        <v>0</v>
      </c>
      <c r="CX25" s="58">
        <f t="shared" si="44"/>
        <v>0</v>
      </c>
      <c r="CY25" s="58">
        <f t="shared" si="44"/>
        <v>0</v>
      </c>
      <c r="CZ25" s="58">
        <f t="shared" si="44"/>
        <v>0</v>
      </c>
      <c r="DA25" s="58">
        <f t="shared" si="44"/>
        <v>0</v>
      </c>
      <c r="DB25" s="58">
        <f t="shared" si="44"/>
        <v>0</v>
      </c>
      <c r="DC25" s="58">
        <f t="shared" si="44"/>
        <v>0</v>
      </c>
      <c r="DD25" s="58">
        <f t="shared" si="44"/>
        <v>0</v>
      </c>
      <c r="DE25" s="58">
        <f t="shared" si="44"/>
        <v>0</v>
      </c>
      <c r="DF25" s="58">
        <f t="shared" si="44"/>
        <v>0</v>
      </c>
      <c r="DG25" s="58">
        <f t="shared" si="44"/>
        <v>0</v>
      </c>
      <c r="DH25" s="58">
        <f t="shared" si="44"/>
        <v>0</v>
      </c>
      <c r="DI25" s="58">
        <f t="shared" si="44"/>
        <v>0</v>
      </c>
      <c r="DJ25" s="58">
        <f t="shared" si="44"/>
        <v>0</v>
      </c>
      <c r="DK25" s="58">
        <f t="shared" si="44"/>
        <v>0</v>
      </c>
      <c r="DL25" s="58">
        <f t="shared" si="44"/>
        <v>0</v>
      </c>
      <c r="DM25" s="58">
        <f t="shared" si="44"/>
        <v>0</v>
      </c>
      <c r="DN25" s="58">
        <f t="shared" si="44"/>
        <v>0</v>
      </c>
      <c r="DO25" s="58">
        <f t="shared" si="44"/>
        <v>0</v>
      </c>
      <c r="DP25" s="58">
        <f t="shared" si="44"/>
        <v>0</v>
      </c>
      <c r="DQ25" s="58">
        <f t="shared" si="44"/>
        <v>0</v>
      </c>
      <c r="DR25" s="58">
        <f t="shared" si="44"/>
        <v>0</v>
      </c>
      <c r="DS25" s="58">
        <f t="shared" si="44"/>
        <v>0</v>
      </c>
      <c r="DT25" s="58">
        <f t="shared" si="44"/>
        <v>0</v>
      </c>
      <c r="DU25" s="58">
        <f t="shared" si="44"/>
        <v>0</v>
      </c>
      <c r="DV25" s="58">
        <f t="shared" si="44"/>
        <v>0</v>
      </c>
      <c r="DW25" s="58">
        <f t="shared" si="44"/>
        <v>0</v>
      </c>
      <c r="DX25" s="58">
        <f t="shared" si="44"/>
        <v>0</v>
      </c>
      <c r="DY25" s="58">
        <f t="shared" si="44"/>
        <v>0</v>
      </c>
    </row>
    <row r="26" spans="1:129" x14ac:dyDescent="0.45">
      <c r="A26" s="3">
        <v>46022</v>
      </c>
      <c r="B26" s="2" t="s">
        <v>19</v>
      </c>
      <c r="C26" s="4" t="s">
        <v>23</v>
      </c>
      <c r="D26" s="16"/>
      <c r="E26" s="54"/>
      <c r="F26" s="54"/>
      <c r="G26" s="54"/>
      <c r="H26" s="54"/>
      <c r="I26" s="13">
        <v>25913.849000000002</v>
      </c>
      <c r="J26" s="58">
        <f>SUM(J27:J33)</f>
        <v>25697.900258333335</v>
      </c>
      <c r="K26" s="58">
        <f t="shared" ref="K26:BV26" si="45">SUM(K27:K33)</f>
        <v>25481.951516666664</v>
      </c>
      <c r="L26" s="58">
        <f t="shared" si="45"/>
        <v>25266.002774999997</v>
      </c>
      <c r="M26" s="58">
        <f t="shared" si="45"/>
        <v>25050.054033333334</v>
      </c>
      <c r="N26" s="58">
        <f t="shared" si="45"/>
        <v>24834.105291666667</v>
      </c>
      <c r="O26" s="58">
        <f t="shared" si="45"/>
        <v>24618.15655</v>
      </c>
      <c r="P26" s="58">
        <f t="shared" si="45"/>
        <v>24402.207808333333</v>
      </c>
      <c r="Q26" s="58">
        <f t="shared" si="45"/>
        <v>24186.259066666669</v>
      </c>
      <c r="R26" s="58">
        <f t="shared" si="45"/>
        <v>23970.310325000002</v>
      </c>
      <c r="S26" s="58">
        <f t="shared" si="45"/>
        <v>23754.361583333332</v>
      </c>
      <c r="T26" s="58">
        <f t="shared" si="45"/>
        <v>23538.412841666668</v>
      </c>
      <c r="U26" s="58">
        <f t="shared" si="45"/>
        <v>23322.464100000005</v>
      </c>
      <c r="V26" s="58">
        <f t="shared" si="45"/>
        <v>23106.515358333338</v>
      </c>
      <c r="W26" s="58">
        <f t="shared" si="45"/>
        <v>22890.566616666663</v>
      </c>
      <c r="X26" s="58">
        <f t="shared" si="45"/>
        <v>22674.617875</v>
      </c>
      <c r="Y26" s="58">
        <f t="shared" si="45"/>
        <v>22458.669133333337</v>
      </c>
      <c r="Z26" s="58">
        <f t="shared" si="45"/>
        <v>22242.720391666666</v>
      </c>
      <c r="AA26" s="58">
        <f t="shared" si="45"/>
        <v>22026.771650000002</v>
      </c>
      <c r="AB26" s="58">
        <f t="shared" si="45"/>
        <v>21810.822908333335</v>
      </c>
      <c r="AC26" s="58">
        <f t="shared" si="45"/>
        <v>21594.874166666668</v>
      </c>
      <c r="AD26" s="58">
        <f t="shared" si="45"/>
        <v>21378.925425000001</v>
      </c>
      <c r="AE26" s="58">
        <f t="shared" si="45"/>
        <v>21162.976683333331</v>
      </c>
      <c r="AF26" s="58">
        <f t="shared" si="45"/>
        <v>20947.027941666667</v>
      </c>
      <c r="AG26" s="58">
        <f t="shared" si="45"/>
        <v>20731.0792</v>
      </c>
      <c r="AH26" s="58">
        <f t="shared" si="45"/>
        <v>20515.130458333333</v>
      </c>
      <c r="AI26" s="58">
        <f t="shared" si="45"/>
        <v>20299.181716666666</v>
      </c>
      <c r="AJ26" s="58">
        <f t="shared" si="45"/>
        <v>20083.232974999999</v>
      </c>
      <c r="AK26" s="58">
        <f t="shared" si="45"/>
        <v>19867.284233333336</v>
      </c>
      <c r="AL26" s="58">
        <f t="shared" si="45"/>
        <v>19651.335491666665</v>
      </c>
      <c r="AM26" s="58">
        <f t="shared" si="45"/>
        <v>19435.386750000001</v>
      </c>
      <c r="AN26" s="58">
        <f t="shared" si="45"/>
        <v>19219.438008333334</v>
      </c>
      <c r="AO26" s="58">
        <f t="shared" si="45"/>
        <v>19003.489266666667</v>
      </c>
      <c r="AP26" s="58">
        <f t="shared" si="45"/>
        <v>18787.540525</v>
      </c>
      <c r="AQ26" s="58">
        <f t="shared" si="45"/>
        <v>18571.591783333333</v>
      </c>
      <c r="AR26" s="58">
        <f t="shared" si="45"/>
        <v>18355.64304166667</v>
      </c>
      <c r="AS26" s="58">
        <f t="shared" si="45"/>
        <v>18139.694299999999</v>
      </c>
      <c r="AT26" s="58">
        <f t="shared" si="45"/>
        <v>17923.745558333336</v>
      </c>
      <c r="AU26" s="58">
        <f t="shared" si="45"/>
        <v>17707.796816666669</v>
      </c>
      <c r="AV26" s="58">
        <f t="shared" si="45"/>
        <v>17491.848075000002</v>
      </c>
      <c r="AW26" s="58">
        <f t="shared" si="45"/>
        <v>17275.899333333331</v>
      </c>
      <c r="AX26" s="58">
        <f t="shared" si="45"/>
        <v>17059.950591666668</v>
      </c>
      <c r="AY26" s="58">
        <f t="shared" si="45"/>
        <v>16844.001850000001</v>
      </c>
      <c r="AZ26" s="58">
        <f t="shared" si="45"/>
        <v>16628.053108333334</v>
      </c>
      <c r="BA26" s="58">
        <f t="shared" si="45"/>
        <v>16412.104366666666</v>
      </c>
      <c r="BB26" s="58">
        <f t="shared" si="45"/>
        <v>16196.155625000001</v>
      </c>
      <c r="BC26" s="58">
        <f t="shared" si="45"/>
        <v>15980.206883333336</v>
      </c>
      <c r="BD26" s="58">
        <f t="shared" si="45"/>
        <v>15764.258141666665</v>
      </c>
      <c r="BE26" s="58">
        <f t="shared" si="45"/>
        <v>15548.3094</v>
      </c>
      <c r="BF26" s="58">
        <f t="shared" si="45"/>
        <v>15332.360658333333</v>
      </c>
      <c r="BG26" s="58">
        <f t="shared" si="45"/>
        <v>15116.411916666668</v>
      </c>
      <c r="BH26" s="58">
        <f t="shared" si="45"/>
        <v>14900.463174999999</v>
      </c>
      <c r="BI26" s="58">
        <f t="shared" si="45"/>
        <v>14684.514433333334</v>
      </c>
      <c r="BJ26" s="58">
        <f t="shared" si="45"/>
        <v>14468.565691666665</v>
      </c>
      <c r="BK26" s="58">
        <f t="shared" si="45"/>
        <v>14252.616950000001</v>
      </c>
      <c r="BL26" s="58">
        <f t="shared" si="45"/>
        <v>14036.668208333333</v>
      </c>
      <c r="BM26" s="58">
        <f t="shared" si="45"/>
        <v>13820.719466666664</v>
      </c>
      <c r="BN26" s="58">
        <f t="shared" si="45"/>
        <v>13604.770725</v>
      </c>
      <c r="BO26" s="58">
        <f t="shared" si="45"/>
        <v>13388.821983333335</v>
      </c>
      <c r="BP26" s="58">
        <f t="shared" si="45"/>
        <v>13172.873241666666</v>
      </c>
      <c r="BQ26" s="58">
        <f t="shared" si="45"/>
        <v>12956.924500000001</v>
      </c>
      <c r="BR26" s="58">
        <f t="shared" si="45"/>
        <v>12740.975758333332</v>
      </c>
      <c r="BS26" s="58">
        <f t="shared" si="45"/>
        <v>12525.027016666667</v>
      </c>
      <c r="BT26" s="58">
        <f t="shared" si="45"/>
        <v>12309.078275</v>
      </c>
      <c r="BU26" s="58">
        <f t="shared" si="45"/>
        <v>12093.129533333335</v>
      </c>
      <c r="BV26" s="58">
        <f t="shared" si="45"/>
        <v>11877.180791666666</v>
      </c>
      <c r="BW26" s="58">
        <f t="shared" ref="BW26:DY26" si="46">SUM(BW27:BW33)</f>
        <v>11661.232050000002</v>
      </c>
      <c r="BX26" s="58">
        <f t="shared" si="46"/>
        <v>11445.283308333332</v>
      </c>
      <c r="BY26" s="58">
        <f t="shared" si="46"/>
        <v>11229.334566666668</v>
      </c>
      <c r="BZ26" s="58">
        <f t="shared" si="46"/>
        <v>11013.385825000001</v>
      </c>
      <c r="CA26" s="58">
        <f t="shared" si="46"/>
        <v>10797.437083333334</v>
      </c>
      <c r="CB26" s="58">
        <f t="shared" si="46"/>
        <v>10581.488341666665</v>
      </c>
      <c r="CC26" s="58">
        <f t="shared" si="46"/>
        <v>10365.5396</v>
      </c>
      <c r="CD26" s="58">
        <f t="shared" si="46"/>
        <v>10149.590858333333</v>
      </c>
      <c r="CE26" s="58">
        <f t="shared" si="46"/>
        <v>9933.6421166666678</v>
      </c>
      <c r="CF26" s="58">
        <f t="shared" si="46"/>
        <v>9717.6933750000007</v>
      </c>
      <c r="CG26" s="58">
        <f t="shared" si="46"/>
        <v>9501.7446333333337</v>
      </c>
      <c r="CH26" s="58">
        <f t="shared" si="46"/>
        <v>9285.7958916666666</v>
      </c>
      <c r="CI26" s="58">
        <f t="shared" si="46"/>
        <v>9069.8471499999996</v>
      </c>
      <c r="CJ26" s="58">
        <f t="shared" si="46"/>
        <v>8853.8984083333344</v>
      </c>
      <c r="CK26" s="58">
        <f t="shared" si="46"/>
        <v>8637.9496666666655</v>
      </c>
      <c r="CL26" s="58">
        <f t="shared" si="46"/>
        <v>8422.0009250000003</v>
      </c>
      <c r="CM26" s="58">
        <f t="shared" si="46"/>
        <v>8206.0521833333332</v>
      </c>
      <c r="CN26" s="58">
        <f t="shared" si="46"/>
        <v>7990.103441666668</v>
      </c>
      <c r="CO26" s="58">
        <f t="shared" si="46"/>
        <v>7774.1547</v>
      </c>
      <c r="CP26" s="58">
        <f t="shared" si="46"/>
        <v>7558.2059583333339</v>
      </c>
      <c r="CQ26" s="58">
        <f t="shared" si="46"/>
        <v>7342.2572166666669</v>
      </c>
      <c r="CR26" s="58">
        <f t="shared" si="46"/>
        <v>7126.3084750000007</v>
      </c>
      <c r="CS26" s="58">
        <f t="shared" si="46"/>
        <v>6910.3597333333319</v>
      </c>
      <c r="CT26" s="58">
        <f t="shared" si="46"/>
        <v>6694.4109916666675</v>
      </c>
      <c r="CU26" s="58">
        <f t="shared" si="46"/>
        <v>6478.4622500000005</v>
      </c>
      <c r="CV26" s="58">
        <f t="shared" si="46"/>
        <v>6262.5135083333334</v>
      </c>
      <c r="CW26" s="58">
        <f t="shared" si="46"/>
        <v>6046.5647666666673</v>
      </c>
      <c r="CX26" s="58">
        <f t="shared" si="46"/>
        <v>5830.6160250000012</v>
      </c>
      <c r="CY26" s="58">
        <f t="shared" si="46"/>
        <v>5614.6672833333341</v>
      </c>
      <c r="CZ26" s="58">
        <f t="shared" si="46"/>
        <v>5398.7185416666671</v>
      </c>
      <c r="DA26" s="58">
        <f t="shared" si="46"/>
        <v>5182.7698</v>
      </c>
      <c r="DB26" s="58">
        <f t="shared" si="46"/>
        <v>4966.8210583333339</v>
      </c>
      <c r="DC26" s="58">
        <f t="shared" si="46"/>
        <v>4750.8723166666668</v>
      </c>
      <c r="DD26" s="58">
        <f t="shared" si="46"/>
        <v>4534.9235749999998</v>
      </c>
      <c r="DE26" s="58">
        <f t="shared" si="46"/>
        <v>4318.9748333333328</v>
      </c>
      <c r="DF26" s="58">
        <f t="shared" si="46"/>
        <v>4103.0260916666666</v>
      </c>
      <c r="DG26" s="58">
        <f t="shared" si="46"/>
        <v>3887.07735</v>
      </c>
      <c r="DH26" s="58">
        <f t="shared" si="46"/>
        <v>3671.1286083333334</v>
      </c>
      <c r="DI26" s="58">
        <f t="shared" si="46"/>
        <v>3455.1798666666659</v>
      </c>
      <c r="DJ26" s="58">
        <f t="shared" si="46"/>
        <v>3239.2311250000002</v>
      </c>
      <c r="DK26" s="58">
        <f t="shared" si="46"/>
        <v>3023.2823833333337</v>
      </c>
      <c r="DL26" s="58">
        <f t="shared" si="46"/>
        <v>2807.3336416666671</v>
      </c>
      <c r="DM26" s="58">
        <f t="shared" si="46"/>
        <v>2591.3849</v>
      </c>
      <c r="DN26" s="58">
        <f t="shared" si="46"/>
        <v>2375.4361583333334</v>
      </c>
      <c r="DO26" s="58">
        <f t="shared" si="46"/>
        <v>2159.4874166666664</v>
      </c>
      <c r="DP26" s="58">
        <f t="shared" si="46"/>
        <v>1943.538675</v>
      </c>
      <c r="DQ26" s="58">
        <f t="shared" si="46"/>
        <v>1727.589933333333</v>
      </c>
      <c r="DR26" s="58">
        <f t="shared" si="46"/>
        <v>1511.6411916666668</v>
      </c>
      <c r="DS26" s="58">
        <f t="shared" si="46"/>
        <v>1295.69245</v>
      </c>
      <c r="DT26" s="58">
        <f t="shared" si="46"/>
        <v>1079.7437083333332</v>
      </c>
      <c r="DU26" s="58">
        <f t="shared" si="46"/>
        <v>863.79496666666648</v>
      </c>
      <c r="DV26" s="58">
        <f t="shared" si="46"/>
        <v>647.846225</v>
      </c>
      <c r="DW26" s="58">
        <f t="shared" si="46"/>
        <v>431.89748333333324</v>
      </c>
      <c r="DX26" s="58">
        <f t="shared" si="46"/>
        <v>215.94874166666662</v>
      </c>
      <c r="DY26" s="58">
        <f t="shared" si="46"/>
        <v>0</v>
      </c>
    </row>
    <row r="27" spans="1:129" x14ac:dyDescent="0.45">
      <c r="A27" s="3">
        <v>46022</v>
      </c>
      <c r="B27" s="2" t="s">
        <v>19</v>
      </c>
      <c r="C27" s="6" t="s">
        <v>24</v>
      </c>
      <c r="D27" s="17">
        <v>0</v>
      </c>
      <c r="E27" s="2" t="s">
        <v>43</v>
      </c>
      <c r="F27" s="2">
        <v>120</v>
      </c>
      <c r="G27" s="2" t="s">
        <v>43</v>
      </c>
      <c r="H27" s="2">
        <v>120</v>
      </c>
      <c r="I27" s="14">
        <v>476.541</v>
      </c>
      <c r="J27" s="55">
        <f t="shared" ref="J27:Y33" si="47">IF(J$1&lt;$F27,$I27*(($F27-J$1)/$F27),0)</f>
        <v>472.56982500000004</v>
      </c>
      <c r="K27" s="55">
        <f t="shared" si="47"/>
        <v>468.59864999999996</v>
      </c>
      <c r="L27" s="55">
        <f t="shared" si="47"/>
        <v>464.627475</v>
      </c>
      <c r="M27" s="55">
        <f t="shared" si="47"/>
        <v>460.65629999999999</v>
      </c>
      <c r="N27" s="55">
        <f t="shared" si="47"/>
        <v>456.68512500000003</v>
      </c>
      <c r="O27" s="55">
        <f t="shared" si="47"/>
        <v>452.71394999999995</v>
      </c>
      <c r="P27" s="55">
        <f t="shared" si="47"/>
        <v>448.74277499999999</v>
      </c>
      <c r="Q27" s="55">
        <f t="shared" si="47"/>
        <v>444.77159999999998</v>
      </c>
      <c r="R27" s="55">
        <f t="shared" si="47"/>
        <v>440.80042500000002</v>
      </c>
      <c r="S27" s="55">
        <f t="shared" si="47"/>
        <v>436.82925</v>
      </c>
      <c r="T27" s="55">
        <f t="shared" si="47"/>
        <v>432.85807499999999</v>
      </c>
      <c r="U27" s="55">
        <f t="shared" si="47"/>
        <v>428.88690000000003</v>
      </c>
      <c r="V27" s="55">
        <f t="shared" si="47"/>
        <v>424.91572500000001</v>
      </c>
      <c r="W27" s="55">
        <f t="shared" si="47"/>
        <v>420.94454999999999</v>
      </c>
      <c r="X27" s="55">
        <f t="shared" si="47"/>
        <v>416.97337499999998</v>
      </c>
      <c r="Y27" s="55">
        <f t="shared" si="47"/>
        <v>413.00220000000002</v>
      </c>
      <c r="Z27" s="55">
        <f t="shared" ref="Z27:CK30" si="48">IF(Z$1&lt;$F27,$I27*(($F27-Z$1)/$F27),0)</f>
        <v>409.031025</v>
      </c>
      <c r="AA27" s="55">
        <f t="shared" si="48"/>
        <v>405.05984999999998</v>
      </c>
      <c r="AB27" s="55">
        <f t="shared" si="48"/>
        <v>401.08867500000002</v>
      </c>
      <c r="AC27" s="55">
        <f t="shared" si="48"/>
        <v>397.11750000000001</v>
      </c>
      <c r="AD27" s="55">
        <f t="shared" si="48"/>
        <v>393.14632499999999</v>
      </c>
      <c r="AE27" s="55">
        <f t="shared" si="48"/>
        <v>389.17514999999997</v>
      </c>
      <c r="AF27" s="55">
        <f t="shared" si="48"/>
        <v>385.20397500000001</v>
      </c>
      <c r="AG27" s="55">
        <f t="shared" si="48"/>
        <v>381.2328</v>
      </c>
      <c r="AH27" s="55">
        <f t="shared" si="48"/>
        <v>377.26162499999998</v>
      </c>
      <c r="AI27" s="55">
        <f t="shared" si="48"/>
        <v>373.29045000000002</v>
      </c>
      <c r="AJ27" s="55">
        <f t="shared" si="48"/>
        <v>369.319275</v>
      </c>
      <c r="AK27" s="55">
        <f t="shared" si="48"/>
        <v>365.34810000000004</v>
      </c>
      <c r="AL27" s="55">
        <f t="shared" si="48"/>
        <v>361.37692499999997</v>
      </c>
      <c r="AM27" s="55">
        <f t="shared" si="48"/>
        <v>357.40575000000001</v>
      </c>
      <c r="AN27" s="55">
        <f t="shared" si="48"/>
        <v>353.434575</v>
      </c>
      <c r="AO27" s="55">
        <f t="shared" si="48"/>
        <v>349.46339999999998</v>
      </c>
      <c r="AP27" s="55">
        <f t="shared" si="48"/>
        <v>345.49222499999996</v>
      </c>
      <c r="AQ27" s="55">
        <f t="shared" si="48"/>
        <v>341.52105</v>
      </c>
      <c r="AR27" s="55">
        <f t="shared" si="48"/>
        <v>337.54987500000004</v>
      </c>
      <c r="AS27" s="55">
        <f t="shared" si="48"/>
        <v>333.57869999999997</v>
      </c>
      <c r="AT27" s="55">
        <f t="shared" si="48"/>
        <v>329.60752500000001</v>
      </c>
      <c r="AU27" s="55">
        <f t="shared" si="48"/>
        <v>325.63634999999999</v>
      </c>
      <c r="AV27" s="55">
        <f t="shared" si="48"/>
        <v>321.66517500000003</v>
      </c>
      <c r="AW27" s="55">
        <f t="shared" si="48"/>
        <v>317.69399999999996</v>
      </c>
      <c r="AX27" s="55">
        <f t="shared" si="48"/>
        <v>313.722825</v>
      </c>
      <c r="AY27" s="55">
        <f t="shared" si="48"/>
        <v>309.75164999999998</v>
      </c>
      <c r="AZ27" s="55">
        <f t="shared" si="48"/>
        <v>305.78047500000002</v>
      </c>
      <c r="BA27" s="55">
        <f t="shared" si="48"/>
        <v>301.80930000000001</v>
      </c>
      <c r="BB27" s="55">
        <f t="shared" si="48"/>
        <v>297.83812499999999</v>
      </c>
      <c r="BC27" s="55">
        <f t="shared" si="48"/>
        <v>293.86695000000003</v>
      </c>
      <c r="BD27" s="55">
        <f t="shared" si="48"/>
        <v>289.89577499999996</v>
      </c>
      <c r="BE27" s="55">
        <f t="shared" si="48"/>
        <v>285.9246</v>
      </c>
      <c r="BF27" s="55">
        <f t="shared" si="48"/>
        <v>281.95342499999998</v>
      </c>
      <c r="BG27" s="55">
        <f t="shared" si="48"/>
        <v>277.98225000000002</v>
      </c>
      <c r="BH27" s="55">
        <f t="shared" si="48"/>
        <v>274.01107500000001</v>
      </c>
      <c r="BI27" s="55">
        <f t="shared" si="48"/>
        <v>270.03989999999999</v>
      </c>
      <c r="BJ27" s="55">
        <f t="shared" si="48"/>
        <v>266.06872500000003</v>
      </c>
      <c r="BK27" s="55">
        <f t="shared" si="48"/>
        <v>262.09755000000001</v>
      </c>
      <c r="BL27" s="55">
        <f t="shared" si="48"/>
        <v>258.126375</v>
      </c>
      <c r="BM27" s="55">
        <f t="shared" si="48"/>
        <v>254.15520000000001</v>
      </c>
      <c r="BN27" s="55">
        <f t="shared" si="48"/>
        <v>250.18402500000002</v>
      </c>
      <c r="BO27" s="55">
        <f t="shared" si="48"/>
        <v>246.21285000000003</v>
      </c>
      <c r="BP27" s="55">
        <f t="shared" si="48"/>
        <v>242.24167499999999</v>
      </c>
      <c r="BQ27" s="55">
        <f t="shared" si="48"/>
        <v>238.2705</v>
      </c>
      <c r="BR27" s="55">
        <f t="shared" si="48"/>
        <v>234.29932499999998</v>
      </c>
      <c r="BS27" s="55">
        <f t="shared" si="48"/>
        <v>230.32814999999999</v>
      </c>
      <c r="BT27" s="55">
        <f t="shared" si="48"/>
        <v>226.35697499999998</v>
      </c>
      <c r="BU27" s="55">
        <f t="shared" si="48"/>
        <v>222.38579999999999</v>
      </c>
      <c r="BV27" s="55">
        <f t="shared" si="48"/>
        <v>218.414625</v>
      </c>
      <c r="BW27" s="55">
        <f t="shared" si="48"/>
        <v>214.44345000000001</v>
      </c>
      <c r="BX27" s="55">
        <f t="shared" si="48"/>
        <v>210.472275</v>
      </c>
      <c r="BY27" s="55">
        <f t="shared" si="48"/>
        <v>206.50110000000001</v>
      </c>
      <c r="BZ27" s="55">
        <f t="shared" si="48"/>
        <v>202.52992499999999</v>
      </c>
      <c r="CA27" s="55">
        <f t="shared" si="48"/>
        <v>198.55875</v>
      </c>
      <c r="CB27" s="55">
        <f t="shared" si="48"/>
        <v>194.58757499999999</v>
      </c>
      <c r="CC27" s="55">
        <f t="shared" si="48"/>
        <v>190.6164</v>
      </c>
      <c r="CD27" s="55">
        <f t="shared" si="48"/>
        <v>186.64522500000001</v>
      </c>
      <c r="CE27" s="55">
        <f t="shared" si="48"/>
        <v>182.67405000000002</v>
      </c>
      <c r="CF27" s="55">
        <f t="shared" si="48"/>
        <v>178.70287500000001</v>
      </c>
      <c r="CG27" s="55">
        <f t="shared" si="48"/>
        <v>174.73169999999999</v>
      </c>
      <c r="CH27" s="55">
        <f t="shared" si="48"/>
        <v>170.760525</v>
      </c>
      <c r="CI27" s="55">
        <f t="shared" si="48"/>
        <v>166.78934999999998</v>
      </c>
      <c r="CJ27" s="55">
        <f t="shared" si="48"/>
        <v>162.818175</v>
      </c>
      <c r="CK27" s="55">
        <f t="shared" si="48"/>
        <v>158.84699999999998</v>
      </c>
      <c r="CL27" s="55">
        <f t="shared" ref="CL27:DY33" si="49">IF(CL$1&lt;$F27,$I27*(($F27-CL$1)/$F27),0)</f>
        <v>154.87582499999999</v>
      </c>
      <c r="CM27" s="55">
        <f t="shared" si="49"/>
        <v>150.90465</v>
      </c>
      <c r="CN27" s="55">
        <f t="shared" si="49"/>
        <v>146.93347500000002</v>
      </c>
      <c r="CO27" s="55">
        <f t="shared" si="49"/>
        <v>142.9623</v>
      </c>
      <c r="CP27" s="55">
        <f t="shared" si="49"/>
        <v>138.99112500000001</v>
      </c>
      <c r="CQ27" s="55">
        <f t="shared" si="49"/>
        <v>135.01994999999999</v>
      </c>
      <c r="CR27" s="55">
        <f t="shared" si="49"/>
        <v>131.04877500000001</v>
      </c>
      <c r="CS27" s="55">
        <f t="shared" si="49"/>
        <v>127.0776</v>
      </c>
      <c r="CT27" s="55">
        <f t="shared" si="49"/>
        <v>123.10642500000002</v>
      </c>
      <c r="CU27" s="55">
        <f t="shared" si="49"/>
        <v>119.13525</v>
      </c>
      <c r="CV27" s="55">
        <f t="shared" si="49"/>
        <v>115.164075</v>
      </c>
      <c r="CW27" s="55">
        <f t="shared" si="49"/>
        <v>111.19289999999999</v>
      </c>
      <c r="CX27" s="55">
        <f t="shared" si="49"/>
        <v>107.22172500000001</v>
      </c>
      <c r="CY27" s="55">
        <f t="shared" si="49"/>
        <v>103.25055</v>
      </c>
      <c r="CZ27" s="55">
        <f t="shared" si="49"/>
        <v>99.279375000000002</v>
      </c>
      <c r="DA27" s="55">
        <f t="shared" si="49"/>
        <v>95.308199999999999</v>
      </c>
      <c r="DB27" s="55">
        <f t="shared" si="49"/>
        <v>91.337025000000011</v>
      </c>
      <c r="DC27" s="55">
        <f t="shared" si="49"/>
        <v>87.365849999999995</v>
      </c>
      <c r="DD27" s="55">
        <f t="shared" si="49"/>
        <v>83.394674999999992</v>
      </c>
      <c r="DE27" s="55">
        <f t="shared" si="49"/>
        <v>79.42349999999999</v>
      </c>
      <c r="DF27" s="55">
        <f t="shared" si="49"/>
        <v>75.452325000000002</v>
      </c>
      <c r="DG27" s="55">
        <f t="shared" si="49"/>
        <v>71.48115</v>
      </c>
      <c r="DH27" s="55">
        <f t="shared" si="49"/>
        <v>67.509974999999997</v>
      </c>
      <c r="DI27" s="55">
        <f t="shared" si="49"/>
        <v>63.538800000000002</v>
      </c>
      <c r="DJ27" s="55">
        <f t="shared" si="49"/>
        <v>59.567625</v>
      </c>
      <c r="DK27" s="55">
        <f t="shared" si="49"/>
        <v>55.596449999999997</v>
      </c>
      <c r="DL27" s="55">
        <f t="shared" si="49"/>
        <v>51.625275000000002</v>
      </c>
      <c r="DM27" s="55">
        <f t="shared" si="49"/>
        <v>47.6541</v>
      </c>
      <c r="DN27" s="55">
        <f t="shared" si="49"/>
        <v>43.682924999999997</v>
      </c>
      <c r="DO27" s="55">
        <f t="shared" si="49"/>
        <v>39.711749999999995</v>
      </c>
      <c r="DP27" s="55">
        <f t="shared" si="49"/>
        <v>35.740575</v>
      </c>
      <c r="DQ27" s="55">
        <f t="shared" si="49"/>
        <v>31.769400000000001</v>
      </c>
      <c r="DR27" s="55">
        <f t="shared" si="49"/>
        <v>27.798224999999999</v>
      </c>
      <c r="DS27" s="55">
        <f t="shared" si="49"/>
        <v>23.82705</v>
      </c>
      <c r="DT27" s="55">
        <f t="shared" si="49"/>
        <v>19.855874999999997</v>
      </c>
      <c r="DU27" s="55">
        <f t="shared" si="49"/>
        <v>15.8847</v>
      </c>
      <c r="DV27" s="55">
        <f t="shared" si="49"/>
        <v>11.913525</v>
      </c>
      <c r="DW27" s="55">
        <f t="shared" si="49"/>
        <v>7.9423500000000002</v>
      </c>
      <c r="DX27" s="55">
        <f t="shared" si="49"/>
        <v>3.9711750000000001</v>
      </c>
      <c r="DY27" s="55">
        <f t="shared" si="49"/>
        <v>0</v>
      </c>
    </row>
    <row r="28" spans="1:129" x14ac:dyDescent="0.45">
      <c r="A28" s="3">
        <v>46022</v>
      </c>
      <c r="B28" s="2" t="s">
        <v>19</v>
      </c>
      <c r="C28" s="6" t="s">
        <v>25</v>
      </c>
      <c r="D28" s="17">
        <v>0</v>
      </c>
      <c r="E28" s="2" t="s">
        <v>43</v>
      </c>
      <c r="F28" s="2">
        <v>120</v>
      </c>
      <c r="G28" s="2" t="s">
        <v>43</v>
      </c>
      <c r="H28" s="2">
        <v>120</v>
      </c>
      <c r="I28" s="14">
        <v>18000.179</v>
      </c>
      <c r="J28" s="55">
        <f t="shared" si="47"/>
        <v>17850.177508333334</v>
      </c>
      <c r="K28" s="55">
        <f t="shared" si="47"/>
        <v>17700.176016666665</v>
      </c>
      <c r="L28" s="55">
        <f t="shared" si="47"/>
        <v>17550.174524999999</v>
      </c>
      <c r="M28" s="55">
        <f t="shared" si="47"/>
        <v>17400.173033333333</v>
      </c>
      <c r="N28" s="55">
        <f t="shared" si="47"/>
        <v>17250.171541666667</v>
      </c>
      <c r="O28" s="55">
        <f t="shared" si="47"/>
        <v>17100.170050000001</v>
      </c>
      <c r="P28" s="55">
        <f t="shared" si="47"/>
        <v>16950.168558333335</v>
      </c>
      <c r="Q28" s="55">
        <f t="shared" si="47"/>
        <v>16800.167066666669</v>
      </c>
      <c r="R28" s="55">
        <f t="shared" si="47"/>
        <v>16650.165574999999</v>
      </c>
      <c r="S28" s="55">
        <f t="shared" si="47"/>
        <v>16500.164083333333</v>
      </c>
      <c r="T28" s="55">
        <f t="shared" si="47"/>
        <v>16350.162591666667</v>
      </c>
      <c r="U28" s="55">
        <f t="shared" si="47"/>
        <v>16200.161100000001</v>
      </c>
      <c r="V28" s="55">
        <f t="shared" si="47"/>
        <v>16050.159608333335</v>
      </c>
      <c r="W28" s="55">
        <f t="shared" si="47"/>
        <v>15900.158116666666</v>
      </c>
      <c r="X28" s="55">
        <f t="shared" si="47"/>
        <v>15750.156625</v>
      </c>
      <c r="Y28" s="55">
        <f t="shared" si="47"/>
        <v>15600.155133333334</v>
      </c>
      <c r="Z28" s="55">
        <f t="shared" si="48"/>
        <v>15450.153641666666</v>
      </c>
      <c r="AA28" s="55">
        <f t="shared" si="48"/>
        <v>15300.15215</v>
      </c>
      <c r="AB28" s="55">
        <f t="shared" si="48"/>
        <v>15150.150658333334</v>
      </c>
      <c r="AC28" s="55">
        <f t="shared" si="48"/>
        <v>15000.149166666668</v>
      </c>
      <c r="AD28" s="55">
        <f t="shared" si="48"/>
        <v>14850.147675</v>
      </c>
      <c r="AE28" s="55">
        <f t="shared" si="48"/>
        <v>14700.146183333332</v>
      </c>
      <c r="AF28" s="55">
        <f t="shared" si="48"/>
        <v>14550.144691666666</v>
      </c>
      <c r="AG28" s="55">
        <f t="shared" si="48"/>
        <v>14400.1432</v>
      </c>
      <c r="AH28" s="55">
        <f t="shared" si="48"/>
        <v>14250.141708333333</v>
      </c>
      <c r="AI28" s="55">
        <f t="shared" si="48"/>
        <v>14100.140216666667</v>
      </c>
      <c r="AJ28" s="55">
        <f t="shared" si="48"/>
        <v>13950.138725000001</v>
      </c>
      <c r="AK28" s="55">
        <f t="shared" si="48"/>
        <v>13800.137233333335</v>
      </c>
      <c r="AL28" s="55">
        <f t="shared" si="48"/>
        <v>13650.135741666667</v>
      </c>
      <c r="AM28" s="55">
        <f t="shared" si="48"/>
        <v>13500.134249999999</v>
      </c>
      <c r="AN28" s="55">
        <f t="shared" si="48"/>
        <v>13350.132758333333</v>
      </c>
      <c r="AO28" s="55">
        <f t="shared" si="48"/>
        <v>13200.131266666665</v>
      </c>
      <c r="AP28" s="55">
        <f t="shared" si="48"/>
        <v>13050.129774999999</v>
      </c>
      <c r="AQ28" s="55">
        <f t="shared" si="48"/>
        <v>12900.128283333333</v>
      </c>
      <c r="AR28" s="55">
        <f t="shared" si="48"/>
        <v>12750.126791666667</v>
      </c>
      <c r="AS28" s="55">
        <f t="shared" si="48"/>
        <v>12600.1253</v>
      </c>
      <c r="AT28" s="55">
        <f t="shared" si="48"/>
        <v>12450.123808333334</v>
      </c>
      <c r="AU28" s="55">
        <f t="shared" si="48"/>
        <v>12300.122316666668</v>
      </c>
      <c r="AV28" s="55">
        <f t="shared" si="48"/>
        <v>12150.120825</v>
      </c>
      <c r="AW28" s="55">
        <f t="shared" si="48"/>
        <v>12000.119333333332</v>
      </c>
      <c r="AX28" s="55">
        <f t="shared" si="48"/>
        <v>11850.117841666666</v>
      </c>
      <c r="AY28" s="55">
        <f t="shared" si="48"/>
        <v>11700.11635</v>
      </c>
      <c r="AZ28" s="55">
        <f t="shared" si="48"/>
        <v>11550.114858333334</v>
      </c>
      <c r="BA28" s="55">
        <f t="shared" si="48"/>
        <v>11400.113366666666</v>
      </c>
      <c r="BB28" s="55">
        <f t="shared" si="48"/>
        <v>11250.111875000001</v>
      </c>
      <c r="BC28" s="55">
        <f t="shared" si="48"/>
        <v>11100.110383333335</v>
      </c>
      <c r="BD28" s="55">
        <f t="shared" si="48"/>
        <v>10950.108891666665</v>
      </c>
      <c r="BE28" s="55">
        <f t="shared" si="48"/>
        <v>10800.107399999999</v>
      </c>
      <c r="BF28" s="55">
        <f t="shared" si="48"/>
        <v>10650.105908333333</v>
      </c>
      <c r="BG28" s="55">
        <f t="shared" si="48"/>
        <v>10500.104416666667</v>
      </c>
      <c r="BH28" s="55">
        <f t="shared" si="48"/>
        <v>10350.102924999999</v>
      </c>
      <c r="BI28" s="55">
        <f t="shared" si="48"/>
        <v>10200.101433333333</v>
      </c>
      <c r="BJ28" s="55">
        <f t="shared" si="48"/>
        <v>10050.099941666667</v>
      </c>
      <c r="BK28" s="55">
        <f t="shared" si="48"/>
        <v>9900.0984500000013</v>
      </c>
      <c r="BL28" s="55">
        <f t="shared" si="48"/>
        <v>9750.0969583333335</v>
      </c>
      <c r="BM28" s="55">
        <f t="shared" si="48"/>
        <v>9600.0954666666657</v>
      </c>
      <c r="BN28" s="55">
        <f t="shared" si="48"/>
        <v>9450.0939749999998</v>
      </c>
      <c r="BO28" s="55">
        <f t="shared" si="48"/>
        <v>9300.0924833333338</v>
      </c>
      <c r="BP28" s="55">
        <f t="shared" si="48"/>
        <v>9150.090991666666</v>
      </c>
      <c r="BQ28" s="55">
        <f t="shared" si="48"/>
        <v>9000.0895</v>
      </c>
      <c r="BR28" s="55">
        <f t="shared" si="48"/>
        <v>8850.0880083333323</v>
      </c>
      <c r="BS28" s="55">
        <f t="shared" si="48"/>
        <v>8700.0865166666663</v>
      </c>
      <c r="BT28" s="55">
        <f t="shared" si="48"/>
        <v>8550.0850250000003</v>
      </c>
      <c r="BU28" s="55">
        <f t="shared" si="48"/>
        <v>8400.0835333333343</v>
      </c>
      <c r="BV28" s="55">
        <f t="shared" si="48"/>
        <v>8250.0820416666666</v>
      </c>
      <c r="BW28" s="55">
        <f t="shared" si="48"/>
        <v>8100.0805500000006</v>
      </c>
      <c r="BX28" s="55">
        <f t="shared" si="48"/>
        <v>7950.0790583333328</v>
      </c>
      <c r="BY28" s="55">
        <f t="shared" si="48"/>
        <v>7800.0775666666668</v>
      </c>
      <c r="BZ28" s="55">
        <f t="shared" si="48"/>
        <v>7650.0760749999999</v>
      </c>
      <c r="CA28" s="55">
        <f t="shared" si="48"/>
        <v>7500.074583333334</v>
      </c>
      <c r="CB28" s="55">
        <f t="shared" si="48"/>
        <v>7350.0730916666662</v>
      </c>
      <c r="CC28" s="55">
        <f t="shared" si="48"/>
        <v>7200.0716000000002</v>
      </c>
      <c r="CD28" s="55">
        <f t="shared" si="48"/>
        <v>7050.0701083333333</v>
      </c>
      <c r="CE28" s="55">
        <f t="shared" si="48"/>
        <v>6900.0686166666674</v>
      </c>
      <c r="CF28" s="55">
        <f t="shared" si="48"/>
        <v>6750.0671249999996</v>
      </c>
      <c r="CG28" s="55">
        <f t="shared" si="48"/>
        <v>6600.0656333333327</v>
      </c>
      <c r="CH28" s="55">
        <f t="shared" si="48"/>
        <v>6450.0641416666667</v>
      </c>
      <c r="CI28" s="55">
        <f t="shared" si="48"/>
        <v>6300.0626499999998</v>
      </c>
      <c r="CJ28" s="55">
        <f t="shared" si="48"/>
        <v>6150.0611583333339</v>
      </c>
      <c r="CK28" s="55">
        <f t="shared" si="48"/>
        <v>6000.0596666666661</v>
      </c>
      <c r="CL28" s="55">
        <f t="shared" si="49"/>
        <v>5850.0581750000001</v>
      </c>
      <c r="CM28" s="55">
        <f t="shared" si="49"/>
        <v>5700.0566833333332</v>
      </c>
      <c r="CN28" s="55">
        <f t="shared" si="49"/>
        <v>5550.0551916666673</v>
      </c>
      <c r="CO28" s="55">
        <f t="shared" si="49"/>
        <v>5400.0536999999995</v>
      </c>
      <c r="CP28" s="55">
        <f t="shared" si="49"/>
        <v>5250.0522083333335</v>
      </c>
      <c r="CQ28" s="55">
        <f t="shared" si="49"/>
        <v>5100.0507166666666</v>
      </c>
      <c r="CR28" s="55">
        <f t="shared" si="49"/>
        <v>4950.0492250000007</v>
      </c>
      <c r="CS28" s="55">
        <f t="shared" si="49"/>
        <v>4800.0477333333329</v>
      </c>
      <c r="CT28" s="55">
        <f t="shared" si="49"/>
        <v>4650.0462416666669</v>
      </c>
      <c r="CU28" s="55">
        <f t="shared" si="49"/>
        <v>4500.04475</v>
      </c>
      <c r="CV28" s="55">
        <f t="shared" si="49"/>
        <v>4350.0432583333331</v>
      </c>
      <c r="CW28" s="55">
        <f t="shared" si="49"/>
        <v>4200.0417666666672</v>
      </c>
      <c r="CX28" s="55">
        <f t="shared" si="49"/>
        <v>4050.0402750000003</v>
      </c>
      <c r="CY28" s="55">
        <f t="shared" si="49"/>
        <v>3900.0387833333334</v>
      </c>
      <c r="CZ28" s="55">
        <f t="shared" si="49"/>
        <v>3750.037291666667</v>
      </c>
      <c r="DA28" s="55">
        <f t="shared" si="49"/>
        <v>3600.0358000000001</v>
      </c>
      <c r="DB28" s="55">
        <f t="shared" si="49"/>
        <v>3450.0343083333337</v>
      </c>
      <c r="DC28" s="55">
        <f t="shared" si="49"/>
        <v>3300.0328166666663</v>
      </c>
      <c r="DD28" s="55">
        <f t="shared" si="49"/>
        <v>3150.0313249999999</v>
      </c>
      <c r="DE28" s="55">
        <f t="shared" si="49"/>
        <v>3000.029833333333</v>
      </c>
      <c r="DF28" s="55">
        <f t="shared" si="49"/>
        <v>2850.0283416666666</v>
      </c>
      <c r="DG28" s="55">
        <f t="shared" si="49"/>
        <v>2700.0268499999997</v>
      </c>
      <c r="DH28" s="55">
        <f t="shared" si="49"/>
        <v>2550.0253583333333</v>
      </c>
      <c r="DI28" s="55">
        <f t="shared" si="49"/>
        <v>2400.0238666666664</v>
      </c>
      <c r="DJ28" s="55">
        <f t="shared" si="49"/>
        <v>2250.022375</v>
      </c>
      <c r="DK28" s="55">
        <f t="shared" si="49"/>
        <v>2100.0208833333336</v>
      </c>
      <c r="DL28" s="55">
        <f t="shared" si="49"/>
        <v>1950.0193916666667</v>
      </c>
      <c r="DM28" s="55">
        <f t="shared" si="49"/>
        <v>1800.0179000000001</v>
      </c>
      <c r="DN28" s="55">
        <f t="shared" si="49"/>
        <v>1650.0164083333332</v>
      </c>
      <c r="DO28" s="55">
        <f t="shared" si="49"/>
        <v>1500.0149166666665</v>
      </c>
      <c r="DP28" s="55">
        <f t="shared" si="49"/>
        <v>1350.0134249999999</v>
      </c>
      <c r="DQ28" s="55">
        <f t="shared" si="49"/>
        <v>1200.0119333333332</v>
      </c>
      <c r="DR28" s="55">
        <f t="shared" si="49"/>
        <v>1050.0104416666668</v>
      </c>
      <c r="DS28" s="55">
        <f t="shared" si="49"/>
        <v>900.00895000000003</v>
      </c>
      <c r="DT28" s="55">
        <f t="shared" si="49"/>
        <v>750.00745833333326</v>
      </c>
      <c r="DU28" s="55">
        <f t="shared" si="49"/>
        <v>600.00596666666661</v>
      </c>
      <c r="DV28" s="55">
        <f t="shared" si="49"/>
        <v>450.00447500000001</v>
      </c>
      <c r="DW28" s="55">
        <f t="shared" si="49"/>
        <v>300.0029833333333</v>
      </c>
      <c r="DX28" s="55">
        <f t="shared" si="49"/>
        <v>150.00149166666665</v>
      </c>
      <c r="DY28" s="55">
        <f t="shared" si="49"/>
        <v>0</v>
      </c>
    </row>
    <row r="29" spans="1:129" x14ac:dyDescent="0.45">
      <c r="A29" s="3">
        <v>46022</v>
      </c>
      <c r="B29" s="2" t="s">
        <v>19</v>
      </c>
      <c r="C29" s="6" t="s">
        <v>26</v>
      </c>
      <c r="D29" s="17">
        <v>0</v>
      </c>
      <c r="E29" s="2" t="s">
        <v>43</v>
      </c>
      <c r="F29" s="2">
        <v>120</v>
      </c>
      <c r="G29" s="2" t="s">
        <v>43</v>
      </c>
      <c r="H29" s="2">
        <v>120</v>
      </c>
      <c r="I29" s="14">
        <v>2.2200000000000002</v>
      </c>
      <c r="J29" s="55">
        <f t="shared" si="47"/>
        <v>2.2015000000000002</v>
      </c>
      <c r="K29" s="55">
        <f t="shared" si="47"/>
        <v>2.1830000000000003</v>
      </c>
      <c r="L29" s="55">
        <f t="shared" si="47"/>
        <v>2.1645000000000003</v>
      </c>
      <c r="M29" s="55">
        <f t="shared" si="47"/>
        <v>2.1460000000000004</v>
      </c>
      <c r="N29" s="55">
        <f t="shared" si="47"/>
        <v>2.1275000000000004</v>
      </c>
      <c r="O29" s="55">
        <f t="shared" si="47"/>
        <v>2.109</v>
      </c>
      <c r="P29" s="55">
        <f t="shared" si="47"/>
        <v>2.0905</v>
      </c>
      <c r="Q29" s="55">
        <f t="shared" si="47"/>
        <v>2.0720000000000001</v>
      </c>
      <c r="R29" s="55">
        <f t="shared" si="47"/>
        <v>2.0535000000000001</v>
      </c>
      <c r="S29" s="55">
        <f t="shared" si="47"/>
        <v>2.0350000000000001</v>
      </c>
      <c r="T29" s="55">
        <f t="shared" si="47"/>
        <v>2.0165000000000002</v>
      </c>
      <c r="U29" s="55">
        <f t="shared" si="47"/>
        <v>1.9980000000000002</v>
      </c>
      <c r="V29" s="55">
        <f t="shared" si="47"/>
        <v>1.9795000000000003</v>
      </c>
      <c r="W29" s="55">
        <f t="shared" si="47"/>
        <v>1.9610000000000001</v>
      </c>
      <c r="X29" s="55">
        <f t="shared" si="47"/>
        <v>1.9425000000000001</v>
      </c>
      <c r="Y29" s="55">
        <f t="shared" si="47"/>
        <v>1.9240000000000002</v>
      </c>
      <c r="Z29" s="55">
        <f t="shared" si="48"/>
        <v>1.9055</v>
      </c>
      <c r="AA29" s="55">
        <f t="shared" si="48"/>
        <v>1.887</v>
      </c>
      <c r="AB29" s="55">
        <f t="shared" si="48"/>
        <v>1.8685000000000003</v>
      </c>
      <c r="AC29" s="55">
        <f t="shared" si="48"/>
        <v>1.8500000000000003</v>
      </c>
      <c r="AD29" s="55">
        <f t="shared" si="48"/>
        <v>1.8315000000000001</v>
      </c>
      <c r="AE29" s="55">
        <f t="shared" si="48"/>
        <v>1.8130000000000002</v>
      </c>
      <c r="AF29" s="55">
        <f t="shared" si="48"/>
        <v>1.7945000000000002</v>
      </c>
      <c r="AG29" s="55">
        <f t="shared" si="48"/>
        <v>1.7760000000000002</v>
      </c>
      <c r="AH29" s="55">
        <f t="shared" si="48"/>
        <v>1.7575000000000001</v>
      </c>
      <c r="AI29" s="55">
        <f t="shared" si="48"/>
        <v>1.7390000000000001</v>
      </c>
      <c r="AJ29" s="55">
        <f t="shared" si="48"/>
        <v>1.7205000000000001</v>
      </c>
      <c r="AK29" s="55">
        <f t="shared" si="48"/>
        <v>1.7020000000000002</v>
      </c>
      <c r="AL29" s="55">
        <f t="shared" si="48"/>
        <v>1.6835</v>
      </c>
      <c r="AM29" s="55">
        <f t="shared" si="48"/>
        <v>1.665</v>
      </c>
      <c r="AN29" s="55">
        <f t="shared" si="48"/>
        <v>1.6465000000000003</v>
      </c>
      <c r="AO29" s="55">
        <f t="shared" si="48"/>
        <v>1.6280000000000001</v>
      </c>
      <c r="AP29" s="55">
        <f t="shared" si="48"/>
        <v>1.6095000000000002</v>
      </c>
      <c r="AQ29" s="55">
        <f t="shared" si="48"/>
        <v>1.5910000000000002</v>
      </c>
      <c r="AR29" s="55">
        <f t="shared" si="48"/>
        <v>1.5725000000000002</v>
      </c>
      <c r="AS29" s="55">
        <f t="shared" si="48"/>
        <v>1.554</v>
      </c>
      <c r="AT29" s="55">
        <f t="shared" si="48"/>
        <v>1.5355000000000001</v>
      </c>
      <c r="AU29" s="55">
        <f t="shared" si="48"/>
        <v>1.5170000000000001</v>
      </c>
      <c r="AV29" s="55">
        <f t="shared" si="48"/>
        <v>1.4985000000000002</v>
      </c>
      <c r="AW29" s="55">
        <f t="shared" si="48"/>
        <v>1.48</v>
      </c>
      <c r="AX29" s="55">
        <f t="shared" si="48"/>
        <v>1.4615</v>
      </c>
      <c r="AY29" s="55">
        <f t="shared" si="48"/>
        <v>1.4430000000000003</v>
      </c>
      <c r="AZ29" s="55">
        <f t="shared" si="48"/>
        <v>1.4245000000000003</v>
      </c>
      <c r="BA29" s="55">
        <f t="shared" si="48"/>
        <v>1.4060000000000001</v>
      </c>
      <c r="BB29" s="55">
        <f t="shared" si="48"/>
        <v>1.3875000000000002</v>
      </c>
      <c r="BC29" s="55">
        <f t="shared" si="48"/>
        <v>1.3690000000000002</v>
      </c>
      <c r="BD29" s="55">
        <f t="shared" si="48"/>
        <v>1.3505</v>
      </c>
      <c r="BE29" s="55">
        <f t="shared" si="48"/>
        <v>1.3320000000000001</v>
      </c>
      <c r="BF29" s="55">
        <f t="shared" si="48"/>
        <v>1.3135000000000001</v>
      </c>
      <c r="BG29" s="55">
        <f t="shared" si="48"/>
        <v>1.2950000000000002</v>
      </c>
      <c r="BH29" s="55">
        <f t="shared" si="48"/>
        <v>1.2765</v>
      </c>
      <c r="BI29" s="55">
        <f t="shared" si="48"/>
        <v>1.258</v>
      </c>
      <c r="BJ29" s="55">
        <f t="shared" si="48"/>
        <v>1.2395</v>
      </c>
      <c r="BK29" s="55">
        <f t="shared" si="48"/>
        <v>1.2210000000000003</v>
      </c>
      <c r="BL29" s="55">
        <f t="shared" si="48"/>
        <v>1.2025000000000001</v>
      </c>
      <c r="BM29" s="55">
        <f t="shared" si="48"/>
        <v>1.1840000000000002</v>
      </c>
      <c r="BN29" s="55">
        <f t="shared" si="48"/>
        <v>1.1655000000000002</v>
      </c>
      <c r="BO29" s="55">
        <f t="shared" si="48"/>
        <v>1.1470000000000002</v>
      </c>
      <c r="BP29" s="55">
        <f t="shared" si="48"/>
        <v>1.1285000000000001</v>
      </c>
      <c r="BQ29" s="55">
        <f t="shared" si="48"/>
        <v>1.1100000000000001</v>
      </c>
      <c r="BR29" s="55">
        <f t="shared" si="48"/>
        <v>1.0915000000000001</v>
      </c>
      <c r="BS29" s="55">
        <f t="shared" si="48"/>
        <v>1.0730000000000002</v>
      </c>
      <c r="BT29" s="55">
        <f t="shared" si="48"/>
        <v>1.0545</v>
      </c>
      <c r="BU29" s="55">
        <f t="shared" si="48"/>
        <v>1.036</v>
      </c>
      <c r="BV29" s="55">
        <f t="shared" si="48"/>
        <v>1.0175000000000001</v>
      </c>
      <c r="BW29" s="55">
        <f t="shared" si="48"/>
        <v>0.99900000000000011</v>
      </c>
      <c r="BX29" s="55">
        <f t="shared" si="48"/>
        <v>0.98050000000000004</v>
      </c>
      <c r="BY29" s="55">
        <f t="shared" si="48"/>
        <v>0.96200000000000008</v>
      </c>
      <c r="BZ29" s="55">
        <f t="shared" si="48"/>
        <v>0.94350000000000001</v>
      </c>
      <c r="CA29" s="55">
        <f t="shared" si="48"/>
        <v>0.92500000000000016</v>
      </c>
      <c r="CB29" s="55">
        <f t="shared" si="48"/>
        <v>0.90650000000000008</v>
      </c>
      <c r="CC29" s="55">
        <f t="shared" si="48"/>
        <v>0.88800000000000012</v>
      </c>
      <c r="CD29" s="55">
        <f t="shared" si="48"/>
        <v>0.86950000000000005</v>
      </c>
      <c r="CE29" s="55">
        <f t="shared" si="48"/>
        <v>0.85100000000000009</v>
      </c>
      <c r="CF29" s="55">
        <f t="shared" si="48"/>
        <v>0.83250000000000002</v>
      </c>
      <c r="CG29" s="55">
        <f t="shared" si="48"/>
        <v>0.81400000000000006</v>
      </c>
      <c r="CH29" s="55">
        <f t="shared" si="48"/>
        <v>0.7955000000000001</v>
      </c>
      <c r="CI29" s="55">
        <f t="shared" si="48"/>
        <v>0.77700000000000002</v>
      </c>
      <c r="CJ29" s="55">
        <f t="shared" si="48"/>
        <v>0.75850000000000006</v>
      </c>
      <c r="CK29" s="55">
        <f t="shared" si="48"/>
        <v>0.74</v>
      </c>
      <c r="CL29" s="55">
        <f t="shared" si="49"/>
        <v>0.72150000000000014</v>
      </c>
      <c r="CM29" s="55">
        <f t="shared" si="49"/>
        <v>0.70300000000000007</v>
      </c>
      <c r="CN29" s="55">
        <f t="shared" si="49"/>
        <v>0.68450000000000011</v>
      </c>
      <c r="CO29" s="55">
        <f t="shared" si="49"/>
        <v>0.66600000000000004</v>
      </c>
      <c r="CP29" s="55">
        <f t="shared" si="49"/>
        <v>0.64750000000000008</v>
      </c>
      <c r="CQ29" s="55">
        <f t="shared" si="49"/>
        <v>0.629</v>
      </c>
      <c r="CR29" s="55">
        <f t="shared" si="49"/>
        <v>0.61050000000000015</v>
      </c>
      <c r="CS29" s="55">
        <f t="shared" si="49"/>
        <v>0.59200000000000008</v>
      </c>
      <c r="CT29" s="55">
        <f t="shared" si="49"/>
        <v>0.57350000000000012</v>
      </c>
      <c r="CU29" s="55">
        <f t="shared" si="49"/>
        <v>0.55500000000000005</v>
      </c>
      <c r="CV29" s="55">
        <f t="shared" si="49"/>
        <v>0.53650000000000009</v>
      </c>
      <c r="CW29" s="55">
        <f t="shared" si="49"/>
        <v>0.51800000000000002</v>
      </c>
      <c r="CX29" s="55">
        <f t="shared" si="49"/>
        <v>0.49950000000000006</v>
      </c>
      <c r="CY29" s="55">
        <f t="shared" si="49"/>
        <v>0.48100000000000004</v>
      </c>
      <c r="CZ29" s="55">
        <f t="shared" si="49"/>
        <v>0.46250000000000008</v>
      </c>
      <c r="DA29" s="55">
        <f t="shared" si="49"/>
        <v>0.44400000000000006</v>
      </c>
      <c r="DB29" s="55">
        <f t="shared" si="49"/>
        <v>0.42550000000000004</v>
      </c>
      <c r="DC29" s="55">
        <f t="shared" si="49"/>
        <v>0.40700000000000003</v>
      </c>
      <c r="DD29" s="55">
        <f t="shared" si="49"/>
        <v>0.38850000000000001</v>
      </c>
      <c r="DE29" s="55">
        <f t="shared" si="49"/>
        <v>0.37</v>
      </c>
      <c r="DF29" s="55">
        <f t="shared" si="49"/>
        <v>0.35150000000000003</v>
      </c>
      <c r="DG29" s="55">
        <f t="shared" si="49"/>
        <v>0.33300000000000002</v>
      </c>
      <c r="DH29" s="55">
        <f t="shared" si="49"/>
        <v>0.3145</v>
      </c>
      <c r="DI29" s="55">
        <f t="shared" si="49"/>
        <v>0.29600000000000004</v>
      </c>
      <c r="DJ29" s="55">
        <f t="shared" si="49"/>
        <v>0.27750000000000002</v>
      </c>
      <c r="DK29" s="55">
        <f t="shared" si="49"/>
        <v>0.25900000000000001</v>
      </c>
      <c r="DL29" s="55">
        <f t="shared" si="49"/>
        <v>0.24050000000000002</v>
      </c>
      <c r="DM29" s="55">
        <f t="shared" si="49"/>
        <v>0.22200000000000003</v>
      </c>
      <c r="DN29" s="55">
        <f t="shared" si="49"/>
        <v>0.20350000000000001</v>
      </c>
      <c r="DO29" s="55">
        <f t="shared" si="49"/>
        <v>0.185</v>
      </c>
      <c r="DP29" s="55">
        <f t="shared" si="49"/>
        <v>0.16650000000000001</v>
      </c>
      <c r="DQ29" s="55">
        <f t="shared" si="49"/>
        <v>0.14800000000000002</v>
      </c>
      <c r="DR29" s="55">
        <f t="shared" si="49"/>
        <v>0.1295</v>
      </c>
      <c r="DS29" s="55">
        <f t="shared" si="49"/>
        <v>0.11100000000000002</v>
      </c>
      <c r="DT29" s="55">
        <f t="shared" si="49"/>
        <v>9.2499999999999999E-2</v>
      </c>
      <c r="DU29" s="55">
        <f t="shared" si="49"/>
        <v>7.400000000000001E-2</v>
      </c>
      <c r="DV29" s="55">
        <f t="shared" si="49"/>
        <v>5.5500000000000008E-2</v>
      </c>
      <c r="DW29" s="55">
        <f t="shared" si="49"/>
        <v>3.7000000000000005E-2</v>
      </c>
      <c r="DX29" s="55">
        <f t="shared" si="49"/>
        <v>1.8500000000000003E-2</v>
      </c>
      <c r="DY29" s="55">
        <f t="shared" si="49"/>
        <v>0</v>
      </c>
    </row>
    <row r="30" spans="1:129" x14ac:dyDescent="0.45">
      <c r="A30" s="3">
        <v>46022</v>
      </c>
      <c r="B30" s="2" t="s">
        <v>19</v>
      </c>
      <c r="C30" s="6" t="s">
        <v>27</v>
      </c>
      <c r="D30" s="17">
        <v>0</v>
      </c>
      <c r="E30" s="2" t="s">
        <v>43</v>
      </c>
      <c r="F30" s="2">
        <v>120</v>
      </c>
      <c r="G30" s="2" t="s">
        <v>43</v>
      </c>
      <c r="H30" s="2">
        <v>120</v>
      </c>
      <c r="I30" s="14">
        <v>429.97500000000002</v>
      </c>
      <c r="J30" s="55">
        <f t="shared" si="47"/>
        <v>426.39187500000003</v>
      </c>
      <c r="K30" s="55">
        <f t="shared" si="47"/>
        <v>422.80874999999997</v>
      </c>
      <c r="L30" s="55">
        <f t="shared" si="47"/>
        <v>419.22562500000004</v>
      </c>
      <c r="M30" s="55">
        <f t="shared" si="47"/>
        <v>415.64250000000004</v>
      </c>
      <c r="N30" s="55">
        <f t="shared" si="47"/>
        <v>412.05937500000005</v>
      </c>
      <c r="O30" s="55">
        <f t="shared" si="47"/>
        <v>408.47624999999999</v>
      </c>
      <c r="P30" s="55">
        <f t="shared" si="47"/>
        <v>404.893125</v>
      </c>
      <c r="Q30" s="55">
        <f t="shared" si="47"/>
        <v>401.31</v>
      </c>
      <c r="R30" s="55">
        <f t="shared" si="47"/>
        <v>397.72687500000006</v>
      </c>
      <c r="S30" s="55">
        <f t="shared" si="47"/>
        <v>394.14375000000001</v>
      </c>
      <c r="T30" s="55">
        <f t="shared" si="47"/>
        <v>390.56062500000002</v>
      </c>
      <c r="U30" s="55">
        <f t="shared" si="47"/>
        <v>386.97750000000002</v>
      </c>
      <c r="V30" s="55">
        <f t="shared" si="47"/>
        <v>383.39437500000003</v>
      </c>
      <c r="W30" s="55">
        <f t="shared" si="47"/>
        <v>379.81125000000003</v>
      </c>
      <c r="X30" s="55">
        <f t="shared" si="47"/>
        <v>376.22812500000003</v>
      </c>
      <c r="Y30" s="55">
        <f t="shared" si="47"/>
        <v>372.64500000000004</v>
      </c>
      <c r="Z30" s="55">
        <f t="shared" si="48"/>
        <v>369.06187499999999</v>
      </c>
      <c r="AA30" s="55">
        <f t="shared" si="48"/>
        <v>365.47874999999999</v>
      </c>
      <c r="AB30" s="55">
        <f t="shared" si="48"/>
        <v>361.895625</v>
      </c>
      <c r="AC30" s="55">
        <f t="shared" si="48"/>
        <v>358.31250000000006</v>
      </c>
      <c r="AD30" s="55">
        <f t="shared" si="48"/>
        <v>354.729375</v>
      </c>
      <c r="AE30" s="55">
        <f t="shared" si="48"/>
        <v>351.14625000000001</v>
      </c>
      <c r="AF30" s="55">
        <f t="shared" si="48"/>
        <v>347.56312500000001</v>
      </c>
      <c r="AG30" s="55">
        <f t="shared" si="48"/>
        <v>343.98</v>
      </c>
      <c r="AH30" s="55">
        <f t="shared" si="48"/>
        <v>340.39687500000002</v>
      </c>
      <c r="AI30" s="55">
        <f t="shared" si="48"/>
        <v>336.81375000000003</v>
      </c>
      <c r="AJ30" s="55">
        <f t="shared" si="48"/>
        <v>333.23062500000003</v>
      </c>
      <c r="AK30" s="55">
        <f t="shared" si="48"/>
        <v>329.64750000000004</v>
      </c>
      <c r="AL30" s="55">
        <f t="shared" si="48"/>
        <v>326.06437499999998</v>
      </c>
      <c r="AM30" s="55">
        <f t="shared" si="48"/>
        <v>322.48125000000005</v>
      </c>
      <c r="AN30" s="55">
        <f t="shared" si="48"/>
        <v>318.89812500000005</v>
      </c>
      <c r="AO30" s="55">
        <f t="shared" si="48"/>
        <v>315.315</v>
      </c>
      <c r="AP30" s="55">
        <f t="shared" si="48"/>
        <v>311.731875</v>
      </c>
      <c r="AQ30" s="55">
        <f t="shared" si="48"/>
        <v>308.14875000000001</v>
      </c>
      <c r="AR30" s="55">
        <f t="shared" si="48"/>
        <v>304.56562500000001</v>
      </c>
      <c r="AS30" s="55">
        <f t="shared" si="48"/>
        <v>300.98250000000002</v>
      </c>
      <c r="AT30" s="55">
        <f t="shared" si="48"/>
        <v>297.39937500000002</v>
      </c>
      <c r="AU30" s="55">
        <f t="shared" si="48"/>
        <v>293.81625000000003</v>
      </c>
      <c r="AV30" s="55">
        <f t="shared" si="48"/>
        <v>290.23312500000003</v>
      </c>
      <c r="AW30" s="55">
        <f t="shared" si="48"/>
        <v>286.64999999999998</v>
      </c>
      <c r="AX30" s="55">
        <f t="shared" si="48"/>
        <v>283.06687500000004</v>
      </c>
      <c r="AY30" s="55">
        <f t="shared" si="48"/>
        <v>279.48375000000004</v>
      </c>
      <c r="AZ30" s="55">
        <f t="shared" si="48"/>
        <v>275.90062500000005</v>
      </c>
      <c r="BA30" s="55">
        <f t="shared" si="48"/>
        <v>272.3175</v>
      </c>
      <c r="BB30" s="55">
        <f t="shared" si="48"/>
        <v>268.734375</v>
      </c>
      <c r="BC30" s="55">
        <f t="shared" si="48"/>
        <v>265.15125</v>
      </c>
      <c r="BD30" s="55">
        <f t="shared" si="48"/>
        <v>261.56812500000001</v>
      </c>
      <c r="BE30" s="55">
        <f t="shared" si="48"/>
        <v>257.98500000000001</v>
      </c>
      <c r="BF30" s="55">
        <f t="shared" si="48"/>
        <v>254.40187500000002</v>
      </c>
      <c r="BG30" s="55">
        <f t="shared" si="48"/>
        <v>250.81875000000002</v>
      </c>
      <c r="BH30" s="55">
        <f t="shared" si="48"/>
        <v>247.235625</v>
      </c>
      <c r="BI30" s="55">
        <f t="shared" si="48"/>
        <v>243.6525</v>
      </c>
      <c r="BJ30" s="55">
        <f t="shared" si="48"/>
        <v>240.06937500000001</v>
      </c>
      <c r="BK30" s="55">
        <f t="shared" si="48"/>
        <v>236.48625000000004</v>
      </c>
      <c r="BL30" s="55">
        <f t="shared" si="48"/>
        <v>232.90312499999999</v>
      </c>
      <c r="BM30" s="55">
        <f t="shared" si="48"/>
        <v>229.32000000000002</v>
      </c>
      <c r="BN30" s="55">
        <f t="shared" si="48"/>
        <v>225.73687500000003</v>
      </c>
      <c r="BO30" s="55">
        <f t="shared" si="48"/>
        <v>222.15375000000003</v>
      </c>
      <c r="BP30" s="55">
        <f t="shared" si="48"/>
        <v>218.57062500000001</v>
      </c>
      <c r="BQ30" s="55">
        <f t="shared" si="48"/>
        <v>214.98750000000001</v>
      </c>
      <c r="BR30" s="55">
        <f t="shared" si="48"/>
        <v>211.40437499999999</v>
      </c>
      <c r="BS30" s="55">
        <f t="shared" si="48"/>
        <v>207.82125000000002</v>
      </c>
      <c r="BT30" s="55">
        <f t="shared" si="48"/>
        <v>204.238125</v>
      </c>
      <c r="BU30" s="55">
        <f t="shared" si="48"/>
        <v>200.655</v>
      </c>
      <c r="BV30" s="55">
        <f t="shared" si="48"/>
        <v>197.07187500000001</v>
      </c>
      <c r="BW30" s="55">
        <f t="shared" si="48"/>
        <v>193.48875000000001</v>
      </c>
      <c r="BX30" s="55">
        <f t="shared" si="48"/>
        <v>189.90562500000001</v>
      </c>
      <c r="BY30" s="55">
        <f t="shared" si="48"/>
        <v>186.32250000000002</v>
      </c>
      <c r="BZ30" s="55">
        <f t="shared" si="48"/>
        <v>182.739375</v>
      </c>
      <c r="CA30" s="55">
        <f t="shared" si="48"/>
        <v>179.15625000000003</v>
      </c>
      <c r="CB30" s="55">
        <f t="shared" si="48"/>
        <v>175.573125</v>
      </c>
      <c r="CC30" s="55">
        <f t="shared" si="48"/>
        <v>171.99</v>
      </c>
      <c r="CD30" s="55">
        <f t="shared" si="48"/>
        <v>168.40687500000001</v>
      </c>
      <c r="CE30" s="55">
        <f t="shared" si="48"/>
        <v>164.82375000000002</v>
      </c>
      <c r="CF30" s="55">
        <f t="shared" si="48"/>
        <v>161.24062500000002</v>
      </c>
      <c r="CG30" s="55">
        <f t="shared" si="48"/>
        <v>157.6575</v>
      </c>
      <c r="CH30" s="55">
        <f t="shared" si="48"/>
        <v>154.074375</v>
      </c>
      <c r="CI30" s="55">
        <f t="shared" si="48"/>
        <v>150.49125000000001</v>
      </c>
      <c r="CJ30" s="55">
        <f t="shared" si="48"/>
        <v>146.90812500000001</v>
      </c>
      <c r="CK30" s="55">
        <f t="shared" ref="CK30" si="50">IF(CK$1&lt;$F30,$I30*(($F30-CK$1)/$F30),0)</f>
        <v>143.32499999999999</v>
      </c>
      <c r="CL30" s="55">
        <f t="shared" si="49"/>
        <v>139.74187500000002</v>
      </c>
      <c r="CM30" s="55">
        <f t="shared" si="49"/>
        <v>136.15875</v>
      </c>
      <c r="CN30" s="55">
        <f t="shared" si="49"/>
        <v>132.575625</v>
      </c>
      <c r="CO30" s="55">
        <f t="shared" si="49"/>
        <v>128.99250000000001</v>
      </c>
      <c r="CP30" s="55">
        <f t="shared" si="49"/>
        <v>125.40937500000001</v>
      </c>
      <c r="CQ30" s="55">
        <f t="shared" si="49"/>
        <v>121.82625</v>
      </c>
      <c r="CR30" s="55">
        <f t="shared" si="49"/>
        <v>118.24312500000002</v>
      </c>
      <c r="CS30" s="55">
        <f t="shared" si="49"/>
        <v>114.66000000000001</v>
      </c>
      <c r="CT30" s="55">
        <f t="shared" si="49"/>
        <v>111.07687500000002</v>
      </c>
      <c r="CU30" s="55">
        <f t="shared" si="49"/>
        <v>107.49375000000001</v>
      </c>
      <c r="CV30" s="55">
        <f t="shared" si="49"/>
        <v>103.91062500000001</v>
      </c>
      <c r="CW30" s="55">
        <f t="shared" si="49"/>
        <v>100.3275</v>
      </c>
      <c r="CX30" s="55">
        <f t="shared" si="49"/>
        <v>96.744375000000005</v>
      </c>
      <c r="CY30" s="55">
        <f t="shared" si="49"/>
        <v>93.16125000000001</v>
      </c>
      <c r="CZ30" s="55">
        <f t="shared" si="49"/>
        <v>89.578125000000014</v>
      </c>
      <c r="DA30" s="55">
        <f t="shared" si="49"/>
        <v>85.995000000000005</v>
      </c>
      <c r="DB30" s="55">
        <f t="shared" si="49"/>
        <v>82.411875000000009</v>
      </c>
      <c r="DC30" s="55">
        <f t="shared" si="49"/>
        <v>78.828749999999999</v>
      </c>
      <c r="DD30" s="55">
        <f t="shared" si="49"/>
        <v>75.245625000000004</v>
      </c>
      <c r="DE30" s="55">
        <f t="shared" si="49"/>
        <v>71.662499999999994</v>
      </c>
      <c r="DF30" s="55">
        <f t="shared" si="49"/>
        <v>68.079374999999999</v>
      </c>
      <c r="DG30" s="55">
        <f t="shared" si="49"/>
        <v>64.496250000000003</v>
      </c>
      <c r="DH30" s="55">
        <f t="shared" si="49"/>
        <v>60.913125000000001</v>
      </c>
      <c r="DI30" s="55">
        <f t="shared" si="49"/>
        <v>57.330000000000005</v>
      </c>
      <c r="DJ30" s="55">
        <f t="shared" si="49"/>
        <v>53.746875000000003</v>
      </c>
      <c r="DK30" s="55">
        <f t="shared" si="49"/>
        <v>50.16375</v>
      </c>
      <c r="DL30" s="55">
        <f t="shared" si="49"/>
        <v>46.580625000000005</v>
      </c>
      <c r="DM30" s="55">
        <f t="shared" si="49"/>
        <v>42.997500000000002</v>
      </c>
      <c r="DN30" s="55">
        <f t="shared" si="49"/>
        <v>39.414375</v>
      </c>
      <c r="DO30" s="55">
        <f t="shared" si="49"/>
        <v>35.831249999999997</v>
      </c>
      <c r="DP30" s="55">
        <f t="shared" si="49"/>
        <v>32.248125000000002</v>
      </c>
      <c r="DQ30" s="55">
        <f t="shared" si="49"/>
        <v>28.665000000000003</v>
      </c>
      <c r="DR30" s="55">
        <f t="shared" si="49"/>
        <v>25.081875</v>
      </c>
      <c r="DS30" s="55">
        <f t="shared" si="49"/>
        <v>21.498750000000001</v>
      </c>
      <c r="DT30" s="55">
        <f t="shared" si="49"/>
        <v>17.915624999999999</v>
      </c>
      <c r="DU30" s="55">
        <f t="shared" si="49"/>
        <v>14.332500000000001</v>
      </c>
      <c r="DV30" s="55">
        <f t="shared" si="49"/>
        <v>10.749375000000001</v>
      </c>
      <c r="DW30" s="55">
        <f t="shared" si="49"/>
        <v>7.1662500000000007</v>
      </c>
      <c r="DX30" s="55">
        <f t="shared" si="49"/>
        <v>3.5831250000000003</v>
      </c>
      <c r="DY30" s="55">
        <f t="shared" si="49"/>
        <v>0</v>
      </c>
    </row>
    <row r="31" spans="1:129" x14ac:dyDescent="0.45">
      <c r="A31" s="3">
        <v>46022</v>
      </c>
      <c r="B31" s="2" t="s">
        <v>19</v>
      </c>
      <c r="C31" s="6" t="s">
        <v>28</v>
      </c>
      <c r="D31" s="17">
        <v>0</v>
      </c>
      <c r="E31" s="2" t="s">
        <v>43</v>
      </c>
      <c r="F31" s="2">
        <v>120</v>
      </c>
      <c r="G31" s="2" t="s">
        <v>43</v>
      </c>
      <c r="H31" s="2">
        <v>120</v>
      </c>
      <c r="I31" s="14">
        <v>7004.9340000000002</v>
      </c>
      <c r="J31" s="55">
        <f t="shared" si="47"/>
        <v>6946.5595500000009</v>
      </c>
      <c r="K31" s="55">
        <f t="shared" si="47"/>
        <v>6888.1850999999997</v>
      </c>
      <c r="L31" s="55">
        <f t="shared" si="47"/>
        <v>6829.8106500000004</v>
      </c>
      <c r="M31" s="55">
        <f t="shared" si="47"/>
        <v>6771.4362000000001</v>
      </c>
      <c r="N31" s="55">
        <f t="shared" si="47"/>
        <v>6713.0617500000008</v>
      </c>
      <c r="O31" s="55">
        <f t="shared" si="47"/>
        <v>6654.6872999999996</v>
      </c>
      <c r="P31" s="55">
        <f t="shared" si="47"/>
        <v>6596.3128500000003</v>
      </c>
      <c r="Q31" s="55">
        <f t="shared" si="47"/>
        <v>6537.9384</v>
      </c>
      <c r="R31" s="55">
        <f t="shared" si="47"/>
        <v>6479.5639500000007</v>
      </c>
      <c r="S31" s="55">
        <f t="shared" si="47"/>
        <v>6421.1894999999995</v>
      </c>
      <c r="T31" s="55">
        <f t="shared" si="47"/>
        <v>6362.8150500000002</v>
      </c>
      <c r="U31" s="55">
        <f t="shared" si="47"/>
        <v>6304.4405999999999</v>
      </c>
      <c r="V31" s="55">
        <f t="shared" si="47"/>
        <v>6246.0661500000006</v>
      </c>
      <c r="W31" s="55">
        <f t="shared" si="47"/>
        <v>6187.6917000000003</v>
      </c>
      <c r="X31" s="55">
        <f t="shared" si="47"/>
        <v>6129.3172500000001</v>
      </c>
      <c r="Y31" s="55">
        <f t="shared" si="47"/>
        <v>6070.9428000000007</v>
      </c>
      <c r="Z31" s="55">
        <f t="shared" ref="Z31:CK33" si="51">IF(Z$1&lt;$F31,$I31*(($F31-Z$1)/$F31),0)</f>
        <v>6012.5683499999996</v>
      </c>
      <c r="AA31" s="55">
        <f t="shared" si="51"/>
        <v>5954.1939000000002</v>
      </c>
      <c r="AB31" s="55">
        <f t="shared" si="51"/>
        <v>5895.81945</v>
      </c>
      <c r="AC31" s="55">
        <f t="shared" si="51"/>
        <v>5837.4450000000006</v>
      </c>
      <c r="AD31" s="55">
        <f t="shared" si="51"/>
        <v>5779.0705499999995</v>
      </c>
      <c r="AE31" s="55">
        <f t="shared" si="51"/>
        <v>5720.6961000000001</v>
      </c>
      <c r="AF31" s="55">
        <f t="shared" si="51"/>
        <v>5662.3216499999999</v>
      </c>
      <c r="AG31" s="55">
        <f t="shared" si="51"/>
        <v>5603.9472000000005</v>
      </c>
      <c r="AH31" s="55">
        <f t="shared" si="51"/>
        <v>5545.5727500000003</v>
      </c>
      <c r="AI31" s="55">
        <f t="shared" si="51"/>
        <v>5487.1983</v>
      </c>
      <c r="AJ31" s="55">
        <f t="shared" si="51"/>
        <v>5428.8238500000007</v>
      </c>
      <c r="AK31" s="55">
        <f t="shared" si="51"/>
        <v>5370.4494000000004</v>
      </c>
      <c r="AL31" s="55">
        <f t="shared" si="51"/>
        <v>5312.0749500000002</v>
      </c>
      <c r="AM31" s="55">
        <f t="shared" si="51"/>
        <v>5253.7004999999999</v>
      </c>
      <c r="AN31" s="55">
        <f t="shared" si="51"/>
        <v>5195.3260500000006</v>
      </c>
      <c r="AO31" s="55">
        <f t="shared" si="51"/>
        <v>5136.9515999999994</v>
      </c>
      <c r="AP31" s="55">
        <f t="shared" si="51"/>
        <v>5078.5771500000001</v>
      </c>
      <c r="AQ31" s="55">
        <f t="shared" si="51"/>
        <v>5020.2026999999998</v>
      </c>
      <c r="AR31" s="55">
        <f t="shared" si="51"/>
        <v>4961.8282500000005</v>
      </c>
      <c r="AS31" s="55">
        <f t="shared" si="51"/>
        <v>4903.4538000000002</v>
      </c>
      <c r="AT31" s="55">
        <f t="shared" si="51"/>
        <v>4845.07935</v>
      </c>
      <c r="AU31" s="55">
        <f t="shared" si="51"/>
        <v>4786.7049000000006</v>
      </c>
      <c r="AV31" s="55">
        <f t="shared" si="51"/>
        <v>4728.3304500000004</v>
      </c>
      <c r="AW31" s="55">
        <f t="shared" si="51"/>
        <v>4669.9560000000001</v>
      </c>
      <c r="AX31" s="55">
        <f t="shared" si="51"/>
        <v>4611.5815499999999</v>
      </c>
      <c r="AY31" s="55">
        <f t="shared" si="51"/>
        <v>4553.2071000000005</v>
      </c>
      <c r="AZ31" s="55">
        <f t="shared" si="51"/>
        <v>4494.8326500000003</v>
      </c>
      <c r="BA31" s="55">
        <f t="shared" si="51"/>
        <v>4436.4582</v>
      </c>
      <c r="BB31" s="55">
        <f t="shared" si="51"/>
        <v>4378.0837499999998</v>
      </c>
      <c r="BC31" s="55">
        <f t="shared" si="51"/>
        <v>4319.7093000000004</v>
      </c>
      <c r="BD31" s="55">
        <f t="shared" si="51"/>
        <v>4261.3348500000002</v>
      </c>
      <c r="BE31" s="55">
        <f t="shared" si="51"/>
        <v>4202.9603999999999</v>
      </c>
      <c r="BF31" s="55">
        <f t="shared" si="51"/>
        <v>4144.5859500000006</v>
      </c>
      <c r="BG31" s="55">
        <f t="shared" si="51"/>
        <v>4086.2115000000003</v>
      </c>
      <c r="BH31" s="55">
        <f t="shared" si="51"/>
        <v>4027.8370499999996</v>
      </c>
      <c r="BI31" s="55">
        <f t="shared" si="51"/>
        <v>3969.4625999999998</v>
      </c>
      <c r="BJ31" s="55">
        <f t="shared" si="51"/>
        <v>3911.08815</v>
      </c>
      <c r="BK31" s="55">
        <f t="shared" si="51"/>
        <v>3852.7137000000002</v>
      </c>
      <c r="BL31" s="55">
        <f t="shared" si="51"/>
        <v>3794.33925</v>
      </c>
      <c r="BM31" s="55">
        <f t="shared" si="51"/>
        <v>3735.9648000000002</v>
      </c>
      <c r="BN31" s="55">
        <f t="shared" si="51"/>
        <v>3677.5903500000004</v>
      </c>
      <c r="BO31" s="55">
        <f t="shared" si="51"/>
        <v>3619.2159000000006</v>
      </c>
      <c r="BP31" s="55">
        <f t="shared" si="51"/>
        <v>3560.8414499999999</v>
      </c>
      <c r="BQ31" s="55">
        <f t="shared" si="51"/>
        <v>3502.4670000000001</v>
      </c>
      <c r="BR31" s="55">
        <f t="shared" si="51"/>
        <v>3444.0925499999998</v>
      </c>
      <c r="BS31" s="55">
        <f t="shared" si="51"/>
        <v>3385.7181</v>
      </c>
      <c r="BT31" s="55">
        <f t="shared" si="51"/>
        <v>3327.3436499999998</v>
      </c>
      <c r="BU31" s="55">
        <f t="shared" si="51"/>
        <v>3268.9692</v>
      </c>
      <c r="BV31" s="55">
        <f t="shared" si="51"/>
        <v>3210.5947499999997</v>
      </c>
      <c r="BW31" s="55">
        <f t="shared" si="51"/>
        <v>3152.2203</v>
      </c>
      <c r="BX31" s="55">
        <f t="shared" si="51"/>
        <v>3093.8458500000002</v>
      </c>
      <c r="BY31" s="55">
        <f t="shared" si="51"/>
        <v>3035.4714000000004</v>
      </c>
      <c r="BZ31" s="55">
        <f t="shared" si="51"/>
        <v>2977.0969500000001</v>
      </c>
      <c r="CA31" s="55">
        <f t="shared" si="51"/>
        <v>2918.7225000000003</v>
      </c>
      <c r="CB31" s="55">
        <f t="shared" si="51"/>
        <v>2860.3480500000001</v>
      </c>
      <c r="CC31" s="55">
        <f t="shared" si="51"/>
        <v>2801.9736000000003</v>
      </c>
      <c r="CD31" s="55">
        <f t="shared" si="51"/>
        <v>2743.59915</v>
      </c>
      <c r="CE31" s="55">
        <f t="shared" si="51"/>
        <v>2685.2247000000002</v>
      </c>
      <c r="CF31" s="55">
        <f t="shared" si="51"/>
        <v>2626.85025</v>
      </c>
      <c r="CG31" s="55">
        <f t="shared" si="51"/>
        <v>2568.4757999999997</v>
      </c>
      <c r="CH31" s="55">
        <f t="shared" si="51"/>
        <v>2510.1013499999999</v>
      </c>
      <c r="CI31" s="55">
        <f t="shared" si="51"/>
        <v>2451.7269000000001</v>
      </c>
      <c r="CJ31" s="55">
        <f t="shared" si="51"/>
        <v>2393.3524500000003</v>
      </c>
      <c r="CK31" s="55">
        <f t="shared" si="51"/>
        <v>2334.9780000000001</v>
      </c>
      <c r="CL31" s="55">
        <f t="shared" si="49"/>
        <v>2276.6035500000003</v>
      </c>
      <c r="CM31" s="55">
        <f t="shared" si="49"/>
        <v>2218.2291</v>
      </c>
      <c r="CN31" s="55">
        <f t="shared" si="49"/>
        <v>2159.8546500000002</v>
      </c>
      <c r="CO31" s="55">
        <f t="shared" si="49"/>
        <v>2101.4802</v>
      </c>
      <c r="CP31" s="55">
        <f t="shared" si="49"/>
        <v>2043.1057500000002</v>
      </c>
      <c r="CQ31" s="55">
        <f t="shared" si="49"/>
        <v>1984.7312999999999</v>
      </c>
      <c r="CR31" s="55">
        <f t="shared" si="49"/>
        <v>1926.3568500000001</v>
      </c>
      <c r="CS31" s="55">
        <f t="shared" si="49"/>
        <v>1867.9824000000001</v>
      </c>
      <c r="CT31" s="55">
        <f t="shared" si="49"/>
        <v>1809.6079500000003</v>
      </c>
      <c r="CU31" s="55">
        <f t="shared" si="49"/>
        <v>1751.2335</v>
      </c>
      <c r="CV31" s="55">
        <f t="shared" si="49"/>
        <v>1692.85905</v>
      </c>
      <c r="CW31" s="55">
        <f t="shared" si="49"/>
        <v>1634.4846</v>
      </c>
      <c r="CX31" s="55">
        <f t="shared" si="49"/>
        <v>1576.11015</v>
      </c>
      <c r="CY31" s="55">
        <f t="shared" si="49"/>
        <v>1517.7357000000002</v>
      </c>
      <c r="CZ31" s="55">
        <f t="shared" si="49"/>
        <v>1459.3612500000002</v>
      </c>
      <c r="DA31" s="55">
        <f t="shared" si="49"/>
        <v>1400.9868000000001</v>
      </c>
      <c r="DB31" s="55">
        <f t="shared" si="49"/>
        <v>1342.6123500000001</v>
      </c>
      <c r="DC31" s="55">
        <f t="shared" si="49"/>
        <v>1284.2378999999999</v>
      </c>
      <c r="DD31" s="55">
        <f t="shared" si="49"/>
        <v>1225.8634500000001</v>
      </c>
      <c r="DE31" s="55">
        <f t="shared" si="49"/>
        <v>1167.489</v>
      </c>
      <c r="DF31" s="55">
        <f t="shared" si="49"/>
        <v>1109.11455</v>
      </c>
      <c r="DG31" s="55">
        <f t="shared" si="49"/>
        <v>1050.7401</v>
      </c>
      <c r="DH31" s="55">
        <f t="shared" si="49"/>
        <v>992.36564999999996</v>
      </c>
      <c r="DI31" s="55">
        <f t="shared" si="49"/>
        <v>933.99120000000005</v>
      </c>
      <c r="DJ31" s="55">
        <f t="shared" si="49"/>
        <v>875.61675000000002</v>
      </c>
      <c r="DK31" s="55">
        <f t="shared" si="49"/>
        <v>817.2423</v>
      </c>
      <c r="DL31" s="55">
        <f t="shared" si="49"/>
        <v>758.86785000000009</v>
      </c>
      <c r="DM31" s="55">
        <f t="shared" si="49"/>
        <v>700.49340000000007</v>
      </c>
      <c r="DN31" s="55">
        <f t="shared" si="49"/>
        <v>642.11894999999993</v>
      </c>
      <c r="DO31" s="55">
        <f t="shared" si="49"/>
        <v>583.74450000000002</v>
      </c>
      <c r="DP31" s="55">
        <f t="shared" si="49"/>
        <v>525.37004999999999</v>
      </c>
      <c r="DQ31" s="55">
        <f t="shared" si="49"/>
        <v>466.99560000000002</v>
      </c>
      <c r="DR31" s="55">
        <f t="shared" si="49"/>
        <v>408.62115</v>
      </c>
      <c r="DS31" s="55">
        <f t="shared" si="49"/>
        <v>350.24670000000003</v>
      </c>
      <c r="DT31" s="55">
        <f t="shared" si="49"/>
        <v>291.87225000000001</v>
      </c>
      <c r="DU31" s="55">
        <f t="shared" si="49"/>
        <v>233.49780000000001</v>
      </c>
      <c r="DV31" s="55">
        <f t="shared" si="49"/>
        <v>175.12335000000002</v>
      </c>
      <c r="DW31" s="55">
        <f t="shared" si="49"/>
        <v>116.74890000000001</v>
      </c>
      <c r="DX31" s="55">
        <f t="shared" si="49"/>
        <v>58.374450000000003</v>
      </c>
      <c r="DY31" s="55">
        <f t="shared" si="49"/>
        <v>0</v>
      </c>
    </row>
    <row r="32" spans="1:129" x14ac:dyDescent="0.45">
      <c r="A32" s="3">
        <v>46022</v>
      </c>
      <c r="B32" s="2" t="s">
        <v>19</v>
      </c>
      <c r="C32" s="6" t="s">
        <v>29</v>
      </c>
      <c r="D32" s="17">
        <v>0</v>
      </c>
      <c r="E32" s="2" t="s">
        <v>43</v>
      </c>
      <c r="F32" s="2">
        <v>120</v>
      </c>
      <c r="G32" s="2" t="s">
        <v>43</v>
      </c>
      <c r="H32" s="2">
        <v>120</v>
      </c>
      <c r="I32" s="14">
        <v>0</v>
      </c>
      <c r="J32" s="55">
        <f t="shared" si="47"/>
        <v>0</v>
      </c>
      <c r="K32" s="55">
        <f t="shared" si="47"/>
        <v>0</v>
      </c>
      <c r="L32" s="55">
        <f t="shared" si="47"/>
        <v>0</v>
      </c>
      <c r="M32" s="55">
        <f t="shared" si="47"/>
        <v>0</v>
      </c>
      <c r="N32" s="55">
        <f t="shared" si="47"/>
        <v>0</v>
      </c>
      <c r="O32" s="55">
        <f t="shared" si="47"/>
        <v>0</v>
      </c>
      <c r="P32" s="55">
        <f t="shared" si="47"/>
        <v>0</v>
      </c>
      <c r="Q32" s="55">
        <f t="shared" si="47"/>
        <v>0</v>
      </c>
      <c r="R32" s="55">
        <f t="shared" si="47"/>
        <v>0</v>
      </c>
      <c r="S32" s="55">
        <f t="shared" si="47"/>
        <v>0</v>
      </c>
      <c r="T32" s="55">
        <f t="shared" si="47"/>
        <v>0</v>
      </c>
      <c r="U32" s="55">
        <f t="shared" si="47"/>
        <v>0</v>
      </c>
      <c r="V32" s="55">
        <f t="shared" si="47"/>
        <v>0</v>
      </c>
      <c r="W32" s="55">
        <f t="shared" si="47"/>
        <v>0</v>
      </c>
      <c r="X32" s="55">
        <f t="shared" si="47"/>
        <v>0</v>
      </c>
      <c r="Y32" s="55">
        <f t="shared" si="47"/>
        <v>0</v>
      </c>
      <c r="Z32" s="55">
        <f t="shared" si="51"/>
        <v>0</v>
      </c>
      <c r="AA32" s="55">
        <f t="shared" si="51"/>
        <v>0</v>
      </c>
      <c r="AB32" s="55">
        <f t="shared" si="51"/>
        <v>0</v>
      </c>
      <c r="AC32" s="55">
        <f t="shared" si="51"/>
        <v>0</v>
      </c>
      <c r="AD32" s="55">
        <f t="shared" si="51"/>
        <v>0</v>
      </c>
      <c r="AE32" s="55">
        <f t="shared" si="51"/>
        <v>0</v>
      </c>
      <c r="AF32" s="55">
        <f t="shared" si="51"/>
        <v>0</v>
      </c>
      <c r="AG32" s="55">
        <f t="shared" si="51"/>
        <v>0</v>
      </c>
      <c r="AH32" s="55">
        <f t="shared" si="51"/>
        <v>0</v>
      </c>
      <c r="AI32" s="55">
        <f t="shared" si="51"/>
        <v>0</v>
      </c>
      <c r="AJ32" s="55">
        <f t="shared" si="51"/>
        <v>0</v>
      </c>
      <c r="AK32" s="55">
        <f t="shared" si="51"/>
        <v>0</v>
      </c>
      <c r="AL32" s="55">
        <f t="shared" si="51"/>
        <v>0</v>
      </c>
      <c r="AM32" s="55">
        <f t="shared" si="51"/>
        <v>0</v>
      </c>
      <c r="AN32" s="55">
        <f t="shared" si="51"/>
        <v>0</v>
      </c>
      <c r="AO32" s="55">
        <f t="shared" si="51"/>
        <v>0</v>
      </c>
      <c r="AP32" s="55">
        <f t="shared" si="51"/>
        <v>0</v>
      </c>
      <c r="AQ32" s="55">
        <f t="shared" si="51"/>
        <v>0</v>
      </c>
      <c r="AR32" s="55">
        <f t="shared" si="51"/>
        <v>0</v>
      </c>
      <c r="AS32" s="55">
        <f t="shared" si="51"/>
        <v>0</v>
      </c>
      <c r="AT32" s="55">
        <f t="shared" si="51"/>
        <v>0</v>
      </c>
      <c r="AU32" s="55">
        <f t="shared" si="51"/>
        <v>0</v>
      </c>
      <c r="AV32" s="55">
        <f t="shared" si="51"/>
        <v>0</v>
      </c>
      <c r="AW32" s="55">
        <f t="shared" si="51"/>
        <v>0</v>
      </c>
      <c r="AX32" s="55">
        <f t="shared" si="51"/>
        <v>0</v>
      </c>
      <c r="AY32" s="55">
        <f t="shared" si="51"/>
        <v>0</v>
      </c>
      <c r="AZ32" s="55">
        <f t="shared" si="51"/>
        <v>0</v>
      </c>
      <c r="BA32" s="55">
        <f t="shared" si="51"/>
        <v>0</v>
      </c>
      <c r="BB32" s="55">
        <f t="shared" si="51"/>
        <v>0</v>
      </c>
      <c r="BC32" s="55">
        <f t="shared" si="51"/>
        <v>0</v>
      </c>
      <c r="BD32" s="55">
        <f t="shared" si="51"/>
        <v>0</v>
      </c>
      <c r="BE32" s="55">
        <f t="shared" si="51"/>
        <v>0</v>
      </c>
      <c r="BF32" s="55">
        <f t="shared" si="51"/>
        <v>0</v>
      </c>
      <c r="BG32" s="55">
        <f t="shared" si="51"/>
        <v>0</v>
      </c>
      <c r="BH32" s="55">
        <f t="shared" si="51"/>
        <v>0</v>
      </c>
      <c r="BI32" s="55">
        <f t="shared" si="51"/>
        <v>0</v>
      </c>
      <c r="BJ32" s="55">
        <f t="shared" si="51"/>
        <v>0</v>
      </c>
      <c r="BK32" s="55">
        <f t="shared" si="51"/>
        <v>0</v>
      </c>
      <c r="BL32" s="55">
        <f t="shared" si="51"/>
        <v>0</v>
      </c>
      <c r="BM32" s="55">
        <f t="shared" si="51"/>
        <v>0</v>
      </c>
      <c r="BN32" s="55">
        <f t="shared" si="51"/>
        <v>0</v>
      </c>
      <c r="BO32" s="55">
        <f t="shared" si="51"/>
        <v>0</v>
      </c>
      <c r="BP32" s="55">
        <f t="shared" si="51"/>
        <v>0</v>
      </c>
      <c r="BQ32" s="55">
        <f t="shared" si="51"/>
        <v>0</v>
      </c>
      <c r="BR32" s="55">
        <f t="shared" si="51"/>
        <v>0</v>
      </c>
      <c r="BS32" s="55">
        <f t="shared" si="51"/>
        <v>0</v>
      </c>
      <c r="BT32" s="55">
        <f t="shared" si="51"/>
        <v>0</v>
      </c>
      <c r="BU32" s="55">
        <f t="shared" si="51"/>
        <v>0</v>
      </c>
      <c r="BV32" s="55">
        <f t="shared" si="51"/>
        <v>0</v>
      </c>
      <c r="BW32" s="55">
        <f t="shared" si="51"/>
        <v>0</v>
      </c>
      <c r="BX32" s="55">
        <f t="shared" si="51"/>
        <v>0</v>
      </c>
      <c r="BY32" s="55">
        <f t="shared" si="51"/>
        <v>0</v>
      </c>
      <c r="BZ32" s="55">
        <f t="shared" si="51"/>
        <v>0</v>
      </c>
      <c r="CA32" s="55">
        <f t="shared" si="51"/>
        <v>0</v>
      </c>
      <c r="CB32" s="55">
        <f t="shared" si="51"/>
        <v>0</v>
      </c>
      <c r="CC32" s="55">
        <f t="shared" si="51"/>
        <v>0</v>
      </c>
      <c r="CD32" s="55">
        <f t="shared" si="51"/>
        <v>0</v>
      </c>
      <c r="CE32" s="55">
        <f t="shared" si="51"/>
        <v>0</v>
      </c>
      <c r="CF32" s="55">
        <f t="shared" si="51"/>
        <v>0</v>
      </c>
      <c r="CG32" s="55">
        <f t="shared" si="51"/>
        <v>0</v>
      </c>
      <c r="CH32" s="55">
        <f t="shared" si="51"/>
        <v>0</v>
      </c>
      <c r="CI32" s="55">
        <f t="shared" si="51"/>
        <v>0</v>
      </c>
      <c r="CJ32" s="55">
        <f t="shared" si="51"/>
        <v>0</v>
      </c>
      <c r="CK32" s="55">
        <f t="shared" si="51"/>
        <v>0</v>
      </c>
      <c r="CL32" s="55">
        <f t="shared" si="49"/>
        <v>0</v>
      </c>
      <c r="CM32" s="55">
        <f t="shared" si="49"/>
        <v>0</v>
      </c>
      <c r="CN32" s="55">
        <f t="shared" si="49"/>
        <v>0</v>
      </c>
      <c r="CO32" s="55">
        <f t="shared" si="49"/>
        <v>0</v>
      </c>
      <c r="CP32" s="55">
        <f t="shared" si="49"/>
        <v>0</v>
      </c>
      <c r="CQ32" s="55">
        <f t="shared" si="49"/>
        <v>0</v>
      </c>
      <c r="CR32" s="55">
        <f t="shared" si="49"/>
        <v>0</v>
      </c>
      <c r="CS32" s="55">
        <f t="shared" si="49"/>
        <v>0</v>
      </c>
      <c r="CT32" s="55">
        <f t="shared" si="49"/>
        <v>0</v>
      </c>
      <c r="CU32" s="55">
        <f t="shared" si="49"/>
        <v>0</v>
      </c>
      <c r="CV32" s="55">
        <f t="shared" si="49"/>
        <v>0</v>
      </c>
      <c r="CW32" s="55">
        <f t="shared" si="49"/>
        <v>0</v>
      </c>
      <c r="CX32" s="55">
        <f t="shared" si="49"/>
        <v>0</v>
      </c>
      <c r="CY32" s="55">
        <f t="shared" si="49"/>
        <v>0</v>
      </c>
      <c r="CZ32" s="55">
        <f t="shared" si="49"/>
        <v>0</v>
      </c>
      <c r="DA32" s="55">
        <f t="shared" si="49"/>
        <v>0</v>
      </c>
      <c r="DB32" s="55">
        <f t="shared" si="49"/>
        <v>0</v>
      </c>
      <c r="DC32" s="55">
        <f t="shared" si="49"/>
        <v>0</v>
      </c>
      <c r="DD32" s="55">
        <f t="shared" si="49"/>
        <v>0</v>
      </c>
      <c r="DE32" s="55">
        <f t="shared" si="49"/>
        <v>0</v>
      </c>
      <c r="DF32" s="55">
        <f t="shared" si="49"/>
        <v>0</v>
      </c>
      <c r="DG32" s="55">
        <f t="shared" si="49"/>
        <v>0</v>
      </c>
      <c r="DH32" s="55">
        <f t="shared" si="49"/>
        <v>0</v>
      </c>
      <c r="DI32" s="55">
        <f t="shared" si="49"/>
        <v>0</v>
      </c>
      <c r="DJ32" s="55">
        <f t="shared" si="49"/>
        <v>0</v>
      </c>
      <c r="DK32" s="55">
        <f t="shared" si="49"/>
        <v>0</v>
      </c>
      <c r="DL32" s="55">
        <f t="shared" si="49"/>
        <v>0</v>
      </c>
      <c r="DM32" s="55">
        <f t="shared" si="49"/>
        <v>0</v>
      </c>
      <c r="DN32" s="55">
        <f t="shared" si="49"/>
        <v>0</v>
      </c>
      <c r="DO32" s="55">
        <f t="shared" si="49"/>
        <v>0</v>
      </c>
      <c r="DP32" s="55">
        <f t="shared" si="49"/>
        <v>0</v>
      </c>
      <c r="DQ32" s="55">
        <f t="shared" si="49"/>
        <v>0</v>
      </c>
      <c r="DR32" s="55">
        <f t="shared" si="49"/>
        <v>0</v>
      </c>
      <c r="DS32" s="55">
        <f t="shared" si="49"/>
        <v>0</v>
      </c>
      <c r="DT32" s="55">
        <f t="shared" si="49"/>
        <v>0</v>
      </c>
      <c r="DU32" s="55">
        <f t="shared" si="49"/>
        <v>0</v>
      </c>
      <c r="DV32" s="55">
        <f t="shared" si="49"/>
        <v>0</v>
      </c>
      <c r="DW32" s="55">
        <f t="shared" si="49"/>
        <v>0</v>
      </c>
      <c r="DX32" s="55">
        <f t="shared" si="49"/>
        <v>0</v>
      </c>
      <c r="DY32" s="55">
        <f t="shared" si="49"/>
        <v>0</v>
      </c>
    </row>
    <row r="33" spans="1:129" x14ac:dyDescent="0.45">
      <c r="A33" s="3">
        <v>46022</v>
      </c>
      <c r="B33" s="2" t="s">
        <v>19</v>
      </c>
      <c r="C33" s="6" t="s">
        <v>30</v>
      </c>
      <c r="D33" s="17">
        <v>0</v>
      </c>
      <c r="E33" s="2" t="s">
        <v>43</v>
      </c>
      <c r="F33" s="2">
        <v>120</v>
      </c>
      <c r="G33" s="2" t="s">
        <v>43</v>
      </c>
      <c r="H33" s="2">
        <v>120</v>
      </c>
      <c r="I33" s="14">
        <v>0</v>
      </c>
      <c r="J33" s="55">
        <f t="shared" si="47"/>
        <v>0</v>
      </c>
      <c r="K33" s="55">
        <f t="shared" si="47"/>
        <v>0</v>
      </c>
      <c r="L33" s="55">
        <f t="shared" si="47"/>
        <v>0</v>
      </c>
      <c r="M33" s="55">
        <f t="shared" si="47"/>
        <v>0</v>
      </c>
      <c r="N33" s="55">
        <f t="shared" si="47"/>
        <v>0</v>
      </c>
      <c r="O33" s="55">
        <f t="shared" si="47"/>
        <v>0</v>
      </c>
      <c r="P33" s="55">
        <f t="shared" si="47"/>
        <v>0</v>
      </c>
      <c r="Q33" s="55">
        <f t="shared" si="47"/>
        <v>0</v>
      </c>
      <c r="R33" s="55">
        <f t="shared" si="47"/>
        <v>0</v>
      </c>
      <c r="S33" s="55">
        <f t="shared" si="47"/>
        <v>0</v>
      </c>
      <c r="T33" s="55">
        <f t="shared" si="47"/>
        <v>0</v>
      </c>
      <c r="U33" s="55">
        <f t="shared" si="47"/>
        <v>0</v>
      </c>
      <c r="V33" s="55">
        <f t="shared" si="47"/>
        <v>0</v>
      </c>
      <c r="W33" s="55">
        <f t="shared" si="47"/>
        <v>0</v>
      </c>
      <c r="X33" s="55">
        <f t="shared" si="47"/>
        <v>0</v>
      </c>
      <c r="Y33" s="55">
        <f t="shared" si="47"/>
        <v>0</v>
      </c>
      <c r="Z33" s="55">
        <f t="shared" si="51"/>
        <v>0</v>
      </c>
      <c r="AA33" s="55">
        <f t="shared" si="51"/>
        <v>0</v>
      </c>
      <c r="AB33" s="55">
        <f t="shared" si="51"/>
        <v>0</v>
      </c>
      <c r="AC33" s="55">
        <f t="shared" si="51"/>
        <v>0</v>
      </c>
      <c r="AD33" s="55">
        <f t="shared" si="51"/>
        <v>0</v>
      </c>
      <c r="AE33" s="55">
        <f t="shared" si="51"/>
        <v>0</v>
      </c>
      <c r="AF33" s="55">
        <f t="shared" si="51"/>
        <v>0</v>
      </c>
      <c r="AG33" s="55">
        <f t="shared" si="51"/>
        <v>0</v>
      </c>
      <c r="AH33" s="55">
        <f t="shared" si="51"/>
        <v>0</v>
      </c>
      <c r="AI33" s="55">
        <f t="shared" si="51"/>
        <v>0</v>
      </c>
      <c r="AJ33" s="55">
        <f t="shared" si="51"/>
        <v>0</v>
      </c>
      <c r="AK33" s="55">
        <f t="shared" si="51"/>
        <v>0</v>
      </c>
      <c r="AL33" s="55">
        <f t="shared" si="51"/>
        <v>0</v>
      </c>
      <c r="AM33" s="55">
        <f t="shared" si="51"/>
        <v>0</v>
      </c>
      <c r="AN33" s="55">
        <f t="shared" si="51"/>
        <v>0</v>
      </c>
      <c r="AO33" s="55">
        <f t="shared" si="51"/>
        <v>0</v>
      </c>
      <c r="AP33" s="55">
        <f t="shared" si="51"/>
        <v>0</v>
      </c>
      <c r="AQ33" s="55">
        <f t="shared" si="51"/>
        <v>0</v>
      </c>
      <c r="AR33" s="55">
        <f t="shared" si="51"/>
        <v>0</v>
      </c>
      <c r="AS33" s="55">
        <f t="shared" si="51"/>
        <v>0</v>
      </c>
      <c r="AT33" s="55">
        <f t="shared" si="51"/>
        <v>0</v>
      </c>
      <c r="AU33" s="55">
        <f t="shared" si="51"/>
        <v>0</v>
      </c>
      <c r="AV33" s="55">
        <f t="shared" si="51"/>
        <v>0</v>
      </c>
      <c r="AW33" s="55">
        <f t="shared" si="51"/>
        <v>0</v>
      </c>
      <c r="AX33" s="55">
        <f t="shared" si="51"/>
        <v>0</v>
      </c>
      <c r="AY33" s="55">
        <f t="shared" si="51"/>
        <v>0</v>
      </c>
      <c r="AZ33" s="55">
        <f t="shared" si="51"/>
        <v>0</v>
      </c>
      <c r="BA33" s="55">
        <f t="shared" si="51"/>
        <v>0</v>
      </c>
      <c r="BB33" s="55">
        <f t="shared" si="51"/>
        <v>0</v>
      </c>
      <c r="BC33" s="55">
        <f t="shared" si="51"/>
        <v>0</v>
      </c>
      <c r="BD33" s="55">
        <f t="shared" si="51"/>
        <v>0</v>
      </c>
      <c r="BE33" s="55">
        <f t="shared" si="51"/>
        <v>0</v>
      </c>
      <c r="BF33" s="55">
        <f t="shared" si="51"/>
        <v>0</v>
      </c>
      <c r="BG33" s="55">
        <f t="shared" si="51"/>
        <v>0</v>
      </c>
      <c r="BH33" s="55">
        <f t="shared" si="51"/>
        <v>0</v>
      </c>
      <c r="BI33" s="55">
        <f t="shared" si="51"/>
        <v>0</v>
      </c>
      <c r="BJ33" s="55">
        <f t="shared" si="51"/>
        <v>0</v>
      </c>
      <c r="BK33" s="55">
        <f t="shared" si="51"/>
        <v>0</v>
      </c>
      <c r="BL33" s="55">
        <f t="shared" si="51"/>
        <v>0</v>
      </c>
      <c r="BM33" s="55">
        <f t="shared" si="51"/>
        <v>0</v>
      </c>
      <c r="BN33" s="55">
        <f t="shared" si="51"/>
        <v>0</v>
      </c>
      <c r="BO33" s="55">
        <f t="shared" si="51"/>
        <v>0</v>
      </c>
      <c r="BP33" s="55">
        <f t="shared" si="51"/>
        <v>0</v>
      </c>
      <c r="BQ33" s="55">
        <f t="shared" si="51"/>
        <v>0</v>
      </c>
      <c r="BR33" s="55">
        <f t="shared" si="51"/>
        <v>0</v>
      </c>
      <c r="BS33" s="55">
        <f t="shared" si="51"/>
        <v>0</v>
      </c>
      <c r="BT33" s="55">
        <f t="shared" si="51"/>
        <v>0</v>
      </c>
      <c r="BU33" s="55">
        <f t="shared" si="51"/>
        <v>0</v>
      </c>
      <c r="BV33" s="55">
        <f t="shared" si="51"/>
        <v>0</v>
      </c>
      <c r="BW33" s="55">
        <f t="shared" si="51"/>
        <v>0</v>
      </c>
      <c r="BX33" s="55">
        <f t="shared" si="51"/>
        <v>0</v>
      </c>
      <c r="BY33" s="55">
        <f t="shared" si="51"/>
        <v>0</v>
      </c>
      <c r="BZ33" s="55">
        <f t="shared" si="51"/>
        <v>0</v>
      </c>
      <c r="CA33" s="55">
        <f t="shared" si="51"/>
        <v>0</v>
      </c>
      <c r="CB33" s="55">
        <f t="shared" si="51"/>
        <v>0</v>
      </c>
      <c r="CC33" s="55">
        <f t="shared" si="51"/>
        <v>0</v>
      </c>
      <c r="CD33" s="55">
        <f t="shared" si="51"/>
        <v>0</v>
      </c>
      <c r="CE33" s="55">
        <f t="shared" si="51"/>
        <v>0</v>
      </c>
      <c r="CF33" s="55">
        <f t="shared" si="51"/>
        <v>0</v>
      </c>
      <c r="CG33" s="55">
        <f t="shared" si="51"/>
        <v>0</v>
      </c>
      <c r="CH33" s="55">
        <f t="shared" si="51"/>
        <v>0</v>
      </c>
      <c r="CI33" s="55">
        <f t="shared" si="51"/>
        <v>0</v>
      </c>
      <c r="CJ33" s="55">
        <f t="shared" si="51"/>
        <v>0</v>
      </c>
      <c r="CK33" s="55">
        <f t="shared" si="51"/>
        <v>0</v>
      </c>
      <c r="CL33" s="55">
        <f t="shared" si="49"/>
        <v>0</v>
      </c>
      <c r="CM33" s="55">
        <f t="shared" si="49"/>
        <v>0</v>
      </c>
      <c r="CN33" s="55">
        <f t="shared" si="49"/>
        <v>0</v>
      </c>
      <c r="CO33" s="55">
        <f t="shared" si="49"/>
        <v>0</v>
      </c>
      <c r="CP33" s="55">
        <f t="shared" si="49"/>
        <v>0</v>
      </c>
      <c r="CQ33" s="55">
        <f t="shared" si="49"/>
        <v>0</v>
      </c>
      <c r="CR33" s="55">
        <f t="shared" si="49"/>
        <v>0</v>
      </c>
      <c r="CS33" s="55">
        <f t="shared" si="49"/>
        <v>0</v>
      </c>
      <c r="CT33" s="55">
        <f t="shared" si="49"/>
        <v>0</v>
      </c>
      <c r="CU33" s="55">
        <f t="shared" si="49"/>
        <v>0</v>
      </c>
      <c r="CV33" s="55">
        <f t="shared" si="49"/>
        <v>0</v>
      </c>
      <c r="CW33" s="55">
        <f t="shared" si="49"/>
        <v>0</v>
      </c>
      <c r="CX33" s="55">
        <f t="shared" si="49"/>
        <v>0</v>
      </c>
      <c r="CY33" s="55">
        <f t="shared" si="49"/>
        <v>0</v>
      </c>
      <c r="CZ33" s="55">
        <f t="shared" si="49"/>
        <v>0</v>
      </c>
      <c r="DA33" s="55">
        <f t="shared" ref="DA33:DY33" si="52">IF(DA$1&lt;$F33,$I33*(($F33-DA$1)/$F33),0)</f>
        <v>0</v>
      </c>
      <c r="DB33" s="55">
        <f t="shared" si="52"/>
        <v>0</v>
      </c>
      <c r="DC33" s="55">
        <f t="shared" si="52"/>
        <v>0</v>
      </c>
      <c r="DD33" s="55">
        <f t="shared" si="52"/>
        <v>0</v>
      </c>
      <c r="DE33" s="55">
        <f t="shared" si="52"/>
        <v>0</v>
      </c>
      <c r="DF33" s="55">
        <f t="shared" si="52"/>
        <v>0</v>
      </c>
      <c r="DG33" s="55">
        <f t="shared" si="52"/>
        <v>0</v>
      </c>
      <c r="DH33" s="55">
        <f t="shared" si="52"/>
        <v>0</v>
      </c>
      <c r="DI33" s="55">
        <f t="shared" si="52"/>
        <v>0</v>
      </c>
      <c r="DJ33" s="55">
        <f t="shared" si="52"/>
        <v>0</v>
      </c>
      <c r="DK33" s="55">
        <f t="shared" si="52"/>
        <v>0</v>
      </c>
      <c r="DL33" s="55">
        <f t="shared" si="52"/>
        <v>0</v>
      </c>
      <c r="DM33" s="55">
        <f t="shared" si="52"/>
        <v>0</v>
      </c>
      <c r="DN33" s="55">
        <f t="shared" si="52"/>
        <v>0</v>
      </c>
      <c r="DO33" s="55">
        <f t="shared" si="52"/>
        <v>0</v>
      </c>
      <c r="DP33" s="55">
        <f t="shared" si="52"/>
        <v>0</v>
      </c>
      <c r="DQ33" s="55">
        <f t="shared" si="52"/>
        <v>0</v>
      </c>
      <c r="DR33" s="55">
        <f t="shared" si="52"/>
        <v>0</v>
      </c>
      <c r="DS33" s="55">
        <f t="shared" si="52"/>
        <v>0</v>
      </c>
      <c r="DT33" s="55">
        <f t="shared" si="52"/>
        <v>0</v>
      </c>
      <c r="DU33" s="55">
        <f t="shared" si="52"/>
        <v>0</v>
      </c>
      <c r="DV33" s="55">
        <f t="shared" si="52"/>
        <v>0</v>
      </c>
      <c r="DW33" s="55">
        <f t="shared" si="52"/>
        <v>0</v>
      </c>
      <c r="DX33" s="55">
        <f t="shared" si="52"/>
        <v>0</v>
      </c>
      <c r="DY33" s="55">
        <f t="shared" si="52"/>
        <v>0</v>
      </c>
    </row>
    <row r="34" spans="1:129" x14ac:dyDescent="0.45">
      <c r="A34" s="72">
        <v>46022</v>
      </c>
      <c r="B34" s="73" t="s">
        <v>19</v>
      </c>
      <c r="C34" s="74" t="s">
        <v>31</v>
      </c>
      <c r="D34" s="75"/>
      <c r="E34" s="54"/>
      <c r="F34" s="54"/>
      <c r="G34" s="54"/>
      <c r="H34" s="54"/>
      <c r="I34" s="82">
        <f>I26+I24+I23+I20+I17+I25</f>
        <v>155592.33199999999</v>
      </c>
      <c r="J34" s="15">
        <f>J17+J20+SUM(J23:J26)</f>
        <v>155132.37310833333</v>
      </c>
      <c r="K34" s="15">
        <f t="shared" ref="K34:BV34" si="53">K17+K20+SUM(K23:K26)</f>
        <v>154672.41421666666</v>
      </c>
      <c r="L34" s="15">
        <f t="shared" si="53"/>
        <v>154212.45532499999</v>
      </c>
      <c r="M34" s="15">
        <f t="shared" si="53"/>
        <v>151862.29643333334</v>
      </c>
      <c r="N34" s="15">
        <f t="shared" si="53"/>
        <v>151402.33754166667</v>
      </c>
      <c r="O34" s="15">
        <f t="shared" si="53"/>
        <v>150942.37865000003</v>
      </c>
      <c r="P34" s="15">
        <f t="shared" si="53"/>
        <v>150482.41975833333</v>
      </c>
      <c r="Q34" s="15">
        <f t="shared" si="53"/>
        <v>150022.46086666669</v>
      </c>
      <c r="R34" s="15">
        <f t="shared" si="53"/>
        <v>149562.50197500002</v>
      </c>
      <c r="S34" s="15">
        <f t="shared" si="53"/>
        <v>149102.54308333332</v>
      </c>
      <c r="T34" s="15">
        <f t="shared" si="53"/>
        <v>148642.58419166668</v>
      </c>
      <c r="U34" s="15">
        <f t="shared" si="53"/>
        <v>148182.62530000001</v>
      </c>
      <c r="V34" s="15">
        <f t="shared" si="53"/>
        <v>147722.66640833335</v>
      </c>
      <c r="W34" s="15">
        <f t="shared" si="53"/>
        <v>147262.70751666668</v>
      </c>
      <c r="X34" s="15">
        <f t="shared" si="53"/>
        <v>146802.74862500001</v>
      </c>
      <c r="Y34" s="15">
        <f t="shared" si="53"/>
        <v>146342.78973333334</v>
      </c>
      <c r="Z34" s="15">
        <f t="shared" si="53"/>
        <v>145882.83084166667</v>
      </c>
      <c r="AA34" s="15">
        <f t="shared" si="53"/>
        <v>145422.87195</v>
      </c>
      <c r="AB34" s="15">
        <f t="shared" si="53"/>
        <v>144962.91305833333</v>
      </c>
      <c r="AC34" s="15">
        <f t="shared" si="53"/>
        <v>144502.95416666666</v>
      </c>
      <c r="AD34" s="15">
        <f t="shared" si="53"/>
        <v>144042.99527499999</v>
      </c>
      <c r="AE34" s="15">
        <f t="shared" si="53"/>
        <v>143583.03638333335</v>
      </c>
      <c r="AF34" s="15">
        <f t="shared" si="53"/>
        <v>143123.07749166669</v>
      </c>
      <c r="AG34" s="15">
        <f t="shared" si="53"/>
        <v>70458.018599999996</v>
      </c>
      <c r="AH34" s="15">
        <f t="shared" si="53"/>
        <v>69998.059708333341</v>
      </c>
      <c r="AI34" s="15">
        <f t="shared" si="53"/>
        <v>69538.100816666672</v>
      </c>
      <c r="AJ34" s="15">
        <f t="shared" si="53"/>
        <v>69078.141925000004</v>
      </c>
      <c r="AK34" s="15">
        <f t="shared" si="53"/>
        <v>68618.183033333335</v>
      </c>
      <c r="AL34" s="15">
        <f t="shared" si="53"/>
        <v>68158.224141666666</v>
      </c>
      <c r="AM34" s="15">
        <f t="shared" si="53"/>
        <v>67698.265249999997</v>
      </c>
      <c r="AN34" s="15">
        <f t="shared" si="53"/>
        <v>67238.306358333328</v>
      </c>
      <c r="AO34" s="15">
        <f t="shared" si="53"/>
        <v>66778.347466666659</v>
      </c>
      <c r="AP34" s="15">
        <f t="shared" si="53"/>
        <v>66318.38857499999</v>
      </c>
      <c r="AQ34" s="15">
        <f t="shared" si="53"/>
        <v>65858.429683333336</v>
      </c>
      <c r="AR34" s="15">
        <f t="shared" si="53"/>
        <v>65398.470791666674</v>
      </c>
      <c r="AS34" s="15">
        <f t="shared" si="53"/>
        <v>64938.511899999998</v>
      </c>
      <c r="AT34" s="15">
        <f t="shared" si="53"/>
        <v>64478.553008333336</v>
      </c>
      <c r="AU34" s="15">
        <f t="shared" si="53"/>
        <v>64018.594116666674</v>
      </c>
      <c r="AV34" s="15">
        <f t="shared" si="53"/>
        <v>63558.635225000005</v>
      </c>
      <c r="AW34" s="15">
        <f t="shared" si="53"/>
        <v>63098.676333333329</v>
      </c>
      <c r="AX34" s="15">
        <f t="shared" si="53"/>
        <v>62638.717441666668</v>
      </c>
      <c r="AY34" s="15">
        <f t="shared" si="53"/>
        <v>62178.758549999999</v>
      </c>
      <c r="AZ34" s="15">
        <f t="shared" si="53"/>
        <v>61718.79965833333</v>
      </c>
      <c r="BA34" s="15">
        <f t="shared" si="53"/>
        <v>61258.840766666668</v>
      </c>
      <c r="BB34" s="15">
        <f t="shared" si="53"/>
        <v>60798.881875000006</v>
      </c>
      <c r="BC34" s="15">
        <f t="shared" si="53"/>
        <v>60338.922983333337</v>
      </c>
      <c r="BD34" s="15">
        <f t="shared" si="53"/>
        <v>59878.964091666669</v>
      </c>
      <c r="BE34" s="15">
        <f t="shared" si="53"/>
        <v>59419.0052</v>
      </c>
      <c r="BF34" s="15">
        <f t="shared" si="53"/>
        <v>58959.046308333331</v>
      </c>
      <c r="BG34" s="15">
        <f t="shared" si="53"/>
        <v>58499.087416666669</v>
      </c>
      <c r="BH34" s="15">
        <f t="shared" si="53"/>
        <v>58039.128524999993</v>
      </c>
      <c r="BI34" s="15">
        <f t="shared" si="53"/>
        <v>57579.169633333338</v>
      </c>
      <c r="BJ34" s="15">
        <f t="shared" si="53"/>
        <v>57119.210741666669</v>
      </c>
      <c r="BK34" s="15">
        <f t="shared" si="53"/>
        <v>56659.251850000008</v>
      </c>
      <c r="BL34" s="15">
        <f t="shared" si="53"/>
        <v>56199.292958333332</v>
      </c>
      <c r="BM34" s="15">
        <f t="shared" si="53"/>
        <v>55739.334066666663</v>
      </c>
      <c r="BN34" s="15">
        <f t="shared" si="53"/>
        <v>55279.375175000008</v>
      </c>
      <c r="BO34" s="15">
        <f t="shared" si="53"/>
        <v>54819.416283333339</v>
      </c>
      <c r="BP34" s="15">
        <f t="shared" si="53"/>
        <v>54359.457391666663</v>
      </c>
      <c r="BQ34" s="15">
        <f t="shared" si="53"/>
        <v>27727.533500000001</v>
      </c>
      <c r="BR34" s="15">
        <f t="shared" si="53"/>
        <v>27267.574608333332</v>
      </c>
      <c r="BS34" s="15">
        <f t="shared" si="53"/>
        <v>26807.615716666667</v>
      </c>
      <c r="BT34" s="15">
        <f t="shared" si="53"/>
        <v>26347.656824999998</v>
      </c>
      <c r="BU34" s="15">
        <f t="shared" si="53"/>
        <v>25887.697933333337</v>
      </c>
      <c r="BV34" s="15">
        <f t="shared" si="53"/>
        <v>25427.739041666664</v>
      </c>
      <c r="BW34" s="15">
        <f t="shared" ref="BW34:DY34" si="54">BW17+BW20+SUM(BW23:BW26)</f>
        <v>24967.780150000002</v>
      </c>
      <c r="BX34" s="15">
        <f t="shared" si="54"/>
        <v>24507.82125833333</v>
      </c>
      <c r="BY34" s="15">
        <f t="shared" si="54"/>
        <v>24047.862366666668</v>
      </c>
      <c r="BZ34" s="15">
        <f t="shared" si="54"/>
        <v>23587.903474999999</v>
      </c>
      <c r="CA34" s="15">
        <f t="shared" si="54"/>
        <v>23127.944583333334</v>
      </c>
      <c r="CB34" s="15">
        <f t="shared" si="54"/>
        <v>22667.985691666669</v>
      </c>
      <c r="CC34" s="15">
        <f t="shared" si="54"/>
        <v>22078.0268</v>
      </c>
      <c r="CD34" s="15">
        <f t="shared" si="54"/>
        <v>21618.067908333331</v>
      </c>
      <c r="CE34" s="15">
        <f t="shared" si="54"/>
        <v>21158.109016666669</v>
      </c>
      <c r="CF34" s="15">
        <f t="shared" si="54"/>
        <v>20698.150125</v>
      </c>
      <c r="CG34" s="15">
        <f t="shared" si="54"/>
        <v>20238.191233333331</v>
      </c>
      <c r="CH34" s="15">
        <f t="shared" si="54"/>
        <v>19778.23234166667</v>
      </c>
      <c r="CI34" s="15">
        <f t="shared" si="54"/>
        <v>19318.273450000001</v>
      </c>
      <c r="CJ34" s="15">
        <f t="shared" si="54"/>
        <v>18858.314558333335</v>
      </c>
      <c r="CK34" s="15">
        <f t="shared" si="54"/>
        <v>18398.355666666663</v>
      </c>
      <c r="CL34" s="15">
        <f t="shared" si="54"/>
        <v>17938.396775000001</v>
      </c>
      <c r="CM34" s="15">
        <f t="shared" si="54"/>
        <v>17478.437883333332</v>
      </c>
      <c r="CN34" s="15">
        <f t="shared" si="54"/>
        <v>17018.47899166667</v>
      </c>
      <c r="CO34" s="15">
        <f t="shared" si="54"/>
        <v>16558.520100000002</v>
      </c>
      <c r="CP34" s="15">
        <f t="shared" si="54"/>
        <v>16098.561208333334</v>
      </c>
      <c r="CQ34" s="15">
        <f t="shared" si="54"/>
        <v>15638.602316666667</v>
      </c>
      <c r="CR34" s="15">
        <f t="shared" si="54"/>
        <v>15178.643425000002</v>
      </c>
      <c r="CS34" s="15">
        <f t="shared" si="54"/>
        <v>14718.684533333333</v>
      </c>
      <c r="CT34" s="15">
        <f t="shared" si="54"/>
        <v>14258.725641666668</v>
      </c>
      <c r="CU34" s="15">
        <f t="shared" si="54"/>
        <v>13798.766750000001</v>
      </c>
      <c r="CV34" s="15">
        <f t="shared" si="54"/>
        <v>13338.807858333334</v>
      </c>
      <c r="CW34" s="15">
        <f t="shared" si="54"/>
        <v>12878.848966666668</v>
      </c>
      <c r="CX34" s="15">
        <f t="shared" si="54"/>
        <v>12418.890075000001</v>
      </c>
      <c r="CY34" s="15">
        <f t="shared" si="54"/>
        <v>11958.931183333334</v>
      </c>
      <c r="CZ34" s="15">
        <f t="shared" si="54"/>
        <v>11498.972291666667</v>
      </c>
      <c r="DA34" s="15">
        <f t="shared" si="54"/>
        <v>11039.0134</v>
      </c>
      <c r="DB34" s="15">
        <f t="shared" si="54"/>
        <v>10579.054508333335</v>
      </c>
      <c r="DC34" s="15">
        <f t="shared" si="54"/>
        <v>10119.095616666666</v>
      </c>
      <c r="DD34" s="15">
        <f t="shared" si="54"/>
        <v>9659.1367250000003</v>
      </c>
      <c r="DE34" s="15">
        <f t="shared" si="54"/>
        <v>9199.1778333333314</v>
      </c>
      <c r="DF34" s="15">
        <f t="shared" si="54"/>
        <v>8739.2189416666661</v>
      </c>
      <c r="DG34" s="15">
        <f t="shared" si="54"/>
        <v>8279.2600500000008</v>
      </c>
      <c r="DH34" s="15">
        <f t="shared" si="54"/>
        <v>7819.3011583333337</v>
      </c>
      <c r="DI34" s="15">
        <f t="shared" si="54"/>
        <v>7359.3422666666665</v>
      </c>
      <c r="DJ34" s="15">
        <f t="shared" si="54"/>
        <v>6899.3833750000003</v>
      </c>
      <c r="DK34" s="15">
        <f t="shared" si="54"/>
        <v>6439.4244833333341</v>
      </c>
      <c r="DL34" s="15">
        <f t="shared" si="54"/>
        <v>5979.465591666667</v>
      </c>
      <c r="DM34" s="15">
        <f t="shared" si="54"/>
        <v>5519.5066999999999</v>
      </c>
      <c r="DN34" s="15">
        <f t="shared" si="54"/>
        <v>5059.5478083333328</v>
      </c>
      <c r="DO34" s="15">
        <f t="shared" si="54"/>
        <v>4599.5889166666657</v>
      </c>
      <c r="DP34" s="15">
        <f t="shared" si="54"/>
        <v>4139.6300250000004</v>
      </c>
      <c r="DQ34" s="15">
        <f t="shared" si="54"/>
        <v>3679.6711333333333</v>
      </c>
      <c r="DR34" s="15">
        <f t="shared" si="54"/>
        <v>3219.7122416666671</v>
      </c>
      <c r="DS34" s="15">
        <f t="shared" si="54"/>
        <v>2759.75335</v>
      </c>
      <c r="DT34" s="15">
        <f t="shared" si="54"/>
        <v>2299.7944583333328</v>
      </c>
      <c r="DU34" s="15">
        <f t="shared" si="54"/>
        <v>1839.8355666666666</v>
      </c>
      <c r="DV34" s="15">
        <f t="shared" si="54"/>
        <v>1379.876675</v>
      </c>
      <c r="DW34" s="15">
        <f t="shared" si="54"/>
        <v>919.91778333333332</v>
      </c>
      <c r="DX34" s="15">
        <f t="shared" si="54"/>
        <v>459.95889166666666</v>
      </c>
      <c r="DY34" s="15">
        <f t="shared" si="54"/>
        <v>0</v>
      </c>
    </row>
    <row r="35" spans="1:129" s="60" customFormat="1" x14ac:dyDescent="0.45">
      <c r="A35" s="112" t="s">
        <v>264</v>
      </c>
      <c r="B35" s="112"/>
      <c r="C35" s="112"/>
      <c r="D35" s="112"/>
      <c r="E35" s="112"/>
      <c r="F35" s="76"/>
      <c r="G35" s="76"/>
      <c r="H35" s="76"/>
      <c r="I35" s="76">
        <f>I34-I16</f>
        <v>-5.5980000004637986E-2</v>
      </c>
      <c r="J35" s="77">
        <f t="shared" ref="J35:BU35" si="55">J34-J16</f>
        <v>83310.273974002281</v>
      </c>
      <c r="K35" s="77">
        <f t="shared" si="55"/>
        <v>90957.154461761107</v>
      </c>
      <c r="L35" s="77">
        <f t="shared" si="55"/>
        <v>98617.256927707858</v>
      </c>
      <c r="M35" s="77">
        <f t="shared" si="55"/>
        <v>104400.41691158485</v>
      </c>
      <c r="N35" s="77">
        <f t="shared" si="55"/>
        <v>112087.07004870177</v>
      </c>
      <c r="O35" s="77">
        <f t="shared" si="55"/>
        <v>119787.05207019282</v>
      </c>
      <c r="P35" s="77">
        <f t="shared" si="55"/>
        <v>124319.35313660781</v>
      </c>
      <c r="Q35" s="77">
        <f t="shared" si="55"/>
        <v>128865.05483817094</v>
      </c>
      <c r="R35" s="77">
        <f t="shared" si="55"/>
        <v>133424.19319503961</v>
      </c>
      <c r="S35" s="77">
        <f t="shared" si="55"/>
        <v>137996.8043242314</v>
      </c>
      <c r="T35" s="77">
        <f t="shared" si="55"/>
        <v>137547.78301804839</v>
      </c>
      <c r="U35" s="77">
        <f t="shared" si="55"/>
        <v>146019.45493208707</v>
      </c>
      <c r="V35" s="77">
        <f t="shared" si="55"/>
        <v>145570.47815604872</v>
      </c>
      <c r="W35" s="77">
        <f t="shared" si="55"/>
        <v>145121.5237799967</v>
      </c>
      <c r="X35" s="77">
        <f t="shared" si="55"/>
        <v>144672.59189435796</v>
      </c>
      <c r="Y35" s="77">
        <f t="shared" si="55"/>
        <v>144223.68258992446</v>
      </c>
      <c r="Z35" s="77">
        <f t="shared" si="55"/>
        <v>143774.79595785475</v>
      </c>
      <c r="AA35" s="77">
        <f t="shared" si="55"/>
        <v>143325.93208967528</v>
      </c>
      <c r="AB35" s="77">
        <f t="shared" si="55"/>
        <v>142877.09107728204</v>
      </c>
      <c r="AC35" s="77">
        <f t="shared" si="55"/>
        <v>142428.27301294202</v>
      </c>
      <c r="AD35" s="77">
        <f t="shared" si="55"/>
        <v>141979.47798929465</v>
      </c>
      <c r="AE35" s="77">
        <f t="shared" si="55"/>
        <v>141530.70609935338</v>
      </c>
      <c r="AF35" s="77">
        <f t="shared" si="55"/>
        <v>141081.95743650704</v>
      </c>
      <c r="AG35" s="77">
        <f t="shared" si="55"/>
        <v>68428.132094521585</v>
      </c>
      <c r="AH35" s="77">
        <f t="shared" si="55"/>
        <v>67979.430167541461</v>
      </c>
      <c r="AI35" s="77">
        <f t="shared" si="55"/>
        <v>67530.751750091134</v>
      </c>
      <c r="AJ35" s="77">
        <f t="shared" si="55"/>
        <v>67082.096937076669</v>
      </c>
      <c r="AK35" s="77">
        <f t="shared" si="55"/>
        <v>66633.465823787294</v>
      </c>
      <c r="AL35" s="77">
        <f t="shared" si="55"/>
        <v>66184.85850589686</v>
      </c>
      <c r="AM35" s="77">
        <f t="shared" si="55"/>
        <v>65736.275079465486</v>
      </c>
      <c r="AN35" s="77">
        <f t="shared" si="55"/>
        <v>65287.715640941075</v>
      </c>
      <c r="AO35" s="77">
        <f t="shared" si="55"/>
        <v>64839.180287160852</v>
      </c>
      <c r="AP35" s="77">
        <f t="shared" si="55"/>
        <v>64390.669115352997</v>
      </c>
      <c r="AQ35" s="77">
        <f t="shared" si="55"/>
        <v>63942.182223138188</v>
      </c>
      <c r="AR35" s="77">
        <f t="shared" si="55"/>
        <v>63493.719708531171</v>
      </c>
      <c r="AS35" s="77">
        <f t="shared" si="55"/>
        <v>63045.281669942364</v>
      </c>
      <c r="AT35" s="77">
        <f t="shared" si="55"/>
        <v>62596.868206179519</v>
      </c>
      <c r="AU35" s="77">
        <f t="shared" si="55"/>
        <v>62148.479416449198</v>
      </c>
      <c r="AV35" s="77">
        <f t="shared" si="55"/>
        <v>61700.115400358474</v>
      </c>
      <c r="AW35" s="77">
        <f t="shared" si="55"/>
        <v>61251.776257916536</v>
      </c>
      <c r="AX35" s="77">
        <f t="shared" si="55"/>
        <v>60803.462089536311</v>
      </c>
      <c r="AY35" s="77">
        <f t="shared" si="55"/>
        <v>60355.172996036061</v>
      </c>
      <c r="AZ35" s="77">
        <f t="shared" si="55"/>
        <v>59906.909078641045</v>
      </c>
      <c r="BA35" s="77">
        <f t="shared" si="55"/>
        <v>59458.670438985195</v>
      </c>
      <c r="BB35" s="77">
        <f t="shared" si="55"/>
        <v>59010.457179112673</v>
      </c>
      <c r="BC35" s="77">
        <f t="shared" si="55"/>
        <v>58562.269401479629</v>
      </c>
      <c r="BD35" s="77">
        <f t="shared" si="55"/>
        <v>58114.1072089558</v>
      </c>
      <c r="BE35" s="77">
        <f t="shared" si="55"/>
        <v>57665.970704826221</v>
      </c>
      <c r="BF35" s="77">
        <f t="shared" si="55"/>
        <v>57217.859992792852</v>
      </c>
      <c r="BG35" s="77">
        <f t="shared" si="55"/>
        <v>56769.775176976327</v>
      </c>
      <c r="BH35" s="77">
        <f t="shared" si="55"/>
        <v>56321.716361917548</v>
      </c>
      <c r="BI35" s="77">
        <f t="shared" si="55"/>
        <v>55873.683652579515</v>
      </c>
      <c r="BJ35" s="77">
        <f t="shared" si="55"/>
        <v>55425.677154348887</v>
      </c>
      <c r="BK35" s="77">
        <f t="shared" si="55"/>
        <v>54977.696973037797</v>
      </c>
      <c r="BL35" s="77">
        <f t="shared" si="55"/>
        <v>54529.743214885522</v>
      </c>
      <c r="BM35" s="77">
        <f t="shared" si="55"/>
        <v>54081.815986560228</v>
      </c>
      <c r="BN35" s="77">
        <f t="shared" si="55"/>
        <v>53633.9153951607</v>
      </c>
      <c r="BO35" s="77">
        <f t="shared" si="55"/>
        <v>53186.041548218032</v>
      </c>
      <c r="BP35" s="77">
        <f t="shared" si="55"/>
        <v>52738.194553697438</v>
      </c>
      <c r="BQ35" s="77">
        <f t="shared" si="55"/>
        <v>26158.99638</v>
      </c>
      <c r="BR35" s="77">
        <f t="shared" si="55"/>
        <v>25704.470821666666</v>
      </c>
      <c r="BS35" s="77">
        <f t="shared" si="55"/>
        <v>25249.945263333335</v>
      </c>
      <c r="BT35" s="77">
        <f t="shared" si="55"/>
        <v>24795.419704999997</v>
      </c>
      <c r="BU35" s="77">
        <f t="shared" si="55"/>
        <v>24340.894146666669</v>
      </c>
      <c r="BV35" s="77">
        <f t="shared" ref="BV35:DY35" si="56">BV34-BV16</f>
        <v>23886.368588333331</v>
      </c>
      <c r="BW35" s="77">
        <f t="shared" si="56"/>
        <v>23431.843030000004</v>
      </c>
      <c r="BX35" s="77">
        <f t="shared" si="56"/>
        <v>22977.317471666662</v>
      </c>
      <c r="BY35" s="77">
        <f t="shared" si="56"/>
        <v>22522.791913333334</v>
      </c>
      <c r="BZ35" s="77">
        <f t="shared" si="56"/>
        <v>22068.266355</v>
      </c>
      <c r="CA35" s="77">
        <f t="shared" si="56"/>
        <v>21613.740796666669</v>
      </c>
      <c r="CB35" s="77">
        <f t="shared" si="56"/>
        <v>21159.215238333334</v>
      </c>
      <c r="CC35" s="77">
        <f t="shared" si="56"/>
        <v>20574.689679999999</v>
      </c>
      <c r="CD35" s="77">
        <f t="shared" si="56"/>
        <v>20120.164121666665</v>
      </c>
      <c r="CE35" s="77">
        <f t="shared" si="56"/>
        <v>19665.638563333334</v>
      </c>
      <c r="CF35" s="77">
        <f t="shared" si="56"/>
        <v>19211.113004999999</v>
      </c>
      <c r="CG35" s="77">
        <f t="shared" si="56"/>
        <v>18756.587446666665</v>
      </c>
      <c r="CH35" s="77">
        <f t="shared" si="56"/>
        <v>18302.061888333337</v>
      </c>
      <c r="CI35" s="77">
        <f t="shared" si="56"/>
        <v>17847.536329999999</v>
      </c>
      <c r="CJ35" s="77">
        <f t="shared" si="56"/>
        <v>17393.010771666668</v>
      </c>
      <c r="CK35" s="77">
        <f t="shared" si="56"/>
        <v>16938.48521333333</v>
      </c>
      <c r="CL35" s="77">
        <f t="shared" si="56"/>
        <v>16483.959655000002</v>
      </c>
      <c r="CM35" s="77">
        <f t="shared" si="56"/>
        <v>16029.434096666666</v>
      </c>
      <c r="CN35" s="77">
        <f t="shared" si="56"/>
        <v>15574.908538333337</v>
      </c>
      <c r="CO35" s="77">
        <f t="shared" si="56"/>
        <v>15148.382980000002</v>
      </c>
      <c r="CP35" s="77">
        <f t="shared" si="56"/>
        <v>14693.857421666668</v>
      </c>
      <c r="CQ35" s="77">
        <f t="shared" si="56"/>
        <v>14239.331863333335</v>
      </c>
      <c r="CR35" s="77">
        <f t="shared" si="56"/>
        <v>13784.806305000002</v>
      </c>
      <c r="CS35" s="77">
        <f t="shared" si="56"/>
        <v>13330.280746666667</v>
      </c>
      <c r="CT35" s="77">
        <f t="shared" si="56"/>
        <v>12875.755188333334</v>
      </c>
      <c r="CU35" s="77">
        <f t="shared" si="56"/>
        <v>12421.229630000002</v>
      </c>
      <c r="CV35" s="77">
        <f t="shared" si="56"/>
        <v>11966.704071666667</v>
      </c>
      <c r="CW35" s="77">
        <f t="shared" si="56"/>
        <v>11512.178513333336</v>
      </c>
      <c r="CX35" s="77">
        <f t="shared" si="56"/>
        <v>11057.652955000001</v>
      </c>
      <c r="CY35" s="77">
        <f t="shared" si="56"/>
        <v>10603.127396666667</v>
      </c>
      <c r="CZ35" s="77">
        <f t="shared" si="56"/>
        <v>10148.601838333334</v>
      </c>
      <c r="DA35" s="77">
        <f t="shared" si="56"/>
        <v>9694.0762799999993</v>
      </c>
      <c r="DB35" s="77">
        <f t="shared" si="56"/>
        <v>9239.5507216666683</v>
      </c>
      <c r="DC35" s="77">
        <f t="shared" si="56"/>
        <v>8785.0251633333319</v>
      </c>
      <c r="DD35" s="77">
        <f t="shared" si="56"/>
        <v>8330.4996050000009</v>
      </c>
      <c r="DE35" s="77">
        <f t="shared" si="56"/>
        <v>7875.9740466666644</v>
      </c>
      <c r="DF35" s="77">
        <f t="shared" si="56"/>
        <v>7421.4484883333325</v>
      </c>
      <c r="DG35" s="77">
        <f t="shared" si="56"/>
        <v>6966.9229300000006</v>
      </c>
      <c r="DH35" s="77">
        <f t="shared" si="56"/>
        <v>6512.3973716666669</v>
      </c>
      <c r="DI35" s="77">
        <f t="shared" si="56"/>
        <v>6057.8718133333332</v>
      </c>
      <c r="DJ35" s="77">
        <f t="shared" si="56"/>
        <v>5603.3462550000004</v>
      </c>
      <c r="DK35" s="77">
        <f t="shared" si="56"/>
        <v>5148.8206966666676</v>
      </c>
      <c r="DL35" s="77">
        <f t="shared" si="56"/>
        <v>4694.2951383333339</v>
      </c>
      <c r="DM35" s="77">
        <f t="shared" si="56"/>
        <v>4239.7695800000001</v>
      </c>
      <c r="DN35" s="77">
        <f t="shared" si="56"/>
        <v>3785.2440216666664</v>
      </c>
      <c r="DO35" s="77">
        <f t="shared" si="56"/>
        <v>3330.7184633333327</v>
      </c>
      <c r="DP35" s="77">
        <f t="shared" si="56"/>
        <v>2876.1929050000003</v>
      </c>
      <c r="DQ35" s="77">
        <f t="shared" si="56"/>
        <v>2421.6673466666666</v>
      </c>
      <c r="DR35" s="77">
        <f t="shared" si="56"/>
        <v>1967.1417883333338</v>
      </c>
      <c r="DS35" s="77">
        <f t="shared" si="56"/>
        <v>1512.6162300000001</v>
      </c>
      <c r="DT35" s="77">
        <f t="shared" si="56"/>
        <v>1058.0906716666661</v>
      </c>
      <c r="DU35" s="77">
        <f t="shared" si="56"/>
        <v>603.56511333333333</v>
      </c>
      <c r="DV35" s="77">
        <f t="shared" si="56"/>
        <v>149.03955500000006</v>
      </c>
      <c r="DW35" s="77">
        <f t="shared" si="56"/>
        <v>-305.4860033333332</v>
      </c>
      <c r="DX35" s="77">
        <f t="shared" si="56"/>
        <v>-760.01156166666669</v>
      </c>
      <c r="DY35" s="77">
        <f t="shared" si="56"/>
        <v>0</v>
      </c>
    </row>
    <row r="36" spans="1:129" x14ac:dyDescent="0.45">
      <c r="A36" s="61"/>
      <c r="B36" s="61"/>
      <c r="C36" s="61"/>
      <c r="D36" s="61"/>
      <c r="E36" s="61"/>
      <c r="F36" s="62"/>
    </row>
    <row r="37" spans="1:129" x14ac:dyDescent="0.45">
      <c r="A37" s="113"/>
      <c r="B37" s="64"/>
      <c r="C37" s="64"/>
    </row>
    <row r="38" spans="1:129" x14ac:dyDescent="0.45">
      <c r="A38" s="113"/>
    </row>
    <row r="39" spans="1:129" x14ac:dyDescent="0.45">
      <c r="A39" s="71"/>
    </row>
    <row r="40" spans="1:129" x14ac:dyDescent="0.45">
      <c r="A40" s="71"/>
    </row>
    <row r="42" spans="1:129" x14ac:dyDescent="0.45">
      <c r="C42" s="11" t="s">
        <v>33</v>
      </c>
    </row>
    <row r="43" spans="1:129" x14ac:dyDescent="0.45">
      <c r="C43" s="11" t="s">
        <v>34</v>
      </c>
    </row>
  </sheetData>
  <mergeCells count="4">
    <mergeCell ref="E1:F1"/>
    <mergeCell ref="G1:H1"/>
    <mergeCell ref="A35:E35"/>
    <mergeCell ref="A37:A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B1AC-2869-42DD-B7B6-FE96332EFD4C}">
  <sheetPr>
    <tabColor rgb="FFFF0000"/>
  </sheetPr>
  <dimension ref="A1:DY120"/>
  <sheetViews>
    <sheetView workbookViewId="0">
      <pane xSplit="9" ySplit="1" topLeftCell="R2" activePane="bottomRight" state="frozen"/>
      <selection pane="topRight" activeCell="J1" sqref="J1"/>
      <selection pane="bottomLeft" activeCell="A2" sqref="A2"/>
      <selection pane="bottomRight" activeCell="V28" sqref="V28"/>
    </sheetView>
  </sheetViews>
  <sheetFormatPr baseColWidth="10" defaultRowHeight="14.25" x14ac:dyDescent="0.45"/>
  <cols>
    <col min="1" max="1" width="11.86328125" bestFit="1" customWidth="1"/>
    <col min="2" max="2" width="6.6640625" bestFit="1" customWidth="1"/>
    <col min="3" max="3" width="30.06640625" customWidth="1"/>
    <col min="4" max="4" width="7.53125" customWidth="1"/>
    <col min="5" max="5" width="9.46484375" customWidth="1"/>
    <col min="6" max="6" width="4.796875" customWidth="1"/>
    <col min="7" max="7" width="18.19921875" hidden="1" customWidth="1"/>
    <col min="8" max="8" width="22.1328125" hidden="1" customWidth="1"/>
    <col min="9" max="9" width="9.73046875" customWidth="1"/>
    <col min="10" max="10" width="14.86328125" bestFit="1" customWidth="1"/>
    <col min="21" max="21" width="11.86328125" style="99" bestFit="1" customWidth="1"/>
    <col min="33" max="33" width="11.53125" style="105"/>
    <col min="45" max="45" width="11.53125" style="111"/>
  </cols>
  <sheetData>
    <row r="1" spans="1:129" x14ac:dyDescent="0.45">
      <c r="E1" s="115" t="s">
        <v>50</v>
      </c>
      <c r="F1" s="115"/>
      <c r="G1" s="115" t="s">
        <v>51</v>
      </c>
      <c r="H1" s="115"/>
      <c r="I1" s="53">
        <v>0</v>
      </c>
      <c r="J1" s="53">
        <v>1</v>
      </c>
      <c r="K1" s="53">
        <v>2</v>
      </c>
      <c r="L1" s="53">
        <v>3</v>
      </c>
      <c r="M1" s="53">
        <v>4</v>
      </c>
      <c r="N1" s="53">
        <v>5</v>
      </c>
      <c r="O1" s="53">
        <v>6</v>
      </c>
      <c r="P1" s="53">
        <v>7</v>
      </c>
      <c r="Q1" s="53">
        <v>8</v>
      </c>
      <c r="R1" s="53">
        <v>9</v>
      </c>
      <c r="S1" s="53">
        <v>10</v>
      </c>
      <c r="T1" s="53">
        <v>11</v>
      </c>
      <c r="U1" s="92">
        <v>12</v>
      </c>
      <c r="V1" s="53">
        <v>13</v>
      </c>
      <c r="W1" s="53">
        <v>14</v>
      </c>
      <c r="X1" s="53">
        <v>15</v>
      </c>
      <c r="Y1" s="53">
        <v>16</v>
      </c>
      <c r="Z1" s="53">
        <v>17</v>
      </c>
      <c r="AA1" s="53">
        <v>18</v>
      </c>
      <c r="AB1" s="53">
        <v>19</v>
      </c>
      <c r="AC1" s="53">
        <v>20</v>
      </c>
      <c r="AD1" s="53">
        <v>21</v>
      </c>
      <c r="AE1" s="53">
        <v>22</v>
      </c>
      <c r="AF1" s="53">
        <v>23</v>
      </c>
      <c r="AG1" s="100">
        <v>24</v>
      </c>
      <c r="AH1" s="53">
        <v>25</v>
      </c>
      <c r="AI1" s="53">
        <v>26</v>
      </c>
      <c r="AJ1" s="53">
        <v>27</v>
      </c>
      <c r="AK1" s="53">
        <v>28</v>
      </c>
      <c r="AL1" s="53">
        <v>29</v>
      </c>
      <c r="AM1" s="53">
        <v>30</v>
      </c>
      <c r="AN1" s="53">
        <v>31</v>
      </c>
      <c r="AO1" s="53">
        <v>32</v>
      </c>
      <c r="AP1" s="53">
        <v>33</v>
      </c>
      <c r="AQ1" s="53">
        <v>34</v>
      </c>
      <c r="AR1" s="53">
        <v>35</v>
      </c>
      <c r="AS1" s="106">
        <v>36</v>
      </c>
      <c r="AT1" s="53">
        <v>37</v>
      </c>
      <c r="AU1" s="53">
        <v>38</v>
      </c>
      <c r="AV1" s="53">
        <v>39</v>
      </c>
      <c r="AW1" s="53">
        <v>40</v>
      </c>
      <c r="AX1" s="53">
        <v>41</v>
      </c>
      <c r="AY1" s="53">
        <v>42</v>
      </c>
      <c r="AZ1" s="53">
        <v>43</v>
      </c>
      <c r="BA1" s="53">
        <v>44</v>
      </c>
      <c r="BB1" s="53">
        <v>45</v>
      </c>
      <c r="BC1" s="53">
        <v>46</v>
      </c>
      <c r="BD1" s="53">
        <v>47</v>
      </c>
      <c r="BE1" s="53">
        <v>48</v>
      </c>
      <c r="BF1" s="53">
        <v>49</v>
      </c>
      <c r="BG1" s="53">
        <v>50</v>
      </c>
      <c r="BH1" s="53">
        <v>51</v>
      </c>
      <c r="BI1" s="53">
        <v>52</v>
      </c>
      <c r="BJ1" s="53">
        <v>53</v>
      </c>
      <c r="BK1" s="53">
        <v>54</v>
      </c>
      <c r="BL1" s="53">
        <v>55</v>
      </c>
      <c r="BM1" s="53">
        <v>56</v>
      </c>
      <c r="BN1" s="53">
        <v>57</v>
      </c>
      <c r="BO1" s="53">
        <v>58</v>
      </c>
      <c r="BP1" s="53">
        <v>59</v>
      </c>
      <c r="BQ1" s="53">
        <v>60</v>
      </c>
      <c r="BR1" s="53">
        <v>61</v>
      </c>
      <c r="BS1" s="53">
        <v>62</v>
      </c>
      <c r="BT1" s="53">
        <v>63</v>
      </c>
      <c r="BU1" s="53">
        <v>64</v>
      </c>
      <c r="BV1" s="53">
        <v>65</v>
      </c>
      <c r="BW1" s="53">
        <v>66</v>
      </c>
      <c r="BX1" s="53">
        <v>67</v>
      </c>
      <c r="BY1" s="53">
        <v>68</v>
      </c>
      <c r="BZ1" s="53">
        <v>69</v>
      </c>
      <c r="CA1" s="53">
        <v>70</v>
      </c>
      <c r="CB1" s="53">
        <v>71</v>
      </c>
      <c r="CC1" s="53">
        <v>72</v>
      </c>
      <c r="CD1" s="53">
        <v>73</v>
      </c>
      <c r="CE1" s="53">
        <v>74</v>
      </c>
      <c r="CF1" s="53">
        <v>75</v>
      </c>
      <c r="CG1" s="53">
        <v>76</v>
      </c>
      <c r="CH1" s="53">
        <v>77</v>
      </c>
      <c r="CI1" s="53">
        <v>78</v>
      </c>
      <c r="CJ1" s="53">
        <v>79</v>
      </c>
      <c r="CK1" s="53">
        <v>80</v>
      </c>
      <c r="CL1" s="53">
        <v>81</v>
      </c>
      <c r="CM1" s="53">
        <v>82</v>
      </c>
      <c r="CN1" s="53">
        <v>83</v>
      </c>
      <c r="CO1" s="53">
        <v>84</v>
      </c>
      <c r="CP1" s="53">
        <v>85</v>
      </c>
      <c r="CQ1" s="53">
        <v>86</v>
      </c>
      <c r="CR1" s="53">
        <v>87</v>
      </c>
      <c r="CS1" s="53">
        <v>88</v>
      </c>
      <c r="CT1" s="53">
        <v>89</v>
      </c>
      <c r="CU1" s="53">
        <v>90</v>
      </c>
      <c r="CV1" s="53">
        <v>91</v>
      </c>
      <c r="CW1" s="53">
        <v>92</v>
      </c>
      <c r="CX1" s="53">
        <v>93</v>
      </c>
      <c r="CY1" s="53">
        <v>94</v>
      </c>
      <c r="CZ1" s="53">
        <v>95</v>
      </c>
      <c r="DA1" s="53">
        <v>96</v>
      </c>
      <c r="DB1" s="53">
        <v>97</v>
      </c>
      <c r="DC1" s="53">
        <v>98</v>
      </c>
      <c r="DD1" s="53">
        <v>99</v>
      </c>
      <c r="DE1" s="53">
        <v>100</v>
      </c>
      <c r="DF1" s="53">
        <v>101</v>
      </c>
      <c r="DG1" s="53">
        <v>102</v>
      </c>
      <c r="DH1" s="53">
        <v>103</v>
      </c>
      <c r="DI1" s="53">
        <v>104</v>
      </c>
      <c r="DJ1" s="53">
        <v>105</v>
      </c>
      <c r="DK1" s="53">
        <v>106</v>
      </c>
      <c r="DL1" s="53">
        <v>107</v>
      </c>
      <c r="DM1" s="53">
        <v>108</v>
      </c>
      <c r="DN1" s="53">
        <v>109</v>
      </c>
      <c r="DO1" s="53">
        <v>110</v>
      </c>
      <c r="DP1" s="53">
        <v>111</v>
      </c>
      <c r="DQ1" s="53">
        <v>112</v>
      </c>
      <c r="DR1" s="53">
        <v>113</v>
      </c>
      <c r="DS1" s="53">
        <v>114</v>
      </c>
      <c r="DT1" s="53">
        <v>115</v>
      </c>
      <c r="DU1" s="53">
        <v>116</v>
      </c>
      <c r="DV1" s="53">
        <v>117</v>
      </c>
      <c r="DW1" s="53">
        <v>118</v>
      </c>
      <c r="DX1" s="53">
        <v>119</v>
      </c>
      <c r="DY1" s="53">
        <v>120</v>
      </c>
    </row>
    <row r="2" spans="1:129" x14ac:dyDescent="0.45">
      <c r="A2" s="10" t="s">
        <v>18</v>
      </c>
      <c r="B2" s="10" t="s">
        <v>16</v>
      </c>
      <c r="C2" s="10" t="s">
        <v>17</v>
      </c>
      <c r="D2" s="10" t="s">
        <v>52</v>
      </c>
      <c r="E2" s="10" t="s">
        <v>42</v>
      </c>
      <c r="F2" s="10" t="s">
        <v>44</v>
      </c>
      <c r="G2" s="10" t="s">
        <v>42</v>
      </c>
      <c r="H2" s="10" t="s">
        <v>44</v>
      </c>
      <c r="I2" s="12" t="s">
        <v>15</v>
      </c>
      <c r="J2" s="53" t="s">
        <v>127</v>
      </c>
      <c r="K2" s="53" t="s">
        <v>128</v>
      </c>
      <c r="L2" s="53" t="s">
        <v>129</v>
      </c>
      <c r="M2" s="53" t="s">
        <v>130</v>
      </c>
      <c r="N2" s="53" t="s">
        <v>131</v>
      </c>
      <c r="O2" s="53" t="s">
        <v>132</v>
      </c>
      <c r="P2" s="53" t="s">
        <v>133</v>
      </c>
      <c r="Q2" s="53" t="s">
        <v>134</v>
      </c>
      <c r="R2" s="53" t="s">
        <v>135</v>
      </c>
      <c r="S2" s="53" t="s">
        <v>136</v>
      </c>
      <c r="T2" s="53" t="s">
        <v>137</v>
      </c>
      <c r="U2" s="92" t="s">
        <v>138</v>
      </c>
      <c r="V2" s="53" t="s">
        <v>139</v>
      </c>
      <c r="W2" s="53" t="s">
        <v>140</v>
      </c>
      <c r="X2" s="53" t="s">
        <v>141</v>
      </c>
      <c r="Y2" s="53" t="s">
        <v>142</v>
      </c>
      <c r="Z2" s="53" t="s">
        <v>143</v>
      </c>
      <c r="AA2" s="53" t="s">
        <v>144</v>
      </c>
      <c r="AB2" s="53" t="s">
        <v>145</v>
      </c>
      <c r="AC2" s="53" t="s">
        <v>146</v>
      </c>
      <c r="AD2" s="53" t="s">
        <v>147</v>
      </c>
      <c r="AE2" s="53" t="s">
        <v>148</v>
      </c>
      <c r="AF2" s="53" t="s">
        <v>149</v>
      </c>
      <c r="AG2" s="100" t="s">
        <v>150</v>
      </c>
      <c r="AH2" s="53" t="s">
        <v>151</v>
      </c>
      <c r="AI2" s="53" t="s">
        <v>152</v>
      </c>
      <c r="AJ2" s="53" t="s">
        <v>153</v>
      </c>
      <c r="AK2" s="53" t="s">
        <v>154</v>
      </c>
      <c r="AL2" s="53" t="s">
        <v>155</v>
      </c>
      <c r="AM2" s="53" t="s">
        <v>156</v>
      </c>
      <c r="AN2" s="53" t="s">
        <v>157</v>
      </c>
      <c r="AO2" s="53" t="s">
        <v>158</v>
      </c>
      <c r="AP2" s="53" t="s">
        <v>159</v>
      </c>
      <c r="AQ2" s="53" t="s">
        <v>160</v>
      </c>
      <c r="AR2" s="53" t="s">
        <v>161</v>
      </c>
      <c r="AS2" s="106" t="s">
        <v>162</v>
      </c>
      <c r="AT2" s="53" t="s">
        <v>163</v>
      </c>
      <c r="AU2" s="53" t="s">
        <v>164</v>
      </c>
      <c r="AV2" s="53" t="s">
        <v>165</v>
      </c>
      <c r="AW2" s="53" t="s">
        <v>166</v>
      </c>
      <c r="AX2" s="53" t="s">
        <v>167</v>
      </c>
      <c r="AY2" s="53" t="s">
        <v>168</v>
      </c>
      <c r="AZ2" s="53" t="s">
        <v>169</v>
      </c>
      <c r="BA2" s="53" t="s">
        <v>170</v>
      </c>
      <c r="BB2" s="53" t="s">
        <v>171</v>
      </c>
      <c r="BC2" s="53" t="s">
        <v>172</v>
      </c>
      <c r="BD2" s="53" t="s">
        <v>173</v>
      </c>
      <c r="BE2" s="53" t="s">
        <v>174</v>
      </c>
      <c r="BF2" s="53" t="s">
        <v>175</v>
      </c>
      <c r="BG2" s="53" t="s">
        <v>176</v>
      </c>
      <c r="BH2" s="53" t="s">
        <v>177</v>
      </c>
      <c r="BI2" s="53" t="s">
        <v>178</v>
      </c>
      <c r="BJ2" s="53" t="s">
        <v>179</v>
      </c>
      <c r="BK2" s="53" t="s">
        <v>180</v>
      </c>
      <c r="BL2" s="53" t="s">
        <v>181</v>
      </c>
      <c r="BM2" s="53" t="s">
        <v>182</v>
      </c>
      <c r="BN2" s="53" t="s">
        <v>183</v>
      </c>
      <c r="BO2" s="53" t="s">
        <v>184</v>
      </c>
      <c r="BP2" s="53" t="s">
        <v>185</v>
      </c>
      <c r="BQ2" s="53" t="s">
        <v>186</v>
      </c>
      <c r="BR2" s="53" t="s">
        <v>187</v>
      </c>
      <c r="BS2" s="53" t="s">
        <v>188</v>
      </c>
      <c r="BT2" s="53" t="s">
        <v>189</v>
      </c>
      <c r="BU2" s="53" t="s">
        <v>190</v>
      </c>
      <c r="BV2" s="53" t="s">
        <v>191</v>
      </c>
      <c r="BW2" s="53" t="s">
        <v>192</v>
      </c>
      <c r="BX2" s="53" t="s">
        <v>193</v>
      </c>
      <c r="BY2" s="53" t="s">
        <v>194</v>
      </c>
      <c r="BZ2" s="53" t="s">
        <v>195</v>
      </c>
      <c r="CA2" s="53" t="s">
        <v>196</v>
      </c>
      <c r="CB2" s="53" t="s">
        <v>197</v>
      </c>
      <c r="CC2" s="53" t="s">
        <v>198</v>
      </c>
      <c r="CD2" s="53" t="s">
        <v>199</v>
      </c>
      <c r="CE2" s="53" t="s">
        <v>200</v>
      </c>
      <c r="CF2" s="53" t="s">
        <v>201</v>
      </c>
      <c r="CG2" s="53" t="s">
        <v>202</v>
      </c>
      <c r="CH2" s="53" t="s">
        <v>203</v>
      </c>
      <c r="CI2" s="53" t="s">
        <v>204</v>
      </c>
      <c r="CJ2" s="53" t="s">
        <v>205</v>
      </c>
      <c r="CK2" s="53" t="s">
        <v>206</v>
      </c>
      <c r="CL2" s="53" t="s">
        <v>207</v>
      </c>
      <c r="CM2" s="53" t="s">
        <v>208</v>
      </c>
      <c r="CN2" s="53" t="s">
        <v>209</v>
      </c>
      <c r="CO2" s="53" t="s">
        <v>210</v>
      </c>
      <c r="CP2" s="53" t="s">
        <v>211</v>
      </c>
      <c r="CQ2" s="53" t="s">
        <v>212</v>
      </c>
      <c r="CR2" s="53" t="s">
        <v>213</v>
      </c>
      <c r="CS2" s="53" t="s">
        <v>214</v>
      </c>
      <c r="CT2" s="53" t="s">
        <v>215</v>
      </c>
      <c r="CU2" s="53" t="s">
        <v>216</v>
      </c>
      <c r="CV2" s="53" t="s">
        <v>217</v>
      </c>
      <c r="CW2" s="53" t="s">
        <v>218</v>
      </c>
      <c r="CX2" s="53" t="s">
        <v>219</v>
      </c>
      <c r="CY2" s="53" t="s">
        <v>220</v>
      </c>
      <c r="CZ2" s="53" t="s">
        <v>221</v>
      </c>
      <c r="DA2" s="53" t="s">
        <v>222</v>
      </c>
      <c r="DB2" s="53" t="s">
        <v>223</v>
      </c>
      <c r="DC2" s="53" t="s">
        <v>224</v>
      </c>
      <c r="DD2" s="53" t="s">
        <v>225</v>
      </c>
      <c r="DE2" s="53" t="s">
        <v>226</v>
      </c>
      <c r="DF2" s="53" t="s">
        <v>227</v>
      </c>
      <c r="DG2" s="53" t="s">
        <v>228</v>
      </c>
      <c r="DH2" s="53" t="s">
        <v>229</v>
      </c>
      <c r="DI2" s="53" t="s">
        <v>230</v>
      </c>
      <c r="DJ2" s="53" t="s">
        <v>231</v>
      </c>
      <c r="DK2" s="53" t="s">
        <v>232</v>
      </c>
      <c r="DL2" s="53" t="s">
        <v>233</v>
      </c>
      <c r="DM2" s="53" t="s">
        <v>234</v>
      </c>
      <c r="DN2" s="53" t="s">
        <v>235</v>
      </c>
      <c r="DO2" s="53" t="s">
        <v>236</v>
      </c>
      <c r="DP2" s="53" t="s">
        <v>237</v>
      </c>
      <c r="DQ2" s="53" t="s">
        <v>238</v>
      </c>
      <c r="DR2" s="53" t="s">
        <v>239</v>
      </c>
      <c r="DS2" s="53" t="s">
        <v>240</v>
      </c>
      <c r="DT2" s="53" t="s">
        <v>241</v>
      </c>
      <c r="DU2" s="53" t="s">
        <v>242</v>
      </c>
      <c r="DV2" s="53" t="s">
        <v>243</v>
      </c>
      <c r="DW2" s="53" t="s">
        <v>244</v>
      </c>
      <c r="DX2" s="53" t="s">
        <v>245</v>
      </c>
      <c r="DY2" s="53" t="s">
        <v>246</v>
      </c>
    </row>
    <row r="3" spans="1:129" x14ac:dyDescent="0.45">
      <c r="A3" s="3">
        <v>46022</v>
      </c>
      <c r="B3" s="2" t="s">
        <v>0</v>
      </c>
      <c r="C3" s="4" t="s">
        <v>1</v>
      </c>
      <c r="D3" s="16"/>
      <c r="E3" s="54"/>
      <c r="F3" s="54"/>
      <c r="G3" s="54"/>
      <c r="H3" s="54"/>
      <c r="I3" s="13">
        <f>I4+I8</f>
        <v>1255.1239800000001</v>
      </c>
      <c r="J3" s="57">
        <f>SUM(J4:J8)</f>
        <v>1244.3263896666667</v>
      </c>
      <c r="K3" s="57">
        <f>SUM(K4:K8)</f>
        <v>1233.5287993333332</v>
      </c>
      <c r="L3" s="57">
        <f>SUM(L4:L8)</f>
        <v>1222.731209</v>
      </c>
      <c r="M3" s="57">
        <f>SUM(M4:M8)</f>
        <v>1211.9336186666667</v>
      </c>
      <c r="N3" s="57">
        <f>SUM(N4:N8)</f>
        <v>1201.1360283333333</v>
      </c>
      <c r="O3" s="57">
        <f>SUM(O4:O8)</f>
        <v>1190.338438</v>
      </c>
      <c r="P3" s="57">
        <f>SUM(P4:P8)</f>
        <v>1179.5408476666667</v>
      </c>
      <c r="Q3" s="57">
        <f>SUM(Q4:Q8)</f>
        <v>1168.7432573333335</v>
      </c>
      <c r="R3" s="57">
        <f>SUM(R4:R8)</f>
        <v>1157.9456670000002</v>
      </c>
      <c r="S3" s="57">
        <f>SUM(S4:S8)</f>
        <v>1147.1480766666666</v>
      </c>
      <c r="T3" s="57">
        <f>SUM(T4:T8)</f>
        <v>1136.3504863333333</v>
      </c>
      <c r="U3" s="93">
        <f>SUM(U4:U8)</f>
        <v>1119.7689679999999</v>
      </c>
      <c r="V3" s="57">
        <f>SUM(V4:V8)</f>
        <v>1109.0918761666667</v>
      </c>
      <c r="W3" s="57">
        <f>SUM(W4:W8)</f>
        <v>1098.4147843333333</v>
      </c>
      <c r="X3" s="57">
        <f>SUM(X4:X8)</f>
        <v>1087.7376924999999</v>
      </c>
      <c r="Y3" s="57">
        <f>SUM(Y4:Y8)</f>
        <v>1077.0606006666665</v>
      </c>
      <c r="Z3" s="57">
        <f>SUM(Z4:Z8)</f>
        <v>1066.3835088333333</v>
      </c>
      <c r="AA3" s="57">
        <f>SUM(AA4:AA8)</f>
        <v>1055.7064169999999</v>
      </c>
      <c r="AB3" s="57">
        <f>SUM(AB4:AB8)</f>
        <v>1045.0293251666667</v>
      </c>
      <c r="AC3" s="57">
        <f>SUM(AC4:AC8)</f>
        <v>1034.3522333333333</v>
      </c>
      <c r="AD3" s="57">
        <f>SUM(AD4:AD8)</f>
        <v>1023.6751415</v>
      </c>
      <c r="AE3" s="57">
        <f>SUM(AE4:AE8)</f>
        <v>1012.9980496666667</v>
      </c>
      <c r="AF3" s="57">
        <f>SUM(AF4:AF8)</f>
        <v>1002.3209578333333</v>
      </c>
      <c r="AG3" s="101">
        <f>SUM(AG4:AG8)</f>
        <v>1266.1440699999998</v>
      </c>
      <c r="AH3" s="57">
        <f>SUM(AH4:AH8)</f>
        <v>1247.8419724999999</v>
      </c>
      <c r="AI3" s="57">
        <f>SUM(AI4:AI8)</f>
        <v>1229.5398749999999</v>
      </c>
      <c r="AJ3" s="57">
        <f>SUM(AJ4:AJ8)</f>
        <v>1211.2377775</v>
      </c>
      <c r="AK3" s="57">
        <f>SUM(AK4:AK8)</f>
        <v>1192.93568</v>
      </c>
      <c r="AL3" s="57">
        <f>SUM(AL4:AL8)</f>
        <v>1174.6335824999999</v>
      </c>
      <c r="AM3" s="57">
        <f>SUM(AM4:AM8)</f>
        <v>1156.3314849999999</v>
      </c>
      <c r="AN3" s="57">
        <f>SUM(AN4:AN8)</f>
        <v>1138.0293875</v>
      </c>
      <c r="AO3" s="57">
        <f>SUM(AO4:AO8)</f>
        <v>1119.7272899999998</v>
      </c>
      <c r="AP3" s="57">
        <f>SUM(AP4:AP8)</f>
        <v>1101.4251924999999</v>
      </c>
      <c r="AQ3" s="57">
        <f>SUM(AQ4:AQ8)</f>
        <v>1083.1230949999999</v>
      </c>
      <c r="AR3" s="57">
        <f>SUM(AR4:AR8)</f>
        <v>1064.8209975</v>
      </c>
      <c r="AS3" s="107">
        <f>SUM(AS4:AS8)</f>
        <v>1276.3810159999998</v>
      </c>
      <c r="AT3" s="57">
        <f>SUM(AT4:AT8)</f>
        <v>1248.5013303333333</v>
      </c>
      <c r="AU3" s="57">
        <f>SUM(AU4:AU8)</f>
        <v>1220.6216446666665</v>
      </c>
      <c r="AV3" s="57">
        <f>SUM(AV4:AV8)</f>
        <v>1192.741959</v>
      </c>
      <c r="AW3" s="57">
        <f>SUM(AW4:AW8)</f>
        <v>1164.8622733333332</v>
      </c>
      <c r="AX3" s="57">
        <f>SUM(AX4:AX8)</f>
        <v>1136.9825876666664</v>
      </c>
      <c r="AY3" s="57">
        <f>SUM(AY4:AY8)</f>
        <v>1109.1029019999999</v>
      </c>
      <c r="AZ3" s="57">
        <f>SUM(AZ4:AZ8)</f>
        <v>1081.2232163333333</v>
      </c>
      <c r="BA3" s="57">
        <f>SUM(BA4:BA8)</f>
        <v>1053.3435306666665</v>
      </c>
      <c r="BB3" s="57">
        <f>SUM(BB4:BB8)</f>
        <v>1025.463845</v>
      </c>
      <c r="BC3" s="57">
        <f>SUM(BC4:BC8)</f>
        <v>997.58415933333322</v>
      </c>
      <c r="BD3" s="57">
        <f>SUM(BD4:BD8)</f>
        <v>969.70447366666656</v>
      </c>
      <c r="BE3" s="57">
        <f>SUM(BE4:BE8)</f>
        <v>941.8247879999999</v>
      </c>
      <c r="BF3" s="57">
        <f>SUM(BF4:BF8)</f>
        <v>913.94510233333335</v>
      </c>
      <c r="BG3" s="57">
        <f>SUM(BG4:BG8)</f>
        <v>886.06541666666669</v>
      </c>
      <c r="BH3" s="57">
        <f>SUM(BH4:BH8)</f>
        <v>858.18573099999992</v>
      </c>
      <c r="BI3" s="57">
        <f>SUM(BI4:BI8)</f>
        <v>830.30604533333326</v>
      </c>
      <c r="BJ3" s="57">
        <f>SUM(BJ4:BJ8)</f>
        <v>802.4263596666666</v>
      </c>
      <c r="BK3" s="57">
        <f>SUM(BK4:BK8)</f>
        <v>774.54667399999994</v>
      </c>
      <c r="BL3" s="57">
        <f>SUM(BL4:BL8)</f>
        <v>746.66698833333317</v>
      </c>
      <c r="BM3" s="57">
        <f>SUM(BM4:BM8)</f>
        <v>718.78730266666662</v>
      </c>
      <c r="BN3" s="57">
        <f>SUM(BN4:BN8)</f>
        <v>690.90761699999996</v>
      </c>
      <c r="BO3" s="57">
        <f>SUM(BO4:BO8)</f>
        <v>663.0279313333333</v>
      </c>
      <c r="BP3" s="57">
        <f>SUM(BP4:BP8)</f>
        <v>635.14824566666664</v>
      </c>
      <c r="BQ3" s="57">
        <f>SUM(BQ4:BQ8)</f>
        <v>607.26855999999998</v>
      </c>
      <c r="BR3" s="57">
        <f>SUM(BR4:BR8)</f>
        <v>597.14741733333324</v>
      </c>
      <c r="BS3" s="57">
        <f>SUM(BS4:BS8)</f>
        <v>587.02627466666661</v>
      </c>
      <c r="BT3" s="57">
        <f>SUM(BT4:BT8)</f>
        <v>576.90513199999998</v>
      </c>
      <c r="BU3" s="57">
        <f>SUM(BU4:BU8)</f>
        <v>566.78398933333335</v>
      </c>
      <c r="BV3" s="57">
        <f>SUM(BV4:BV8)</f>
        <v>556.66284666666661</v>
      </c>
      <c r="BW3" s="57">
        <f>SUM(BW4:BW8)</f>
        <v>546.54170399999998</v>
      </c>
      <c r="BX3" s="57">
        <f>SUM(BX4:BX8)</f>
        <v>536.42056133333335</v>
      </c>
      <c r="BY3" s="57">
        <f>SUM(BY4:BY8)</f>
        <v>526.29941866666661</v>
      </c>
      <c r="BZ3" s="57">
        <f>SUM(BZ4:BZ8)</f>
        <v>516.17827599999998</v>
      </c>
      <c r="CA3" s="57">
        <f>SUM(CA4:CA8)</f>
        <v>506.05713333333335</v>
      </c>
      <c r="CB3" s="57">
        <f>SUM(CB4:CB8)</f>
        <v>495.93599066666667</v>
      </c>
      <c r="CC3" s="57">
        <f>SUM(CC4:CC8)</f>
        <v>485.81484799999998</v>
      </c>
      <c r="CD3" s="57">
        <f>SUM(CD4:CD8)</f>
        <v>475.6937053333333</v>
      </c>
      <c r="CE3" s="57">
        <f>SUM(CE4:CE8)</f>
        <v>465.57256266666667</v>
      </c>
      <c r="CF3" s="57">
        <f>SUM(CF4:CF8)</f>
        <v>455.45141999999998</v>
      </c>
      <c r="CG3" s="57">
        <f>SUM(CG4:CG8)</f>
        <v>445.3302773333333</v>
      </c>
      <c r="CH3" s="57">
        <f>SUM(CH4:CH8)</f>
        <v>435.20913466666667</v>
      </c>
      <c r="CI3" s="57">
        <f>SUM(CI4:CI8)</f>
        <v>425.08799199999999</v>
      </c>
      <c r="CJ3" s="57">
        <f>SUM(CJ4:CJ8)</f>
        <v>414.9668493333333</v>
      </c>
      <c r="CK3" s="57">
        <f>SUM(CK4:CK8)</f>
        <v>404.84570666666662</v>
      </c>
      <c r="CL3" s="57">
        <f>SUM(CL4:CL8)</f>
        <v>394.72456399999999</v>
      </c>
      <c r="CM3" s="57">
        <f>SUM(CM4:CM8)</f>
        <v>384.6034213333333</v>
      </c>
      <c r="CN3" s="57">
        <f>SUM(CN4:CN8)</f>
        <v>374.48227866666667</v>
      </c>
      <c r="CO3" s="57">
        <f>SUM(CO4:CO8)</f>
        <v>364.36113599999999</v>
      </c>
      <c r="CP3" s="57">
        <f>SUM(CP4:CP8)</f>
        <v>354.23999333333336</v>
      </c>
      <c r="CQ3" s="57">
        <f>SUM(CQ4:CQ8)</f>
        <v>344.11885066666667</v>
      </c>
      <c r="CR3" s="57">
        <f>SUM(CR4:CR8)</f>
        <v>333.99770799999999</v>
      </c>
      <c r="CS3" s="57">
        <f>SUM(CS4:CS8)</f>
        <v>323.8765653333333</v>
      </c>
      <c r="CT3" s="57">
        <f>SUM(CT4:CT8)</f>
        <v>313.75542266666668</v>
      </c>
      <c r="CU3" s="57">
        <f>SUM(CU4:CU8)</f>
        <v>303.63427999999999</v>
      </c>
      <c r="CV3" s="57">
        <f>SUM(CV4:CV8)</f>
        <v>293.5131373333333</v>
      </c>
      <c r="CW3" s="57">
        <f>SUM(CW4:CW8)</f>
        <v>283.39199466666668</v>
      </c>
      <c r="CX3" s="57">
        <f>SUM(CX4:CX8)</f>
        <v>273.27085199999999</v>
      </c>
      <c r="CY3" s="57">
        <f>SUM(CY4:CY8)</f>
        <v>263.14970933333331</v>
      </c>
      <c r="CZ3" s="57">
        <f>SUM(CZ4:CZ8)</f>
        <v>253.02856666666668</v>
      </c>
      <c r="DA3" s="57">
        <f>SUM(DA4:DA8)</f>
        <v>242.90742399999999</v>
      </c>
      <c r="DB3" s="57">
        <f>SUM(DB4:DB8)</f>
        <v>232.78628133333333</v>
      </c>
      <c r="DC3" s="57">
        <f>SUM(DC4:DC8)</f>
        <v>222.66513866666665</v>
      </c>
      <c r="DD3" s="57">
        <f>SUM(DD4:DD8)</f>
        <v>212.54399599999999</v>
      </c>
      <c r="DE3" s="57">
        <f>SUM(DE4:DE8)</f>
        <v>202.42285333333331</v>
      </c>
      <c r="DF3" s="57">
        <f>SUM(DF4:DF8)</f>
        <v>192.30171066666665</v>
      </c>
      <c r="DG3" s="57">
        <f>SUM(DG4:DG8)</f>
        <v>182.18056799999999</v>
      </c>
      <c r="DH3" s="57">
        <f>SUM(DH4:DH8)</f>
        <v>172.05942533333334</v>
      </c>
      <c r="DI3" s="57">
        <f>SUM(DI4:DI8)</f>
        <v>161.93828266666665</v>
      </c>
      <c r="DJ3" s="57">
        <f>SUM(DJ4:DJ8)</f>
        <v>151.81713999999999</v>
      </c>
      <c r="DK3" s="57">
        <f>SUM(DK4:DK8)</f>
        <v>141.69599733333334</v>
      </c>
      <c r="DL3" s="57">
        <f>SUM(DL4:DL8)</f>
        <v>131.57485466666665</v>
      </c>
      <c r="DM3" s="57">
        <f>SUM(DM4:DM8)</f>
        <v>121.453712</v>
      </c>
      <c r="DN3" s="57">
        <f>SUM(DN4:DN8)</f>
        <v>111.33256933333332</v>
      </c>
      <c r="DO3" s="57">
        <f>SUM(DO4:DO8)</f>
        <v>101.21142666666665</v>
      </c>
      <c r="DP3" s="57">
        <f>SUM(DP4:DP8)</f>
        <v>91.090283999999997</v>
      </c>
      <c r="DQ3" s="57">
        <f>SUM(DQ4:DQ8)</f>
        <v>80.969141333333326</v>
      </c>
      <c r="DR3" s="57">
        <f>SUM(DR4:DR8)</f>
        <v>70.847998666666669</v>
      </c>
      <c r="DS3" s="57">
        <f>SUM(DS4:DS8)</f>
        <v>60.726855999999998</v>
      </c>
      <c r="DT3" s="57">
        <f>SUM(DT4:DT8)</f>
        <v>50.605713333333327</v>
      </c>
      <c r="DU3" s="57">
        <f>SUM(DU4:DU8)</f>
        <v>40.484570666666663</v>
      </c>
      <c r="DV3" s="57">
        <f>SUM(DV4:DV8)</f>
        <v>30.363427999999999</v>
      </c>
      <c r="DW3" s="57">
        <f>SUM(DW4:DW8)</f>
        <v>20.242285333333331</v>
      </c>
      <c r="DX3" s="57">
        <f>SUM(DX4:DX8)</f>
        <v>10.121142666666666</v>
      </c>
      <c r="DY3" s="57">
        <f>SUM(DY4:DY8)</f>
        <v>0</v>
      </c>
    </row>
    <row r="4" spans="1:129" x14ac:dyDescent="0.45">
      <c r="A4" s="3">
        <v>46022</v>
      </c>
      <c r="B4" s="2" t="s">
        <v>0</v>
      </c>
      <c r="C4" s="6" t="s">
        <v>2</v>
      </c>
      <c r="D4" s="17">
        <v>0</v>
      </c>
      <c r="E4" s="2" t="s">
        <v>43</v>
      </c>
      <c r="F4" s="2">
        <v>60</v>
      </c>
      <c r="G4" s="2" t="s">
        <v>45</v>
      </c>
      <c r="H4" s="2">
        <v>60</v>
      </c>
      <c r="I4" s="14">
        <v>40.586860000000115</v>
      </c>
      <c r="J4" s="55">
        <f>IF(J$1&lt;$F4,$I4*(($F4-J$1)/$F4),0)</f>
        <v>39.910412333333447</v>
      </c>
      <c r="K4" s="55">
        <f t="shared" ref="K4:BV8" si="0">IF(K$1&lt;$F4,$I4*(($F4-K$1)/$F4),0)</f>
        <v>39.233964666666779</v>
      </c>
      <c r="L4" s="55">
        <f t="shared" si="0"/>
        <v>38.557517000000111</v>
      </c>
      <c r="M4" s="55">
        <f t="shared" si="0"/>
        <v>37.881069333333443</v>
      </c>
      <c r="N4" s="55">
        <f t="shared" si="0"/>
        <v>37.204621666666768</v>
      </c>
      <c r="O4" s="55">
        <f t="shared" si="0"/>
        <v>36.528174000000107</v>
      </c>
      <c r="P4" s="55">
        <f t="shared" si="0"/>
        <v>35.851726333333431</v>
      </c>
      <c r="Q4" s="55">
        <f t="shared" si="0"/>
        <v>35.17527866666677</v>
      </c>
      <c r="R4" s="55">
        <f t="shared" si="0"/>
        <v>34.498831000000095</v>
      </c>
      <c r="S4" s="55">
        <f t="shared" si="0"/>
        <v>33.822383333333434</v>
      </c>
      <c r="T4" s="55">
        <f t="shared" si="0"/>
        <v>33.145935666666759</v>
      </c>
      <c r="U4" s="94">
        <f t="shared" si="0"/>
        <v>32.469488000000091</v>
      </c>
      <c r="V4" s="91">
        <f t="shared" si="0"/>
        <v>31.793040333333423</v>
      </c>
      <c r="W4" s="55">
        <f t="shared" si="0"/>
        <v>31.116592666666758</v>
      </c>
      <c r="X4" s="55">
        <f t="shared" si="0"/>
        <v>30.440145000000086</v>
      </c>
      <c r="Y4" s="55">
        <f t="shared" si="0"/>
        <v>29.763697333333415</v>
      </c>
      <c r="Z4" s="55">
        <f t="shared" si="0"/>
        <v>29.08724966666675</v>
      </c>
      <c r="AA4" s="55">
        <f t="shared" si="0"/>
        <v>28.410802000000078</v>
      </c>
      <c r="AB4" s="55">
        <f t="shared" si="0"/>
        <v>27.734354333333414</v>
      </c>
      <c r="AC4" s="55">
        <f t="shared" si="0"/>
        <v>27.057906666666742</v>
      </c>
      <c r="AD4" s="55">
        <f t="shared" si="0"/>
        <v>26.381459000000074</v>
      </c>
      <c r="AE4" s="55">
        <f t="shared" si="0"/>
        <v>25.705011333333406</v>
      </c>
      <c r="AF4" s="55">
        <f t="shared" si="0"/>
        <v>25.028563666666738</v>
      </c>
      <c r="AG4" s="102">
        <f t="shared" si="0"/>
        <v>24.35211600000007</v>
      </c>
      <c r="AH4" s="55">
        <f t="shared" si="0"/>
        <v>23.675668333333402</v>
      </c>
      <c r="AI4" s="55">
        <f t="shared" si="0"/>
        <v>22.99922066666673</v>
      </c>
      <c r="AJ4" s="55">
        <f t="shared" si="0"/>
        <v>22.322773000000065</v>
      </c>
      <c r="AK4" s="55">
        <f t="shared" si="0"/>
        <v>21.646325333333394</v>
      </c>
      <c r="AL4" s="55">
        <f t="shared" si="0"/>
        <v>20.969877666666729</v>
      </c>
      <c r="AM4" s="55">
        <f t="shared" si="0"/>
        <v>20.293430000000058</v>
      </c>
      <c r="AN4" s="55">
        <f t="shared" si="0"/>
        <v>19.616982333333389</v>
      </c>
      <c r="AO4" s="55">
        <f t="shared" si="0"/>
        <v>18.940534666666721</v>
      </c>
      <c r="AP4" s="55">
        <f t="shared" si="0"/>
        <v>18.264087000000053</v>
      </c>
      <c r="AQ4" s="55">
        <f t="shared" si="0"/>
        <v>17.587639333333385</v>
      </c>
      <c r="AR4" s="55">
        <f t="shared" si="0"/>
        <v>16.911191666666717</v>
      </c>
      <c r="AS4" s="108">
        <f t="shared" si="0"/>
        <v>16.234744000000045</v>
      </c>
      <c r="AT4" s="55">
        <f t="shared" si="0"/>
        <v>15.558296333333379</v>
      </c>
      <c r="AU4" s="55">
        <f t="shared" si="0"/>
        <v>14.881848666666707</v>
      </c>
      <c r="AV4" s="55">
        <f t="shared" si="0"/>
        <v>14.205401000000039</v>
      </c>
      <c r="AW4" s="55">
        <f t="shared" si="0"/>
        <v>13.528953333333371</v>
      </c>
      <c r="AX4" s="55">
        <f t="shared" si="0"/>
        <v>12.852505666666703</v>
      </c>
      <c r="AY4" s="55">
        <f t="shared" si="0"/>
        <v>12.176058000000035</v>
      </c>
      <c r="AZ4" s="55">
        <f t="shared" si="0"/>
        <v>11.499610333333365</v>
      </c>
      <c r="BA4" s="55">
        <f t="shared" si="0"/>
        <v>10.823162666666697</v>
      </c>
      <c r="BB4" s="55">
        <f t="shared" si="0"/>
        <v>10.146715000000029</v>
      </c>
      <c r="BC4" s="55">
        <f t="shared" si="0"/>
        <v>9.4702673333333607</v>
      </c>
      <c r="BD4" s="55">
        <f t="shared" si="0"/>
        <v>8.7938196666666926</v>
      </c>
      <c r="BE4" s="55">
        <f t="shared" si="0"/>
        <v>8.1173720000000227</v>
      </c>
      <c r="BF4" s="55">
        <f t="shared" si="0"/>
        <v>7.4409243333333537</v>
      </c>
      <c r="BG4" s="55">
        <f t="shared" si="0"/>
        <v>6.7644766666666856</v>
      </c>
      <c r="BH4" s="55">
        <f t="shared" si="0"/>
        <v>6.0880290000000175</v>
      </c>
      <c r="BI4" s="55">
        <f t="shared" si="0"/>
        <v>5.4115813333333485</v>
      </c>
      <c r="BJ4" s="55">
        <f t="shared" si="0"/>
        <v>4.7351336666666803</v>
      </c>
      <c r="BK4" s="55">
        <f t="shared" si="0"/>
        <v>4.0586860000000113</v>
      </c>
      <c r="BL4" s="55">
        <f t="shared" si="0"/>
        <v>3.3822383333333428</v>
      </c>
      <c r="BM4" s="55">
        <f t="shared" si="0"/>
        <v>2.7057906666666742</v>
      </c>
      <c r="BN4" s="55">
        <f t="shared" si="0"/>
        <v>2.0293430000000057</v>
      </c>
      <c r="BO4" s="55">
        <f t="shared" si="0"/>
        <v>1.3528953333333371</v>
      </c>
      <c r="BP4" s="55">
        <f t="shared" si="0"/>
        <v>0.67644766666666856</v>
      </c>
      <c r="BQ4" s="55">
        <f t="shared" si="0"/>
        <v>0</v>
      </c>
      <c r="BR4" s="55">
        <f t="shared" si="0"/>
        <v>0</v>
      </c>
      <c r="BS4" s="55">
        <f t="shared" si="0"/>
        <v>0</v>
      </c>
      <c r="BT4" s="55">
        <f t="shared" si="0"/>
        <v>0</v>
      </c>
      <c r="BU4" s="55">
        <f t="shared" si="0"/>
        <v>0</v>
      </c>
      <c r="BV4" s="55">
        <f t="shared" si="0"/>
        <v>0</v>
      </c>
      <c r="BW4" s="55">
        <f t="shared" ref="BW4:DY8" si="1">IF(BW$1&lt;$F4,$I4*(($F4-BW$1)/$F4),0)</f>
        <v>0</v>
      </c>
      <c r="BX4" s="55">
        <f t="shared" si="1"/>
        <v>0</v>
      </c>
      <c r="BY4" s="55">
        <f t="shared" si="1"/>
        <v>0</v>
      </c>
      <c r="BZ4" s="55">
        <f t="shared" si="1"/>
        <v>0</v>
      </c>
      <c r="CA4" s="55">
        <f t="shared" si="1"/>
        <v>0</v>
      </c>
      <c r="CB4" s="55">
        <f t="shared" si="1"/>
        <v>0</v>
      </c>
      <c r="CC4" s="55">
        <f t="shared" si="1"/>
        <v>0</v>
      </c>
      <c r="CD4" s="55">
        <f t="shared" si="1"/>
        <v>0</v>
      </c>
      <c r="CE4" s="55">
        <f t="shared" si="1"/>
        <v>0</v>
      </c>
      <c r="CF4" s="55">
        <f t="shared" si="1"/>
        <v>0</v>
      </c>
      <c r="CG4" s="55">
        <f t="shared" si="1"/>
        <v>0</v>
      </c>
      <c r="CH4" s="55">
        <f t="shared" si="1"/>
        <v>0</v>
      </c>
      <c r="CI4" s="55">
        <f t="shared" si="1"/>
        <v>0</v>
      </c>
      <c r="CJ4" s="55">
        <f t="shared" si="1"/>
        <v>0</v>
      </c>
      <c r="CK4" s="55">
        <f t="shared" si="1"/>
        <v>0</v>
      </c>
      <c r="CL4" s="55">
        <f t="shared" si="1"/>
        <v>0</v>
      </c>
      <c r="CM4" s="55">
        <f t="shared" si="1"/>
        <v>0</v>
      </c>
      <c r="CN4" s="55">
        <f t="shared" si="1"/>
        <v>0</v>
      </c>
      <c r="CO4" s="55">
        <f t="shared" si="1"/>
        <v>0</v>
      </c>
      <c r="CP4" s="55">
        <f t="shared" si="1"/>
        <v>0</v>
      </c>
      <c r="CQ4" s="55">
        <f t="shared" si="1"/>
        <v>0</v>
      </c>
      <c r="CR4" s="55">
        <f t="shared" si="1"/>
        <v>0</v>
      </c>
      <c r="CS4" s="55">
        <f t="shared" si="1"/>
        <v>0</v>
      </c>
      <c r="CT4" s="55">
        <f t="shared" si="1"/>
        <v>0</v>
      </c>
      <c r="CU4" s="55">
        <f t="shared" si="1"/>
        <v>0</v>
      </c>
      <c r="CV4" s="55">
        <f t="shared" si="1"/>
        <v>0</v>
      </c>
      <c r="CW4" s="55">
        <f t="shared" si="1"/>
        <v>0</v>
      </c>
      <c r="CX4" s="55">
        <f t="shared" si="1"/>
        <v>0</v>
      </c>
      <c r="CY4" s="55">
        <f t="shared" si="1"/>
        <v>0</v>
      </c>
      <c r="CZ4" s="55">
        <f t="shared" si="1"/>
        <v>0</v>
      </c>
      <c r="DA4" s="55">
        <f t="shared" si="1"/>
        <v>0</v>
      </c>
      <c r="DB4" s="55">
        <f t="shared" si="1"/>
        <v>0</v>
      </c>
      <c r="DC4" s="55">
        <f t="shared" si="1"/>
        <v>0</v>
      </c>
      <c r="DD4" s="55">
        <f t="shared" si="1"/>
        <v>0</v>
      </c>
      <c r="DE4" s="55">
        <f t="shared" si="1"/>
        <v>0</v>
      </c>
      <c r="DF4" s="55">
        <f t="shared" si="1"/>
        <v>0</v>
      </c>
      <c r="DG4" s="55">
        <f t="shared" si="1"/>
        <v>0</v>
      </c>
      <c r="DH4" s="55">
        <f t="shared" si="1"/>
        <v>0</v>
      </c>
      <c r="DI4" s="55">
        <f t="shared" si="1"/>
        <v>0</v>
      </c>
      <c r="DJ4" s="55">
        <f t="shared" si="1"/>
        <v>0</v>
      </c>
      <c r="DK4" s="55">
        <f t="shared" si="1"/>
        <v>0</v>
      </c>
      <c r="DL4" s="55">
        <f t="shared" si="1"/>
        <v>0</v>
      </c>
      <c r="DM4" s="55">
        <f t="shared" si="1"/>
        <v>0</v>
      </c>
      <c r="DN4" s="55">
        <f t="shared" si="1"/>
        <v>0</v>
      </c>
      <c r="DO4" s="55">
        <f t="shared" si="1"/>
        <v>0</v>
      </c>
      <c r="DP4" s="55">
        <f t="shared" si="1"/>
        <v>0</v>
      </c>
      <c r="DQ4" s="55">
        <f t="shared" si="1"/>
        <v>0</v>
      </c>
      <c r="DR4" s="55">
        <f t="shared" si="1"/>
        <v>0</v>
      </c>
      <c r="DS4" s="55">
        <f t="shared" si="1"/>
        <v>0</v>
      </c>
      <c r="DT4" s="55">
        <f t="shared" si="1"/>
        <v>0</v>
      </c>
      <c r="DU4" s="55">
        <f t="shared" si="1"/>
        <v>0</v>
      </c>
      <c r="DV4" s="55">
        <f t="shared" si="1"/>
        <v>0</v>
      </c>
      <c r="DW4" s="55">
        <f t="shared" si="1"/>
        <v>0</v>
      </c>
      <c r="DX4" s="55">
        <f t="shared" si="1"/>
        <v>0</v>
      </c>
      <c r="DY4" s="55">
        <f t="shared" si="1"/>
        <v>0</v>
      </c>
    </row>
    <row r="5" spans="1:129" x14ac:dyDescent="0.45">
      <c r="A5" s="3"/>
      <c r="B5" s="2"/>
      <c r="C5" s="121" t="s">
        <v>265</v>
      </c>
      <c r="D5" s="17"/>
      <c r="E5" s="2"/>
      <c r="F5" s="2"/>
      <c r="G5" s="2"/>
      <c r="H5" s="2"/>
      <c r="I5" s="14"/>
      <c r="J5" s="83"/>
      <c r="K5" s="83"/>
      <c r="L5" s="55"/>
      <c r="M5" s="55"/>
      <c r="N5" s="55"/>
      <c r="O5" s="55"/>
      <c r="P5" s="55"/>
      <c r="Q5" s="55"/>
      <c r="R5" s="55"/>
      <c r="S5" s="55"/>
      <c r="T5" s="55"/>
      <c r="U5" s="119">
        <f>'Plan Moyen Terme (PMT)'!C4-BAU_Liquidité_Dynamique!U4</f>
        <v>-5.7839280000000883</v>
      </c>
      <c r="V5" s="120">
        <f>IF(AND(U1&lt;V$1, V$1&lt;=$F4),$U5*($F4-V$1)/($F4-$U1),0)</f>
        <v>-5.6634295000000874</v>
      </c>
      <c r="W5" s="120">
        <f t="shared" ref="W5:BQ5" si="2">IF(AND(V1&lt;W$1, W$1&lt;=$F4),$U5*($F4-W$1)/($F4-$U1),0)</f>
        <v>-5.5429310000000847</v>
      </c>
      <c r="X5" s="120">
        <f t="shared" si="2"/>
        <v>-5.4224325000000819</v>
      </c>
      <c r="Y5" s="120">
        <f t="shared" si="2"/>
        <v>-5.301934000000081</v>
      </c>
      <c r="Z5" s="120">
        <f t="shared" si="2"/>
        <v>-5.1814355000000791</v>
      </c>
      <c r="AA5" s="120">
        <f t="shared" si="2"/>
        <v>-5.0609370000000773</v>
      </c>
      <c r="AB5" s="120">
        <f t="shared" si="2"/>
        <v>-4.9404385000000755</v>
      </c>
      <c r="AC5" s="120">
        <f t="shared" si="2"/>
        <v>-4.8199400000000736</v>
      </c>
      <c r="AD5" s="120">
        <f t="shared" si="2"/>
        <v>-4.6994415000000718</v>
      </c>
      <c r="AE5" s="120">
        <f t="shared" si="2"/>
        <v>-4.5789430000000699</v>
      </c>
      <c r="AF5" s="120">
        <f t="shared" si="2"/>
        <v>-4.4584445000000681</v>
      </c>
      <c r="AG5" s="120">
        <f t="shared" si="2"/>
        <v>-4.3379460000000662</v>
      </c>
      <c r="AH5" s="120">
        <f t="shared" si="2"/>
        <v>-4.2174475000000644</v>
      </c>
      <c r="AI5" s="120">
        <f t="shared" si="2"/>
        <v>-4.0969490000000626</v>
      </c>
      <c r="AJ5" s="120">
        <f t="shared" si="2"/>
        <v>-3.9764505000000607</v>
      </c>
      <c r="AK5" s="120">
        <f t="shared" si="2"/>
        <v>-3.8559520000000589</v>
      </c>
      <c r="AL5" s="120">
        <f t="shared" si="2"/>
        <v>-3.735453500000057</v>
      </c>
      <c r="AM5" s="120">
        <f t="shared" si="2"/>
        <v>-3.6149550000000552</v>
      </c>
      <c r="AN5" s="120">
        <f t="shared" si="2"/>
        <v>-3.4944565000000534</v>
      </c>
      <c r="AO5" s="120">
        <f t="shared" si="2"/>
        <v>-3.3739580000000515</v>
      </c>
      <c r="AP5" s="120">
        <f t="shared" si="2"/>
        <v>-3.2534595000000497</v>
      </c>
      <c r="AQ5" s="120">
        <f t="shared" si="2"/>
        <v>-3.1329610000000478</v>
      </c>
      <c r="AR5" s="120">
        <f t="shared" si="2"/>
        <v>-3.012462500000046</v>
      </c>
      <c r="AS5" s="120">
        <f t="shared" si="2"/>
        <v>-2.8919640000000442</v>
      </c>
      <c r="AT5" s="120">
        <f t="shared" si="2"/>
        <v>-2.7714655000000423</v>
      </c>
      <c r="AU5" s="120">
        <f t="shared" si="2"/>
        <v>-2.6509670000000405</v>
      </c>
      <c r="AV5" s="120">
        <f t="shared" si="2"/>
        <v>-2.5304685000000386</v>
      </c>
      <c r="AW5" s="120">
        <f t="shared" si="2"/>
        <v>-2.4099700000000368</v>
      </c>
      <c r="AX5" s="120">
        <f t="shared" si="2"/>
        <v>-2.289471500000035</v>
      </c>
      <c r="AY5" s="120">
        <f t="shared" si="2"/>
        <v>-2.1689730000000331</v>
      </c>
      <c r="AZ5" s="120">
        <f t="shared" si="2"/>
        <v>-2.0484745000000313</v>
      </c>
      <c r="BA5" s="120">
        <f t="shared" si="2"/>
        <v>-1.9279760000000294</v>
      </c>
      <c r="BB5" s="120">
        <f t="shared" si="2"/>
        <v>-1.8074775000000276</v>
      </c>
      <c r="BC5" s="120">
        <f t="shared" si="2"/>
        <v>-1.6869790000000258</v>
      </c>
      <c r="BD5" s="120">
        <f t="shared" si="2"/>
        <v>-1.5664805000000239</v>
      </c>
      <c r="BE5" s="120">
        <f t="shared" si="2"/>
        <v>-1.4459820000000221</v>
      </c>
      <c r="BF5" s="120">
        <f t="shared" si="2"/>
        <v>-1.3254835000000202</v>
      </c>
      <c r="BG5" s="120">
        <f t="shared" si="2"/>
        <v>-1.2049850000000184</v>
      </c>
      <c r="BH5" s="120">
        <f t="shared" si="2"/>
        <v>-1.0844865000000166</v>
      </c>
      <c r="BI5" s="120">
        <f t="shared" si="2"/>
        <v>-0.96398800000001472</v>
      </c>
      <c r="BJ5" s="120">
        <f t="shared" si="2"/>
        <v>-0.84348950000001288</v>
      </c>
      <c r="BK5" s="120">
        <f t="shared" si="2"/>
        <v>-0.72299100000001104</v>
      </c>
      <c r="BL5" s="120">
        <f t="shared" si="2"/>
        <v>-0.6024925000000092</v>
      </c>
      <c r="BM5" s="120">
        <f t="shared" si="2"/>
        <v>-0.48199400000000736</v>
      </c>
      <c r="BN5" s="120">
        <f t="shared" si="2"/>
        <v>-0.36149550000000552</v>
      </c>
      <c r="BO5" s="120">
        <f t="shared" si="2"/>
        <v>-0.24099700000000368</v>
      </c>
      <c r="BP5" s="120">
        <f t="shared" si="2"/>
        <v>-0.12049850000000184</v>
      </c>
      <c r="BQ5" s="120">
        <f t="shared" si="2"/>
        <v>0</v>
      </c>
      <c r="BR5" s="91">
        <f>IF(BR$1&lt;$F4-$U1,$U5*($F4-BR$1)/($F4-$U1),0)</f>
        <v>0</v>
      </c>
      <c r="BS5" s="91">
        <f>IF(BS$1&lt;$F4-$U1,$U5*($F4-BS$1)/($F4-$U1),0)</f>
        <v>0</v>
      </c>
      <c r="BT5" s="91">
        <f>IF(BT$1&lt;$F4-$U1,$U5*($F4-BT$1)/($F4-$U1),0)</f>
        <v>0</v>
      </c>
      <c r="BU5" s="91">
        <f>IF(BU$1&lt;$F4-$U1,$U5*($F4-BU$1)/($F4-$U1),0)</f>
        <v>0</v>
      </c>
      <c r="BV5" s="91">
        <f>IF(BV$1&lt;$F4-$U1,$U5*($F4-BV$1)/($F4-$U1),0)</f>
        <v>0</v>
      </c>
      <c r="BW5" s="91">
        <f>IF(BW$1&lt;$F4-$U1,$U5*($F4-BW$1)/($F4-$U1),0)</f>
        <v>0</v>
      </c>
      <c r="BX5" s="91">
        <f>IF(BX$1&lt;$F4-$U1,$U5*($F4-BX$1)/($F4-$U1),0)</f>
        <v>0</v>
      </c>
      <c r="BY5" s="91">
        <f>IF(BY$1&lt;$F4-$U1,$U5*($F4-BY$1)/($F4-$U1),0)</f>
        <v>0</v>
      </c>
      <c r="BZ5" s="91">
        <f>IF(BZ$1&lt;$F4-$U1,$U5*($F4-BZ$1)/($F4-$U1),0)</f>
        <v>0</v>
      </c>
      <c r="CA5" s="91">
        <f>IF(CA$1&lt;$F4-$U1,$U5*($F4-CA$1)/($F4-$U1),0)</f>
        <v>0</v>
      </c>
      <c r="CB5" s="91">
        <f>IF(CB$1&lt;$F4-$U1,$U5*($F4-CB$1)/($F4-$U1),0)</f>
        <v>0</v>
      </c>
      <c r="CC5" s="91">
        <f>IF(CC$1&lt;$F4-$U1,$U5*($F4-CC$1)/($F4-$U1),0)</f>
        <v>0</v>
      </c>
      <c r="CD5" s="91">
        <f>IF(CD$1&lt;$F4-$U1,$U5*($F4-CD$1)/($F4-$U1),0)</f>
        <v>0</v>
      </c>
      <c r="CE5" s="91">
        <f>IF(CE$1&lt;$F4-$U1,$U5*($F4-CE$1)/($F4-$U1),0)</f>
        <v>0</v>
      </c>
      <c r="CF5" s="91">
        <f>IF(CF$1&lt;$F4-$U1,$U5*($F4-CF$1)/($F4-$U1),0)</f>
        <v>0</v>
      </c>
      <c r="CG5" s="91">
        <f>IF(CG$1&lt;$F4-$U1,$U5*($F4-CG$1)/($F4-$U1),0)</f>
        <v>0</v>
      </c>
      <c r="CH5" s="91">
        <f>IF(CH$1&lt;$F4-$U1,$U5*($F4-CH$1)/($F4-$U1),0)</f>
        <v>0</v>
      </c>
      <c r="CI5" s="91">
        <f>IF(CI$1&lt;$F4-$U1,$U5*($F4-CI$1)/($F4-$U1),0)</f>
        <v>0</v>
      </c>
      <c r="CJ5" s="91">
        <f>IF(CJ$1&lt;$F4-$U1,$U5*($F4-CJ$1)/($F4-$U1),0)</f>
        <v>0</v>
      </c>
      <c r="CK5" s="91">
        <f>IF(CK$1&lt;$F4-$U1,$U5*($F4-CK$1)/($F4-$U1),0)</f>
        <v>0</v>
      </c>
      <c r="CL5" s="91">
        <f>IF(CL$1&lt;$F4-$U1,$U5*($F4-CL$1)/($F4-$U1),0)</f>
        <v>0</v>
      </c>
      <c r="CM5" s="91">
        <f>IF(CM$1&lt;$F4-$U1,$U5*($F4-CM$1)/($F4-$U1),0)</f>
        <v>0</v>
      </c>
      <c r="CN5" s="91">
        <f>IF(CN$1&lt;$F4-$U1,$U5*($F4-CN$1)/($F4-$U1),0)</f>
        <v>0</v>
      </c>
      <c r="CO5" s="91">
        <f>IF(CO$1&lt;$F4-$U1,$U5*($F4-CO$1)/($F4-$U1),0)</f>
        <v>0</v>
      </c>
      <c r="CP5" s="91">
        <f>IF(CP$1&lt;$F4-$U1,$U5*($F4-CP$1)/($F4-$U1),0)</f>
        <v>0</v>
      </c>
      <c r="CQ5" s="91">
        <f>IF(CQ$1&lt;$F4-$U1,$U5*($F4-CQ$1)/($F4-$U1),0)</f>
        <v>0</v>
      </c>
      <c r="CR5" s="91">
        <f>IF(CR$1&lt;$F4-$U1,$U5*($F4-CR$1)/($F4-$U1),0)</f>
        <v>0</v>
      </c>
      <c r="CS5" s="91">
        <f>IF(CS$1&lt;$F4-$U1,$U5*($F4-CS$1)/($F4-$U1),0)</f>
        <v>0</v>
      </c>
      <c r="CT5" s="91">
        <f>IF(CT$1&lt;$F4-$U1,$U5*($F4-CT$1)/($F4-$U1),0)</f>
        <v>0</v>
      </c>
      <c r="CU5" s="91">
        <f>IF(CU$1&lt;$F4-$U1,$U5*($F4-CU$1)/($F4-$U1),0)</f>
        <v>0</v>
      </c>
      <c r="CV5" s="91">
        <f>IF(CV$1&lt;$F4-$U1,$U5*($F4-CV$1)/($F4-$U1),0)</f>
        <v>0</v>
      </c>
      <c r="CW5" s="91">
        <f>IF(CW$1&lt;$F4-$U1,$U5*($F4-CW$1)/($F4-$U1),0)</f>
        <v>0</v>
      </c>
      <c r="CX5" s="91">
        <f>IF(CX$1&lt;$F4-$U1,$U5*($F4-CX$1)/($F4-$U1),0)</f>
        <v>0</v>
      </c>
      <c r="CY5" s="91">
        <f>IF(CY$1&lt;$F4-$U1,$U5*($F4-CY$1)/($F4-$U1),0)</f>
        <v>0</v>
      </c>
      <c r="CZ5" s="91">
        <f>IF(CZ$1&lt;$F4-$U1,$U5*($F4-CZ$1)/($F4-$U1),0)</f>
        <v>0</v>
      </c>
      <c r="DA5" s="91">
        <f>IF(DA$1&lt;$F4-$U1,$U5*($F4-DA$1)/($F4-$U1),0)</f>
        <v>0</v>
      </c>
      <c r="DB5" s="91">
        <f>IF(DB$1&lt;$F4-$U1,$U5*($F4-DB$1)/($F4-$U1),0)</f>
        <v>0</v>
      </c>
      <c r="DC5" s="91">
        <f>IF(DC$1&lt;$F4-$U1,$U5*($F4-DC$1)/($F4-$U1),0)</f>
        <v>0</v>
      </c>
      <c r="DD5" s="91">
        <f>IF(DD$1&lt;$F4-$U1,$U5*($F4-DD$1)/($F4-$U1),0)</f>
        <v>0</v>
      </c>
      <c r="DE5" s="91">
        <f>IF(DE$1&lt;$F4-$U1,$U5*($F4-DE$1)/($F4-$U1),0)</f>
        <v>0</v>
      </c>
      <c r="DF5" s="91">
        <f>IF(DF$1&lt;$F4-$U1,$U5*($F4-DF$1)/($F4-$U1),0)</f>
        <v>0</v>
      </c>
      <c r="DG5" s="91">
        <f>IF(DG$1&lt;$F4-$U1,$U5*($F4-DG$1)/($F4-$U1),0)</f>
        <v>0</v>
      </c>
      <c r="DH5" s="91">
        <f>IF(DH$1&lt;$F4-$U1,$U5*($F4-DH$1)/($F4-$U1),0)</f>
        <v>0</v>
      </c>
      <c r="DI5" s="91">
        <f>IF(DI$1&lt;$F4-$U1,$U5*($F4-DI$1)/($F4-$U1),0)</f>
        <v>0</v>
      </c>
      <c r="DJ5" s="91">
        <f>IF(DJ$1&lt;$F4-$U1,$U5*($F4-DJ$1)/($F4-$U1),0)</f>
        <v>0</v>
      </c>
      <c r="DK5" s="91">
        <f>IF(DK$1&lt;$F4-$U1,$U5*($F4-DK$1)/($F4-$U1),0)</f>
        <v>0</v>
      </c>
      <c r="DL5" s="91">
        <f>IF(DL$1&lt;$F4-$U1,$U5*($F4-DL$1)/($F4-$U1),0)</f>
        <v>0</v>
      </c>
      <c r="DM5" s="91">
        <f>IF(DM$1&lt;$F4-$U1,$U5*($F4-DM$1)/($F4-$U1),0)</f>
        <v>0</v>
      </c>
      <c r="DN5" s="91">
        <f>IF(DN$1&lt;$F4-$U1,$U5*($F4-DN$1)/($F4-$U1),0)</f>
        <v>0</v>
      </c>
      <c r="DO5" s="91">
        <f>IF(DO$1&lt;$F4-$U1,$U5*($F4-DO$1)/($F4-$U1),0)</f>
        <v>0</v>
      </c>
      <c r="DP5" s="91">
        <f>IF(DP$1&lt;$F4-$U1,$U5*($F4-DP$1)/($F4-$U1),0)</f>
        <v>0</v>
      </c>
      <c r="DQ5" s="91">
        <f>IF(DQ$1&lt;$F4-$U1,$U5*($F4-DQ$1)/($F4-$U1),0)</f>
        <v>0</v>
      </c>
      <c r="DR5" s="91">
        <f>IF(DR$1&lt;$F4-$U1,$U5*($F4-DR$1)/($F4-$U1),0)</f>
        <v>0</v>
      </c>
      <c r="DS5" s="91">
        <f>IF(DS$1&lt;$F4-$U1,$U5*($F4-DS$1)/($F4-$U1),0)</f>
        <v>0</v>
      </c>
      <c r="DT5" s="91">
        <f>IF(DT$1&lt;$F4-$U1,$U5*($F4-DT$1)/($F4-$U1),0)</f>
        <v>0</v>
      </c>
      <c r="DU5" s="91">
        <f>IF(DU$1&lt;$F4-$U1,$U5*($F4-DU$1)/($F4-$U1),0)</f>
        <v>0</v>
      </c>
      <c r="DV5" s="91">
        <f>IF(DV$1&lt;$F4-$U1,$U5*($F4-DV$1)/($F4-$U1),0)</f>
        <v>0</v>
      </c>
      <c r="DW5" s="91">
        <f>IF(DW$1&lt;$F4-$U1,$U5*($F4-DW$1)/($F4-$U1),0)</f>
        <v>0</v>
      </c>
      <c r="DX5" s="91">
        <f>IF(DX$1&lt;$F4-$U1,$U5*($F4-DX$1)/($F4-$U1),0)</f>
        <v>0</v>
      </c>
      <c r="DY5" s="91">
        <f>IF(DY$1&lt;$F4-$U1,$U5*($F4-DY$1)/($F4-$U1),0)</f>
        <v>0</v>
      </c>
    </row>
    <row r="6" spans="1:129" x14ac:dyDescent="0.45">
      <c r="A6" s="3"/>
      <c r="B6" s="2"/>
      <c r="C6" s="122" t="s">
        <v>266</v>
      </c>
      <c r="D6" s="17"/>
      <c r="E6" s="2"/>
      <c r="F6" s="2"/>
      <c r="G6" s="2"/>
      <c r="H6" s="2"/>
      <c r="I6" s="14"/>
      <c r="J6" s="83"/>
      <c r="K6" s="55"/>
      <c r="L6" s="55"/>
      <c r="M6" s="55"/>
      <c r="N6" s="55"/>
      <c r="O6" s="55"/>
      <c r="P6" s="55"/>
      <c r="Q6" s="55"/>
      <c r="R6" s="55"/>
      <c r="S6" s="55"/>
      <c r="T6" s="55"/>
      <c r="U6" s="95"/>
      <c r="V6" s="91"/>
      <c r="W6" s="91"/>
      <c r="X6" s="91"/>
      <c r="Y6" s="91"/>
      <c r="Z6" s="55"/>
      <c r="AA6" s="55"/>
      <c r="AB6" s="55"/>
      <c r="AC6" s="55"/>
      <c r="AD6" s="55"/>
      <c r="AE6" s="55"/>
      <c r="AF6" s="55"/>
      <c r="AG6" s="123">
        <f>'Plan Moyen Terme (PMT)'!D4-BAU_Liquidité_Dynamique!AG4</f>
        <v>274.50020399999994</v>
      </c>
      <c r="AH6" s="124">
        <f>IF(AND(AG1&lt;AH$1, AH$1&lt;=$F4),$AG6*($F4-AH1)/($F4-$AG1),0)</f>
        <v>266.87519833333329</v>
      </c>
      <c r="AI6" s="124">
        <f t="shared" ref="AI6:BQ6" si="3">IF(AND(AH1&lt;AI$1, AI$1&lt;=$F4),$AG6*($F4-AI1)/($F4-$AG1),0)</f>
        <v>259.25019266666663</v>
      </c>
      <c r="AJ6" s="124">
        <f t="shared" si="3"/>
        <v>251.62518699999995</v>
      </c>
      <c r="AK6" s="124">
        <f t="shared" si="3"/>
        <v>244.00018133333327</v>
      </c>
      <c r="AL6" s="124">
        <f t="shared" si="3"/>
        <v>236.37517566666662</v>
      </c>
      <c r="AM6" s="124">
        <f t="shared" si="3"/>
        <v>228.75016999999994</v>
      </c>
      <c r="AN6" s="124">
        <f t="shared" si="3"/>
        <v>221.12516433333329</v>
      </c>
      <c r="AO6" s="124">
        <f t="shared" si="3"/>
        <v>213.50015866666661</v>
      </c>
      <c r="AP6" s="124">
        <f t="shared" si="3"/>
        <v>205.87515299999995</v>
      </c>
      <c r="AQ6" s="124">
        <f t="shared" si="3"/>
        <v>198.2501473333333</v>
      </c>
      <c r="AR6" s="124">
        <f t="shared" si="3"/>
        <v>190.62514166666662</v>
      </c>
      <c r="AS6" s="124">
        <f t="shared" si="3"/>
        <v>183.00013599999997</v>
      </c>
      <c r="AT6" s="124">
        <f>IF(AND(AS1&lt;AT$1, AT$1&lt;=$F4),$AG6*($F4-AT1)/($F4-$AG1),0)</f>
        <v>175.37513033333329</v>
      </c>
      <c r="AU6" s="124">
        <f t="shared" si="3"/>
        <v>167.75012466666664</v>
      </c>
      <c r="AV6" s="124">
        <f t="shared" si="3"/>
        <v>160.12511899999996</v>
      </c>
      <c r="AW6" s="124">
        <f t="shared" si="3"/>
        <v>152.5001133333333</v>
      </c>
      <c r="AX6" s="124">
        <f t="shared" si="3"/>
        <v>144.87510766666662</v>
      </c>
      <c r="AY6" s="124">
        <f t="shared" si="3"/>
        <v>137.25010199999997</v>
      </c>
      <c r="AZ6" s="124">
        <f t="shared" si="3"/>
        <v>129.62509633333332</v>
      </c>
      <c r="BA6" s="124">
        <f t="shared" si="3"/>
        <v>122.00009066666664</v>
      </c>
      <c r="BB6" s="124">
        <f t="shared" si="3"/>
        <v>114.37508499999997</v>
      </c>
      <c r="BC6" s="124">
        <f t="shared" si="3"/>
        <v>106.7500793333333</v>
      </c>
      <c r="BD6" s="124">
        <f t="shared" si="3"/>
        <v>99.125073666666651</v>
      </c>
      <c r="BE6" s="124">
        <f t="shared" si="3"/>
        <v>91.500067999999985</v>
      </c>
      <c r="BF6" s="124">
        <f t="shared" si="3"/>
        <v>83.875062333333318</v>
      </c>
      <c r="BG6" s="124">
        <f t="shared" si="3"/>
        <v>76.250056666666651</v>
      </c>
      <c r="BH6" s="124">
        <f t="shared" si="3"/>
        <v>68.625050999999985</v>
      </c>
      <c r="BI6" s="124">
        <f t="shared" si="3"/>
        <v>61.000045333333318</v>
      </c>
      <c r="BJ6" s="124">
        <f t="shared" si="3"/>
        <v>53.375039666666652</v>
      </c>
      <c r="BK6" s="124">
        <f t="shared" si="3"/>
        <v>45.750033999999992</v>
      </c>
      <c r="BL6" s="124">
        <f t="shared" si="3"/>
        <v>38.125028333333326</v>
      </c>
      <c r="BM6" s="124">
        <f t="shared" si="3"/>
        <v>30.500022666666659</v>
      </c>
      <c r="BN6" s="124">
        <f t="shared" si="3"/>
        <v>22.875016999999996</v>
      </c>
      <c r="BO6" s="124">
        <f t="shared" si="3"/>
        <v>15.25001133333333</v>
      </c>
      <c r="BP6" s="124">
        <f t="shared" si="3"/>
        <v>7.6250056666666648</v>
      </c>
      <c r="BQ6" s="124">
        <f t="shared" si="3"/>
        <v>0</v>
      </c>
      <c r="BR6" s="91">
        <f>IF(BR$1&lt;$F4-$AG1,$AG6*($F4-BR1)/($F4-$AG1),0)</f>
        <v>0</v>
      </c>
      <c r="BS6" s="91">
        <f>IF(BS$1&lt;$F4-$AG1,$AG6*($F4-BS1)/($F4-$AG1),0)</f>
        <v>0</v>
      </c>
      <c r="BT6" s="91">
        <f>IF(BT$1&lt;$F4-$AG1,$AG6*($F4-BT1)/($F4-$AG1),0)</f>
        <v>0</v>
      </c>
      <c r="BU6" s="91">
        <f>IF(BU$1&lt;$F4-$AG1,$AG6*($F4-BU1)/($F4-$AG1),0)</f>
        <v>0</v>
      </c>
      <c r="BV6" s="91">
        <f>IF(BV$1&lt;$F4-$AG1,$AG6*($F4-BV1)/($F4-$AG1),0)</f>
        <v>0</v>
      </c>
      <c r="BW6" s="91">
        <f>IF(BW$1&lt;$F4-$AG1,$AG6*($F4-BW1)/($F4-$AG1),0)</f>
        <v>0</v>
      </c>
      <c r="BX6" s="91">
        <f>IF(BX$1&lt;$F4-$AG1,$AG6*($F4-BX1)/($F4-$AG1),0)</f>
        <v>0</v>
      </c>
      <c r="BY6" s="91">
        <f>IF(BY$1&lt;$F4-$AG1,$AG6*($F4-BY1)/($F4-$AG1),0)</f>
        <v>0</v>
      </c>
      <c r="BZ6" s="91">
        <f>IF(BZ$1&lt;$F4-$AG1,$AG6*($F4-BZ1)/($F4-$AG1),0)</f>
        <v>0</v>
      </c>
      <c r="CA6" s="91">
        <f>IF(CA$1&lt;$F4-$AG1,$AG6*($F4-CA1)/($F4-$AG1),0)</f>
        <v>0</v>
      </c>
      <c r="CB6" s="91">
        <f>IF(CB$1&lt;$F4-$AG1,$AG6*($F4-CB1)/($F4-$AG1),0)</f>
        <v>0</v>
      </c>
      <c r="CC6" s="91">
        <f>IF(CC$1&lt;$F4-$AG1,$AG6*($F4-CC1)/($F4-$AG1),0)</f>
        <v>0</v>
      </c>
      <c r="CD6" s="91">
        <f>IF(CD$1&lt;$F4-$AG1,$AG6*($F4-CD1)/($F4-$AG1),0)</f>
        <v>0</v>
      </c>
      <c r="CE6" s="91">
        <f>IF(CE$1&lt;$F4-$AG1,$AG6*($F4-CE1)/($F4-$AG1),0)</f>
        <v>0</v>
      </c>
      <c r="CF6" s="91">
        <f>IF(CF$1&lt;$F4-$AG1,$AG6*($F4-CF1)/($F4-$AG1),0)</f>
        <v>0</v>
      </c>
      <c r="CG6" s="91">
        <f>IF(CG$1&lt;$F4-$AG1,$AG6*($F4-CG1)/($F4-$AG1),0)</f>
        <v>0</v>
      </c>
      <c r="CH6" s="91">
        <f>IF(CH$1&lt;$F4-$AG1,$AG6*($F4-CH1)/($F4-$AG1),0)</f>
        <v>0</v>
      </c>
      <c r="CI6" s="91">
        <f>IF(CI$1&lt;$F4-$AG1,$AG6*($F4-CI1)/($F4-$AG1),0)</f>
        <v>0</v>
      </c>
      <c r="CJ6" s="91">
        <f>IF(CJ$1&lt;$F4-$AG1,$AG6*($F4-CJ1)/($F4-$AG1),0)</f>
        <v>0</v>
      </c>
      <c r="CK6" s="91">
        <f>IF(CK$1&lt;$F4-$AG1,$AG6*($F4-CK1)/($F4-$AG1),0)</f>
        <v>0</v>
      </c>
      <c r="CL6" s="91">
        <f>IF(CL$1&lt;$F4-$AG1,$AG6*($F4-CL1)/($F4-$AG1),0)</f>
        <v>0</v>
      </c>
      <c r="CM6" s="91">
        <f>IF(CM$1&lt;$F4-$AG1,$AG6*($F4-CM1)/($F4-$AG1),0)</f>
        <v>0</v>
      </c>
      <c r="CN6" s="91">
        <f>IF(CN$1&lt;$F4-$AG1,$AG6*($F4-CN1)/($F4-$AG1),0)</f>
        <v>0</v>
      </c>
      <c r="CO6" s="91">
        <f>IF(CO$1&lt;$F4-$AG1,$AG6*($F4-CO1)/($F4-$AG1),0)</f>
        <v>0</v>
      </c>
      <c r="CP6" s="91">
        <f>IF(CP$1&lt;$F4-$AG1,$AG6*($F4-CP1)/($F4-$AG1),0)</f>
        <v>0</v>
      </c>
      <c r="CQ6" s="91">
        <f>IF(CQ$1&lt;$F4-$AG1,$AG6*($F4-CQ1)/($F4-$AG1),0)</f>
        <v>0</v>
      </c>
      <c r="CR6" s="91">
        <f>IF(CR$1&lt;$F4-$AG1,$AG6*($F4-CR1)/($F4-$AG1),0)</f>
        <v>0</v>
      </c>
      <c r="CS6" s="91">
        <f>IF(CS$1&lt;$F4-$AG1,$AG6*($F4-CS1)/($F4-$AG1),0)</f>
        <v>0</v>
      </c>
      <c r="CT6" s="91">
        <f>IF(CT$1&lt;$F4-$AG1,$AG6*($F4-CT1)/($F4-$AG1),0)</f>
        <v>0</v>
      </c>
      <c r="CU6" s="91">
        <f>IF(CU$1&lt;$F4-$AG1,$AG6*($F4-CU1)/($F4-$AG1),0)</f>
        <v>0</v>
      </c>
      <c r="CV6" s="91">
        <f>IF(CV$1&lt;$F4-$AG1,$AG6*($F4-CV1)/($F4-$AG1),0)</f>
        <v>0</v>
      </c>
      <c r="CW6" s="91">
        <f>IF(CW$1&lt;$F4-$AG1,$AG6*($F4-CW1)/($F4-$AG1),0)</f>
        <v>0</v>
      </c>
      <c r="CX6" s="91">
        <f>IF(CX$1&lt;$F4-$AG1,$AG6*($F4-CX1)/($F4-$AG1),0)</f>
        <v>0</v>
      </c>
      <c r="CY6" s="91">
        <f>IF(CY$1&lt;$F4-$AG1,$AG6*($F4-CY1)/($F4-$AG1),0)</f>
        <v>0</v>
      </c>
      <c r="CZ6" s="91">
        <f>IF(CZ$1&lt;$F4-$AG1,$AG6*($F4-CZ1)/($F4-$AG1),0)</f>
        <v>0</v>
      </c>
      <c r="DA6" s="91">
        <f>IF(DA$1&lt;$F4-$AG1,$AG6*($F4-DA1)/($F4-$AG1),0)</f>
        <v>0</v>
      </c>
      <c r="DB6" s="91">
        <f>IF(DB$1&lt;$F4-$AG1,$AG6*($F4-DB1)/($F4-$AG1),0)</f>
        <v>0</v>
      </c>
      <c r="DC6" s="91">
        <f>IF(DC$1&lt;$F4-$AG1,$AG6*($F4-DC1)/($F4-$AG1),0)</f>
        <v>0</v>
      </c>
      <c r="DD6" s="91">
        <f>IF(DD$1&lt;$F4-$AG1,$AG6*($F4-DD1)/($F4-$AG1),0)</f>
        <v>0</v>
      </c>
      <c r="DE6" s="91">
        <f>IF(DE$1&lt;$F4-$AG1,$AG6*($F4-DE1)/($F4-$AG1),0)</f>
        <v>0</v>
      </c>
      <c r="DF6" s="91">
        <f>IF(DF$1&lt;$F4-$AG1,$AG6*($F4-DF1)/($F4-$AG1),0)</f>
        <v>0</v>
      </c>
      <c r="DG6" s="91">
        <f>IF(DG$1&lt;$F4-$AG1,$AG6*($F4-DG1)/($F4-$AG1),0)</f>
        <v>0</v>
      </c>
      <c r="DH6" s="91">
        <f>IF(DH$1&lt;$F4-$AG1,$AG6*($F4-DH1)/($F4-$AG1),0)</f>
        <v>0</v>
      </c>
      <c r="DI6" s="91">
        <f>IF(DI$1&lt;$F4-$AG1,$AG6*($F4-DI1)/($F4-$AG1),0)</f>
        <v>0</v>
      </c>
      <c r="DJ6" s="91">
        <f>IF(DJ$1&lt;$F4-$AG1,$AG6*($F4-DJ1)/($F4-$AG1),0)</f>
        <v>0</v>
      </c>
      <c r="DK6" s="91">
        <f>IF(DK$1&lt;$F4-$AG1,$AG6*($F4-DK1)/($F4-$AG1),0)</f>
        <v>0</v>
      </c>
      <c r="DL6" s="91">
        <f>IF(DL$1&lt;$F4-$AG1,$AG6*($F4-DL1)/($F4-$AG1),0)</f>
        <v>0</v>
      </c>
      <c r="DM6" s="91">
        <f>IF(DM$1&lt;$F4-$AG1,$AG6*($F4-DM1)/($F4-$AG1),0)</f>
        <v>0</v>
      </c>
      <c r="DN6" s="91">
        <f>IF(DN$1&lt;$F4-$AG1,$AG6*($F4-DN1)/($F4-$AG1),0)</f>
        <v>0</v>
      </c>
      <c r="DO6" s="91">
        <f>IF(DO$1&lt;$F4-$AG1,$AG6*($F4-DO1)/($F4-$AG1),0)</f>
        <v>0</v>
      </c>
      <c r="DP6" s="91">
        <f>IF(DP$1&lt;$F4-$AG1,$AG6*($F4-DP1)/($F4-$AG1),0)</f>
        <v>0</v>
      </c>
      <c r="DQ6" s="91">
        <f>IF(DQ$1&lt;$F4-$AG1,$AG6*($F4-DQ1)/($F4-$AG1),0)</f>
        <v>0</v>
      </c>
      <c r="DR6" s="91">
        <f>IF(DR$1&lt;$F4-$AG1,$AG6*($F4-DR1)/($F4-$AG1),0)</f>
        <v>0</v>
      </c>
      <c r="DS6" s="91">
        <f>IF(DS$1&lt;$F4-$AG1,$AG6*($F4-DS1)/($F4-$AG1),0)</f>
        <v>0</v>
      </c>
      <c r="DT6" s="91">
        <f>IF(DT$1&lt;$F4-$AG1,$AG6*($F4-DT1)/($F4-$AG1),0)</f>
        <v>0</v>
      </c>
      <c r="DU6" s="91">
        <f>IF(DU$1&lt;$F4-$AG1,$AG6*($F4-DU1)/($F4-$AG1),0)</f>
        <v>0</v>
      </c>
      <c r="DV6" s="91">
        <f>IF(DV$1&lt;$F4-$AG1,$AG6*($F4-DV1)/($F4-$AG1),0)</f>
        <v>0</v>
      </c>
      <c r="DW6" s="91">
        <f>IF(DW$1&lt;$F4-$AG1,$AG6*($F4-DW1)/($F4-$AG1),0)</f>
        <v>0</v>
      </c>
      <c r="DX6" s="91">
        <f>IF(DX$1&lt;$F4-$AG1,$AG6*($F4-DX1)/($F4-$AG1),0)</f>
        <v>0</v>
      </c>
      <c r="DY6" s="91">
        <f>IF(DY$1&lt;$F4-$AG1,$AG6*($F4-DY1)/($F4-$AG1),0)</f>
        <v>0</v>
      </c>
    </row>
    <row r="7" spans="1:129" x14ac:dyDescent="0.45">
      <c r="A7" s="3"/>
      <c r="B7" s="2"/>
      <c r="C7" s="125" t="s">
        <v>267</v>
      </c>
      <c r="D7" s="17"/>
      <c r="E7" s="2"/>
      <c r="F7" s="2"/>
      <c r="G7" s="2"/>
      <c r="H7" s="2"/>
      <c r="I7" s="14"/>
      <c r="J7" s="55"/>
      <c r="K7" s="55"/>
      <c r="L7" s="55"/>
      <c r="M7" s="55"/>
      <c r="N7" s="55"/>
      <c r="O7" s="55"/>
      <c r="P7" s="55"/>
      <c r="Q7" s="55"/>
      <c r="R7" s="55"/>
      <c r="S7" s="55"/>
      <c r="T7" s="55"/>
      <c r="U7" s="96"/>
      <c r="V7" s="55"/>
      <c r="W7" s="55"/>
      <c r="X7" s="55"/>
      <c r="Y7" s="55"/>
      <c r="Z7" s="55"/>
      <c r="AA7" s="55"/>
      <c r="AB7" s="55"/>
      <c r="AC7" s="55"/>
      <c r="AD7" s="55"/>
      <c r="AE7" s="55"/>
      <c r="AF7" s="55"/>
      <c r="AG7" s="102"/>
      <c r="AH7" s="91"/>
      <c r="AI7" s="91"/>
      <c r="AJ7" s="91"/>
      <c r="AK7" s="55"/>
      <c r="AL7" s="55"/>
      <c r="AM7" s="55"/>
      <c r="AN7" s="55"/>
      <c r="AO7" s="55"/>
      <c r="AP7" s="55"/>
      <c r="AQ7" s="55"/>
      <c r="AR7" s="55"/>
      <c r="AS7" s="108">
        <f>'Plan Moyen Terme (PMT)'!E4-BAU_Liquidité_Dynamique!AS4</f>
        <v>229.86211599999996</v>
      </c>
      <c r="AT7" s="126">
        <f>IF(AND(AS1&lt;AT$1, AT$1&lt;=$F4),$AS$7*($F$4-AT1)/($F$4-$AS1),0)</f>
        <v>220.2845278333333</v>
      </c>
      <c r="AU7" s="126">
        <f t="shared" ref="AU7:BQ7" si="4">IF(AND(AT1&lt;AU$1, AU$1&lt;=$F4),$AS$7*($F$4-AU1)/($F$4-$AS1),0)</f>
        <v>210.70693966666661</v>
      </c>
      <c r="AV7" s="126">
        <f t="shared" si="4"/>
        <v>201.12935149999996</v>
      </c>
      <c r="AW7" s="126">
        <f t="shared" si="4"/>
        <v>191.5517633333333</v>
      </c>
      <c r="AX7" s="126">
        <f t="shared" si="4"/>
        <v>181.97417516666664</v>
      </c>
      <c r="AY7" s="126">
        <f t="shared" si="4"/>
        <v>172.39658699999995</v>
      </c>
      <c r="AZ7" s="126">
        <f t="shared" si="4"/>
        <v>162.8189988333333</v>
      </c>
      <c r="BA7" s="126">
        <f t="shared" si="4"/>
        <v>153.24141066666664</v>
      </c>
      <c r="BB7" s="126">
        <f t="shared" si="4"/>
        <v>143.66382249999998</v>
      </c>
      <c r="BC7" s="126">
        <f t="shared" si="4"/>
        <v>134.08623433333329</v>
      </c>
      <c r="BD7" s="126">
        <f t="shared" si="4"/>
        <v>124.50864616666665</v>
      </c>
      <c r="BE7" s="126">
        <f t="shared" si="4"/>
        <v>114.93105799999996</v>
      </c>
      <c r="BF7" s="126">
        <f t="shared" si="4"/>
        <v>105.35346983333331</v>
      </c>
      <c r="BG7" s="126">
        <f t="shared" si="4"/>
        <v>95.775881666666649</v>
      </c>
      <c r="BH7" s="126">
        <f t="shared" si="4"/>
        <v>86.198293499999977</v>
      </c>
      <c r="BI7" s="126">
        <f t="shared" si="4"/>
        <v>76.620705333333319</v>
      </c>
      <c r="BJ7" s="126">
        <f t="shared" si="4"/>
        <v>67.043117166666647</v>
      </c>
      <c r="BK7" s="126">
        <f t="shared" si="4"/>
        <v>57.465528999999982</v>
      </c>
      <c r="BL7" s="126">
        <f t="shared" si="4"/>
        <v>47.887940833333325</v>
      </c>
      <c r="BM7" s="126">
        <f t="shared" si="4"/>
        <v>38.31035266666666</v>
      </c>
      <c r="BN7" s="126">
        <f t="shared" si="4"/>
        <v>28.732764499999991</v>
      </c>
      <c r="BO7" s="126">
        <f t="shared" si="4"/>
        <v>19.15517633333333</v>
      </c>
      <c r="BP7" s="126">
        <f t="shared" si="4"/>
        <v>9.5775881666666649</v>
      </c>
      <c r="BQ7" s="126">
        <f t="shared" si="4"/>
        <v>0</v>
      </c>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row>
    <row r="8" spans="1:129" x14ac:dyDescent="0.45">
      <c r="A8" s="3">
        <v>46022</v>
      </c>
      <c r="B8" s="2" t="s">
        <v>0</v>
      </c>
      <c r="C8" s="6" t="s">
        <v>3</v>
      </c>
      <c r="D8" s="17">
        <v>4.05726874893458E-4</v>
      </c>
      <c r="E8" s="2" t="s">
        <v>43</v>
      </c>
      <c r="F8" s="2">
        <v>120</v>
      </c>
      <c r="G8" s="2" t="s">
        <v>47</v>
      </c>
      <c r="H8" s="2">
        <v>120</v>
      </c>
      <c r="I8" s="14">
        <v>1214.53712</v>
      </c>
      <c r="J8" s="55">
        <f>IF(J$1&lt;$F8,$I8*(($F8-J$1)/$F8),0)</f>
        <v>1204.4159773333333</v>
      </c>
      <c r="K8" s="55">
        <f t="shared" si="0"/>
        <v>1194.2948346666665</v>
      </c>
      <c r="L8" s="55">
        <f t="shared" si="0"/>
        <v>1184.1736919999998</v>
      </c>
      <c r="M8" s="55">
        <f t="shared" si="0"/>
        <v>1174.0525493333332</v>
      </c>
      <c r="N8" s="55">
        <f t="shared" si="0"/>
        <v>1163.9314066666666</v>
      </c>
      <c r="O8" s="55">
        <f t="shared" si="0"/>
        <v>1153.810264</v>
      </c>
      <c r="P8" s="55">
        <f t="shared" si="0"/>
        <v>1143.6891213333333</v>
      </c>
      <c r="Q8" s="55">
        <f t="shared" si="0"/>
        <v>1133.5679786666667</v>
      </c>
      <c r="R8" s="55">
        <f t="shared" si="0"/>
        <v>1123.4468360000001</v>
      </c>
      <c r="S8" s="55">
        <f t="shared" si="0"/>
        <v>1113.3256933333332</v>
      </c>
      <c r="T8" s="55">
        <f t="shared" si="0"/>
        <v>1103.2045506666666</v>
      </c>
      <c r="U8" s="96">
        <f t="shared" si="0"/>
        <v>1093.083408</v>
      </c>
      <c r="V8" s="55">
        <f t="shared" si="0"/>
        <v>1082.9622653333333</v>
      </c>
      <c r="W8" s="55">
        <f t="shared" si="0"/>
        <v>1072.8411226666667</v>
      </c>
      <c r="X8" s="55">
        <f t="shared" si="0"/>
        <v>1062.7199799999999</v>
      </c>
      <c r="Y8" s="55">
        <f t="shared" si="0"/>
        <v>1052.5988373333332</v>
      </c>
      <c r="Z8" s="55">
        <f t="shared" si="0"/>
        <v>1042.4776946666666</v>
      </c>
      <c r="AA8" s="55">
        <f t="shared" si="0"/>
        <v>1032.356552</v>
      </c>
      <c r="AB8" s="55">
        <f t="shared" si="0"/>
        <v>1022.2354093333333</v>
      </c>
      <c r="AC8" s="55">
        <f t="shared" si="0"/>
        <v>1012.1142666666667</v>
      </c>
      <c r="AD8" s="55">
        <f t="shared" si="0"/>
        <v>1001.993124</v>
      </c>
      <c r="AE8" s="55">
        <f t="shared" si="0"/>
        <v>991.87198133333334</v>
      </c>
      <c r="AF8" s="55">
        <f t="shared" si="0"/>
        <v>981.7508386666666</v>
      </c>
      <c r="AG8" s="102">
        <f t="shared" si="0"/>
        <v>971.62969599999997</v>
      </c>
      <c r="AH8" s="55">
        <f t="shared" si="0"/>
        <v>961.50855333333323</v>
      </c>
      <c r="AI8" s="55">
        <f t="shared" si="0"/>
        <v>951.3874106666666</v>
      </c>
      <c r="AJ8" s="55">
        <f t="shared" si="0"/>
        <v>941.26626799999997</v>
      </c>
      <c r="AK8" s="55">
        <f t="shared" si="0"/>
        <v>931.14512533333334</v>
      </c>
      <c r="AL8" s="55">
        <f t="shared" si="0"/>
        <v>921.0239826666666</v>
      </c>
      <c r="AM8" s="55">
        <f t="shared" si="0"/>
        <v>910.90283999999997</v>
      </c>
      <c r="AN8" s="55">
        <f t="shared" si="0"/>
        <v>900.78169733333334</v>
      </c>
      <c r="AO8" s="55">
        <f t="shared" si="0"/>
        <v>890.6605546666666</v>
      </c>
      <c r="AP8" s="55">
        <f t="shared" si="0"/>
        <v>880.53941199999997</v>
      </c>
      <c r="AQ8" s="55">
        <f t="shared" si="0"/>
        <v>870.41826933333334</v>
      </c>
      <c r="AR8" s="55">
        <f t="shared" si="0"/>
        <v>860.29712666666671</v>
      </c>
      <c r="AS8" s="108">
        <f t="shared" si="0"/>
        <v>850.17598399999997</v>
      </c>
      <c r="AT8" s="55">
        <f t="shared" si="0"/>
        <v>840.05484133333334</v>
      </c>
      <c r="AU8" s="55">
        <f t="shared" si="0"/>
        <v>829.9336986666666</v>
      </c>
      <c r="AV8" s="55">
        <f t="shared" si="0"/>
        <v>819.81255599999997</v>
      </c>
      <c r="AW8" s="55">
        <f t="shared" si="0"/>
        <v>809.69141333333323</v>
      </c>
      <c r="AX8" s="55">
        <f t="shared" si="0"/>
        <v>799.5702706666666</v>
      </c>
      <c r="AY8" s="55">
        <f t="shared" si="0"/>
        <v>789.44912799999997</v>
      </c>
      <c r="AZ8" s="55">
        <f t="shared" si="0"/>
        <v>779.32798533333334</v>
      </c>
      <c r="BA8" s="55">
        <f t="shared" si="0"/>
        <v>769.2068426666666</v>
      </c>
      <c r="BB8" s="55">
        <f t="shared" si="0"/>
        <v>759.08569999999997</v>
      </c>
      <c r="BC8" s="55">
        <f t="shared" si="0"/>
        <v>748.96455733333335</v>
      </c>
      <c r="BD8" s="55">
        <f t="shared" si="0"/>
        <v>738.8434146666666</v>
      </c>
      <c r="BE8" s="55">
        <f t="shared" si="0"/>
        <v>728.72227199999998</v>
      </c>
      <c r="BF8" s="55">
        <f t="shared" si="0"/>
        <v>718.60112933333335</v>
      </c>
      <c r="BG8" s="55">
        <f t="shared" si="0"/>
        <v>708.47998666666672</v>
      </c>
      <c r="BH8" s="55">
        <f t="shared" si="0"/>
        <v>698.35884399999998</v>
      </c>
      <c r="BI8" s="55">
        <f t="shared" si="0"/>
        <v>688.23770133333335</v>
      </c>
      <c r="BJ8" s="55">
        <f t="shared" si="0"/>
        <v>678.11655866666661</v>
      </c>
      <c r="BK8" s="55">
        <f t="shared" si="0"/>
        <v>667.99541599999998</v>
      </c>
      <c r="BL8" s="55">
        <f t="shared" si="0"/>
        <v>657.87427333333324</v>
      </c>
      <c r="BM8" s="55">
        <f t="shared" si="0"/>
        <v>647.75313066666661</v>
      </c>
      <c r="BN8" s="55">
        <f t="shared" si="0"/>
        <v>637.63198799999998</v>
      </c>
      <c r="BO8" s="55">
        <f t="shared" si="0"/>
        <v>627.51084533333335</v>
      </c>
      <c r="BP8" s="55">
        <f t="shared" si="0"/>
        <v>617.38970266666661</v>
      </c>
      <c r="BQ8" s="55">
        <f t="shared" si="0"/>
        <v>607.26855999999998</v>
      </c>
      <c r="BR8" s="55">
        <f t="shared" si="0"/>
        <v>597.14741733333324</v>
      </c>
      <c r="BS8" s="55">
        <f t="shared" si="0"/>
        <v>587.02627466666661</v>
      </c>
      <c r="BT8" s="55">
        <f t="shared" si="0"/>
        <v>576.90513199999998</v>
      </c>
      <c r="BU8" s="55">
        <f t="shared" si="0"/>
        <v>566.78398933333335</v>
      </c>
      <c r="BV8" s="55">
        <f t="shared" si="0"/>
        <v>556.66284666666661</v>
      </c>
      <c r="BW8" s="55">
        <f t="shared" si="1"/>
        <v>546.54170399999998</v>
      </c>
      <c r="BX8" s="55">
        <f t="shared" si="1"/>
        <v>536.42056133333335</v>
      </c>
      <c r="BY8" s="55">
        <f t="shared" si="1"/>
        <v>526.29941866666661</v>
      </c>
      <c r="BZ8" s="55">
        <f t="shared" si="1"/>
        <v>516.17827599999998</v>
      </c>
      <c r="CA8" s="55">
        <f t="shared" si="1"/>
        <v>506.05713333333335</v>
      </c>
      <c r="CB8" s="55">
        <f t="shared" si="1"/>
        <v>495.93599066666667</v>
      </c>
      <c r="CC8" s="55">
        <f t="shared" si="1"/>
        <v>485.81484799999998</v>
      </c>
      <c r="CD8" s="55">
        <f t="shared" si="1"/>
        <v>475.6937053333333</v>
      </c>
      <c r="CE8" s="55">
        <f t="shared" si="1"/>
        <v>465.57256266666667</v>
      </c>
      <c r="CF8" s="55">
        <f t="shared" si="1"/>
        <v>455.45141999999998</v>
      </c>
      <c r="CG8" s="55">
        <f t="shared" si="1"/>
        <v>445.3302773333333</v>
      </c>
      <c r="CH8" s="55">
        <f t="shared" si="1"/>
        <v>435.20913466666667</v>
      </c>
      <c r="CI8" s="55">
        <f t="shared" si="1"/>
        <v>425.08799199999999</v>
      </c>
      <c r="CJ8" s="55">
        <f t="shared" si="1"/>
        <v>414.9668493333333</v>
      </c>
      <c r="CK8" s="55">
        <f t="shared" si="1"/>
        <v>404.84570666666662</v>
      </c>
      <c r="CL8" s="55">
        <f t="shared" si="1"/>
        <v>394.72456399999999</v>
      </c>
      <c r="CM8" s="55">
        <f t="shared" si="1"/>
        <v>384.6034213333333</v>
      </c>
      <c r="CN8" s="55">
        <f t="shared" si="1"/>
        <v>374.48227866666667</v>
      </c>
      <c r="CO8" s="55">
        <f t="shared" si="1"/>
        <v>364.36113599999999</v>
      </c>
      <c r="CP8" s="55">
        <f t="shared" si="1"/>
        <v>354.23999333333336</v>
      </c>
      <c r="CQ8" s="55">
        <f t="shared" si="1"/>
        <v>344.11885066666667</v>
      </c>
      <c r="CR8" s="55">
        <f t="shared" si="1"/>
        <v>333.99770799999999</v>
      </c>
      <c r="CS8" s="55">
        <f t="shared" si="1"/>
        <v>323.8765653333333</v>
      </c>
      <c r="CT8" s="55">
        <f t="shared" si="1"/>
        <v>313.75542266666668</v>
      </c>
      <c r="CU8" s="55">
        <f t="shared" si="1"/>
        <v>303.63427999999999</v>
      </c>
      <c r="CV8" s="55">
        <f t="shared" si="1"/>
        <v>293.5131373333333</v>
      </c>
      <c r="CW8" s="55">
        <f t="shared" si="1"/>
        <v>283.39199466666668</v>
      </c>
      <c r="CX8" s="55">
        <f t="shared" si="1"/>
        <v>273.27085199999999</v>
      </c>
      <c r="CY8" s="55">
        <f t="shared" si="1"/>
        <v>263.14970933333331</v>
      </c>
      <c r="CZ8" s="55">
        <f t="shared" si="1"/>
        <v>253.02856666666668</v>
      </c>
      <c r="DA8" s="55">
        <f t="shared" si="1"/>
        <v>242.90742399999999</v>
      </c>
      <c r="DB8" s="55">
        <f t="shared" si="1"/>
        <v>232.78628133333333</v>
      </c>
      <c r="DC8" s="55">
        <f t="shared" si="1"/>
        <v>222.66513866666665</v>
      </c>
      <c r="DD8" s="55">
        <f t="shared" si="1"/>
        <v>212.54399599999999</v>
      </c>
      <c r="DE8" s="55">
        <f t="shared" si="1"/>
        <v>202.42285333333331</v>
      </c>
      <c r="DF8" s="55">
        <f t="shared" si="1"/>
        <v>192.30171066666665</v>
      </c>
      <c r="DG8" s="55">
        <f t="shared" si="1"/>
        <v>182.18056799999999</v>
      </c>
      <c r="DH8" s="55">
        <f t="shared" si="1"/>
        <v>172.05942533333334</v>
      </c>
      <c r="DI8" s="55">
        <f t="shared" si="1"/>
        <v>161.93828266666665</v>
      </c>
      <c r="DJ8" s="55">
        <f t="shared" si="1"/>
        <v>151.81713999999999</v>
      </c>
      <c r="DK8" s="55">
        <f t="shared" si="1"/>
        <v>141.69599733333334</v>
      </c>
      <c r="DL8" s="55">
        <f t="shared" si="1"/>
        <v>131.57485466666665</v>
      </c>
      <c r="DM8" s="55">
        <f t="shared" si="1"/>
        <v>121.453712</v>
      </c>
      <c r="DN8" s="55">
        <f t="shared" si="1"/>
        <v>111.33256933333332</v>
      </c>
      <c r="DO8" s="55">
        <f t="shared" si="1"/>
        <v>101.21142666666665</v>
      </c>
      <c r="DP8" s="55">
        <f t="shared" si="1"/>
        <v>91.090283999999997</v>
      </c>
      <c r="DQ8" s="55">
        <f t="shared" si="1"/>
        <v>80.969141333333326</v>
      </c>
      <c r="DR8" s="55">
        <f t="shared" si="1"/>
        <v>70.847998666666669</v>
      </c>
      <c r="DS8" s="55">
        <f t="shared" si="1"/>
        <v>60.726855999999998</v>
      </c>
      <c r="DT8" s="55">
        <f t="shared" si="1"/>
        <v>50.605713333333327</v>
      </c>
      <c r="DU8" s="55">
        <f t="shared" si="1"/>
        <v>40.484570666666663</v>
      </c>
      <c r="DV8" s="55">
        <f t="shared" si="1"/>
        <v>30.363427999999999</v>
      </c>
      <c r="DW8" s="55">
        <f t="shared" si="1"/>
        <v>20.242285333333331</v>
      </c>
      <c r="DX8" s="55">
        <f t="shared" si="1"/>
        <v>10.121142666666666</v>
      </c>
      <c r="DY8" s="55">
        <f t="shared" si="1"/>
        <v>0</v>
      </c>
    </row>
    <row r="9" spans="1:129" x14ac:dyDescent="0.45">
      <c r="A9" s="3"/>
      <c r="B9" s="2"/>
      <c r="C9" s="121" t="s">
        <v>265</v>
      </c>
      <c r="D9" s="17"/>
      <c r="E9" s="2"/>
      <c r="F9" s="2"/>
      <c r="G9" s="2"/>
      <c r="H9" s="2"/>
      <c r="I9" s="14"/>
      <c r="J9" s="55"/>
      <c r="K9" s="55"/>
      <c r="L9" s="55"/>
      <c r="M9" s="55"/>
      <c r="N9" s="55"/>
      <c r="O9" s="55"/>
      <c r="P9" s="55"/>
      <c r="Q9" s="55"/>
      <c r="R9" s="55"/>
      <c r="S9" s="55"/>
      <c r="T9" s="55"/>
      <c r="U9" s="119">
        <f>'Plan Moyen Terme (PMT)'!C5-BAU_Liquidité_Dynamique!U8</f>
        <v>175.23103200000014</v>
      </c>
      <c r="V9" s="120">
        <f>IF(AND(U1&lt;V$1, V$1&lt;=$F8),$U9*($F8-V$1)/($F8-$U$1),0)</f>
        <v>173.60852244444456</v>
      </c>
      <c r="W9" s="120">
        <f t="shared" ref="W9:CH9" si="5">IF(AND(V1&lt;W$1, W$1&lt;=$F8),$U9*($F8-W$1)/($F8-$U$1),0)</f>
        <v>171.98601288888901</v>
      </c>
      <c r="X9" s="120">
        <f t="shared" si="5"/>
        <v>170.36350333333345</v>
      </c>
      <c r="Y9" s="120">
        <f t="shared" si="5"/>
        <v>168.7409937777779</v>
      </c>
      <c r="Z9" s="120">
        <f t="shared" si="5"/>
        <v>167.11848422222235</v>
      </c>
      <c r="AA9" s="120">
        <f t="shared" si="5"/>
        <v>165.4959746666668</v>
      </c>
      <c r="AB9" s="120">
        <f t="shared" si="5"/>
        <v>163.87346511111124</v>
      </c>
      <c r="AC9" s="120">
        <f t="shared" si="5"/>
        <v>162.25095555555566</v>
      </c>
      <c r="AD9" s="120">
        <f t="shared" si="5"/>
        <v>160.62844600000011</v>
      </c>
      <c r="AE9" s="120">
        <f t="shared" si="5"/>
        <v>159.00593644444456</v>
      </c>
      <c r="AF9" s="120">
        <f t="shared" si="5"/>
        <v>157.38342688888901</v>
      </c>
      <c r="AG9" s="120">
        <f t="shared" si="5"/>
        <v>155.76091733333345</v>
      </c>
      <c r="AH9" s="120">
        <f t="shared" si="5"/>
        <v>154.1384077777779</v>
      </c>
      <c r="AI9" s="120">
        <f t="shared" si="5"/>
        <v>152.51589822222235</v>
      </c>
      <c r="AJ9" s="120">
        <f t="shared" si="5"/>
        <v>150.89338866666679</v>
      </c>
      <c r="AK9" s="120">
        <f t="shared" si="5"/>
        <v>149.27087911111124</v>
      </c>
      <c r="AL9" s="120">
        <f t="shared" si="5"/>
        <v>147.64836955555569</v>
      </c>
      <c r="AM9" s="120">
        <f t="shared" si="5"/>
        <v>146.02586000000011</v>
      </c>
      <c r="AN9" s="120">
        <f t="shared" si="5"/>
        <v>144.40335044444456</v>
      </c>
      <c r="AO9" s="120">
        <f t="shared" si="5"/>
        <v>142.780840888889</v>
      </c>
      <c r="AP9" s="120">
        <f t="shared" si="5"/>
        <v>141.15833133333345</v>
      </c>
      <c r="AQ9" s="120">
        <f t="shared" si="5"/>
        <v>139.5358217777779</v>
      </c>
      <c r="AR9" s="120">
        <f t="shared" si="5"/>
        <v>137.91331222222232</v>
      </c>
      <c r="AS9" s="120">
        <f t="shared" si="5"/>
        <v>136.29080266666676</v>
      </c>
      <c r="AT9" s="120">
        <f t="shared" si="5"/>
        <v>134.66829311111121</v>
      </c>
      <c r="AU9" s="120">
        <f t="shared" si="5"/>
        <v>133.04578355555566</v>
      </c>
      <c r="AV9" s="120">
        <f t="shared" si="5"/>
        <v>131.42327400000011</v>
      </c>
      <c r="AW9" s="120">
        <f t="shared" si="5"/>
        <v>129.80076444444455</v>
      </c>
      <c r="AX9" s="120">
        <f t="shared" si="5"/>
        <v>128.178254888889</v>
      </c>
      <c r="AY9" s="120">
        <f t="shared" si="5"/>
        <v>126.55574533333345</v>
      </c>
      <c r="AZ9" s="120">
        <f t="shared" si="5"/>
        <v>124.93323577777788</v>
      </c>
      <c r="BA9" s="120">
        <f t="shared" si="5"/>
        <v>123.31072622222233</v>
      </c>
      <c r="BB9" s="120">
        <f t="shared" si="5"/>
        <v>121.68821666666678</v>
      </c>
      <c r="BC9" s="120">
        <f t="shared" si="5"/>
        <v>120.06570711111119</v>
      </c>
      <c r="BD9" s="120">
        <f t="shared" si="5"/>
        <v>118.44319755555564</v>
      </c>
      <c r="BE9" s="120">
        <f t="shared" si="5"/>
        <v>116.82068800000009</v>
      </c>
      <c r="BF9" s="120">
        <f t="shared" si="5"/>
        <v>115.19817844444454</v>
      </c>
      <c r="BG9" s="120">
        <f t="shared" si="5"/>
        <v>113.57566888888898</v>
      </c>
      <c r="BH9" s="120">
        <f t="shared" si="5"/>
        <v>111.95315933333342</v>
      </c>
      <c r="BI9" s="120">
        <f t="shared" si="5"/>
        <v>110.33064977777786</v>
      </c>
      <c r="BJ9" s="120">
        <f t="shared" si="5"/>
        <v>108.70814022222231</v>
      </c>
      <c r="BK9" s="120">
        <f t="shared" si="5"/>
        <v>107.08563066666675</v>
      </c>
      <c r="BL9" s="120">
        <f t="shared" si="5"/>
        <v>105.46312111111119</v>
      </c>
      <c r="BM9" s="120">
        <f t="shared" si="5"/>
        <v>103.84061155555564</v>
      </c>
      <c r="BN9" s="120">
        <f t="shared" si="5"/>
        <v>102.21810200000009</v>
      </c>
      <c r="BO9" s="120">
        <f t="shared" si="5"/>
        <v>100.59559244444453</v>
      </c>
      <c r="BP9" s="120">
        <f t="shared" si="5"/>
        <v>98.973082888888968</v>
      </c>
      <c r="BQ9" s="120">
        <f t="shared" si="5"/>
        <v>97.350573333333415</v>
      </c>
      <c r="BR9" s="120">
        <f t="shared" si="5"/>
        <v>95.728063777777862</v>
      </c>
      <c r="BS9" s="120">
        <f t="shared" si="5"/>
        <v>94.105554222222295</v>
      </c>
      <c r="BT9" s="120">
        <f t="shared" si="5"/>
        <v>92.483044666666743</v>
      </c>
      <c r="BU9" s="120">
        <f t="shared" si="5"/>
        <v>90.86053511111119</v>
      </c>
      <c r="BV9" s="120">
        <f t="shared" si="5"/>
        <v>89.238025555555637</v>
      </c>
      <c r="BW9" s="120">
        <f t="shared" si="5"/>
        <v>87.615516000000085</v>
      </c>
      <c r="BX9" s="120">
        <f t="shared" si="5"/>
        <v>85.993006444444504</v>
      </c>
      <c r="BY9" s="120">
        <f t="shared" si="5"/>
        <v>84.370496888888951</v>
      </c>
      <c r="BZ9" s="120">
        <f t="shared" si="5"/>
        <v>82.747987333333398</v>
      </c>
      <c r="CA9" s="120">
        <f t="shared" si="5"/>
        <v>81.125477777777832</v>
      </c>
      <c r="CB9" s="120">
        <f t="shared" si="5"/>
        <v>79.502968222222279</v>
      </c>
      <c r="CC9" s="120">
        <f t="shared" si="5"/>
        <v>77.880458666666726</v>
      </c>
      <c r="CD9" s="120">
        <f t="shared" si="5"/>
        <v>76.257949111111174</v>
      </c>
      <c r="CE9" s="120">
        <f t="shared" si="5"/>
        <v>74.635439555555621</v>
      </c>
      <c r="CF9" s="120">
        <f t="shared" si="5"/>
        <v>73.012930000000054</v>
      </c>
      <c r="CG9" s="120">
        <f t="shared" si="5"/>
        <v>71.390420444444501</v>
      </c>
      <c r="CH9" s="120">
        <f t="shared" si="5"/>
        <v>69.767910888888949</v>
      </c>
      <c r="CI9" s="120">
        <f t="shared" ref="CI9:DY9" si="6">IF(AND(CH1&lt;CI$1, CI$1&lt;=$F8),$U9*($F8-CI$1)/($F8-$U$1),0)</f>
        <v>68.145401333333382</v>
      </c>
      <c r="CJ9" s="120">
        <f t="shared" si="6"/>
        <v>66.522891777777829</v>
      </c>
      <c r="CK9" s="120">
        <f t="shared" si="6"/>
        <v>64.900382222222277</v>
      </c>
      <c r="CL9" s="120">
        <f t="shared" si="6"/>
        <v>63.277872666666724</v>
      </c>
      <c r="CM9" s="120">
        <f t="shared" si="6"/>
        <v>61.655363111111164</v>
      </c>
      <c r="CN9" s="120">
        <f t="shared" si="6"/>
        <v>60.032853555555597</v>
      </c>
      <c r="CO9" s="120">
        <f t="shared" si="6"/>
        <v>58.410344000000045</v>
      </c>
      <c r="CP9" s="120">
        <f t="shared" si="6"/>
        <v>56.787834444444492</v>
      </c>
      <c r="CQ9" s="120">
        <f t="shared" si="6"/>
        <v>55.165324888888932</v>
      </c>
      <c r="CR9" s="120">
        <f t="shared" si="6"/>
        <v>53.542815333333373</v>
      </c>
      <c r="CS9" s="120">
        <f t="shared" si="6"/>
        <v>51.92030577777782</v>
      </c>
      <c r="CT9" s="120">
        <f t="shared" si="6"/>
        <v>50.297796222222267</v>
      </c>
      <c r="CU9" s="120">
        <f t="shared" si="6"/>
        <v>48.675286666666707</v>
      </c>
      <c r="CV9" s="120">
        <f t="shared" si="6"/>
        <v>47.052777111111148</v>
      </c>
      <c r="CW9" s="120">
        <f t="shared" si="6"/>
        <v>45.430267555555595</v>
      </c>
      <c r="CX9" s="120">
        <f t="shared" si="6"/>
        <v>43.807758000000042</v>
      </c>
      <c r="CY9" s="120">
        <f t="shared" si="6"/>
        <v>42.185248444444476</v>
      </c>
      <c r="CZ9" s="120">
        <f t="shared" si="6"/>
        <v>40.562738888888916</v>
      </c>
      <c r="DA9" s="120">
        <f t="shared" si="6"/>
        <v>38.940229333333363</v>
      </c>
      <c r="DB9" s="120">
        <f t="shared" si="6"/>
        <v>37.31771977777781</v>
      </c>
      <c r="DC9" s="120">
        <f t="shared" si="6"/>
        <v>35.695210222222251</v>
      </c>
      <c r="DD9" s="120">
        <f t="shared" si="6"/>
        <v>34.072700666666691</v>
      </c>
      <c r="DE9" s="120">
        <f t="shared" si="6"/>
        <v>32.450191111111138</v>
      </c>
      <c r="DF9" s="120">
        <f t="shared" si="6"/>
        <v>30.827681555555582</v>
      </c>
      <c r="DG9" s="120">
        <f t="shared" si="6"/>
        <v>29.205172000000022</v>
      </c>
      <c r="DH9" s="120">
        <f t="shared" si="6"/>
        <v>27.582662444444466</v>
      </c>
      <c r="DI9" s="120">
        <f t="shared" si="6"/>
        <v>25.96015288888891</v>
      </c>
      <c r="DJ9" s="120">
        <f t="shared" si="6"/>
        <v>24.337643333333354</v>
      </c>
      <c r="DK9" s="120">
        <f t="shared" si="6"/>
        <v>22.715133777777798</v>
      </c>
      <c r="DL9" s="120">
        <f t="shared" si="6"/>
        <v>21.092624222222238</v>
      </c>
      <c r="DM9" s="120">
        <f t="shared" si="6"/>
        <v>19.470114666666682</v>
      </c>
      <c r="DN9" s="120">
        <f t="shared" si="6"/>
        <v>17.847605111111125</v>
      </c>
      <c r="DO9" s="120">
        <f t="shared" si="6"/>
        <v>16.225095555555569</v>
      </c>
      <c r="DP9" s="120">
        <f t="shared" si="6"/>
        <v>14.602586000000011</v>
      </c>
      <c r="DQ9" s="120">
        <f t="shared" si="6"/>
        <v>12.980076444444455</v>
      </c>
      <c r="DR9" s="120">
        <f t="shared" si="6"/>
        <v>11.357566888888899</v>
      </c>
      <c r="DS9" s="120">
        <f t="shared" si="6"/>
        <v>9.7350573333333408</v>
      </c>
      <c r="DT9" s="120">
        <f t="shared" si="6"/>
        <v>8.1125477777777846</v>
      </c>
      <c r="DU9" s="120">
        <f t="shared" si="6"/>
        <v>6.4900382222222275</v>
      </c>
      <c r="DV9" s="120">
        <f t="shared" si="6"/>
        <v>4.8675286666666704</v>
      </c>
      <c r="DW9" s="120">
        <f t="shared" si="6"/>
        <v>3.2450191111111137</v>
      </c>
      <c r="DX9" s="120">
        <f t="shared" si="6"/>
        <v>1.6225095555555569</v>
      </c>
      <c r="DY9" s="120">
        <f t="shared" si="6"/>
        <v>0</v>
      </c>
    </row>
    <row r="10" spans="1:129" x14ac:dyDescent="0.45">
      <c r="A10" s="3"/>
      <c r="B10" s="2"/>
      <c r="C10" s="122" t="s">
        <v>266</v>
      </c>
      <c r="D10" s="17"/>
      <c r="E10" s="2"/>
      <c r="F10" s="2"/>
      <c r="G10" s="2"/>
      <c r="H10" s="2"/>
      <c r="I10" s="14"/>
      <c r="J10" s="55"/>
      <c r="K10" s="55"/>
      <c r="L10" s="55"/>
      <c r="M10" s="55"/>
      <c r="N10" s="55"/>
      <c r="O10" s="55"/>
      <c r="P10" s="55"/>
      <c r="Q10" s="55"/>
      <c r="R10" s="55"/>
      <c r="S10" s="55"/>
      <c r="T10" s="55"/>
      <c r="U10" s="95"/>
      <c r="V10" s="91"/>
      <c r="W10" s="91"/>
      <c r="X10" s="91"/>
      <c r="Y10" s="91"/>
      <c r="Z10" s="55"/>
      <c r="AA10" s="55"/>
      <c r="AB10" s="55"/>
      <c r="AC10" s="55"/>
      <c r="AD10" s="55"/>
      <c r="AE10" s="55"/>
      <c r="AF10" s="55"/>
      <c r="AG10" s="123">
        <f>'Plan Moyen Terme (PMT)'!D5-BAU_Liquidité_Dynamique!AG8</f>
        <v>6047.370304</v>
      </c>
      <c r="AH10" s="124">
        <f>IF(AND(AG1&lt;AH$1, AH$1&lt;=$F8),$AG10*($F8-AH$1)/($F8-$AG$1),0)</f>
        <v>5984.3768633333339</v>
      </c>
      <c r="AI10" s="124">
        <f t="shared" ref="AI10:CT10" si="7">IF(AND(AH1&lt;AI$1, AI$1&lt;=$F8),$AG10*($F8-AI$1)/($F8-$AG$1),0)</f>
        <v>5921.3834226666668</v>
      </c>
      <c r="AJ10" s="124">
        <f t="shared" si="7"/>
        <v>5858.3899820000006</v>
      </c>
      <c r="AK10" s="124">
        <f t="shared" si="7"/>
        <v>5795.3965413333326</v>
      </c>
      <c r="AL10" s="124">
        <f t="shared" si="7"/>
        <v>5732.4031006666664</v>
      </c>
      <c r="AM10" s="124">
        <f t="shared" si="7"/>
        <v>5669.4096600000003</v>
      </c>
      <c r="AN10" s="124">
        <f t="shared" si="7"/>
        <v>5606.4162193333332</v>
      </c>
      <c r="AO10" s="124">
        <f t="shared" si="7"/>
        <v>5543.422778666667</v>
      </c>
      <c r="AP10" s="124">
        <f t="shared" si="7"/>
        <v>5480.4293380000008</v>
      </c>
      <c r="AQ10" s="124">
        <f t="shared" si="7"/>
        <v>5417.4358973333337</v>
      </c>
      <c r="AR10" s="124">
        <f t="shared" si="7"/>
        <v>5354.4424566666667</v>
      </c>
      <c r="AS10" s="124">
        <f t="shared" si="7"/>
        <v>5291.4490159999996</v>
      </c>
      <c r="AT10" s="124">
        <f t="shared" si="7"/>
        <v>5228.4555753333334</v>
      </c>
      <c r="AU10" s="124">
        <f t="shared" si="7"/>
        <v>5165.4621346666672</v>
      </c>
      <c r="AV10" s="124">
        <f t="shared" si="7"/>
        <v>5102.4686940000001</v>
      </c>
      <c r="AW10" s="124">
        <f t="shared" si="7"/>
        <v>5039.4752533333331</v>
      </c>
      <c r="AX10" s="124">
        <f t="shared" si="7"/>
        <v>4976.4818126666669</v>
      </c>
      <c r="AY10" s="124">
        <f t="shared" si="7"/>
        <v>4913.4883719999998</v>
      </c>
      <c r="AZ10" s="124">
        <f t="shared" si="7"/>
        <v>4850.4949313333336</v>
      </c>
      <c r="BA10" s="124">
        <f t="shared" si="7"/>
        <v>4787.5014906666665</v>
      </c>
      <c r="BB10" s="124">
        <f t="shared" si="7"/>
        <v>4724.5080499999995</v>
      </c>
      <c r="BC10" s="124">
        <f t="shared" si="7"/>
        <v>4661.5146093333333</v>
      </c>
      <c r="BD10" s="124">
        <f t="shared" si="7"/>
        <v>4598.5211686666671</v>
      </c>
      <c r="BE10" s="124">
        <f t="shared" si="7"/>
        <v>4535.527728</v>
      </c>
      <c r="BF10" s="124">
        <f t="shared" si="7"/>
        <v>4472.5342873333329</v>
      </c>
      <c r="BG10" s="124">
        <f t="shared" si="7"/>
        <v>4409.5408466666668</v>
      </c>
      <c r="BH10" s="124">
        <f t="shared" si="7"/>
        <v>4346.5474060000006</v>
      </c>
      <c r="BI10" s="124">
        <f t="shared" si="7"/>
        <v>4283.5539653333335</v>
      </c>
      <c r="BJ10" s="124">
        <f t="shared" si="7"/>
        <v>4220.5605246666664</v>
      </c>
      <c r="BK10" s="124">
        <f t="shared" si="7"/>
        <v>4157.5670840000002</v>
      </c>
      <c r="BL10" s="124">
        <f t="shared" si="7"/>
        <v>4094.5736433333332</v>
      </c>
      <c r="BM10" s="124">
        <f t="shared" si="7"/>
        <v>4031.5802026666665</v>
      </c>
      <c r="BN10" s="124">
        <f t="shared" si="7"/>
        <v>3968.5867620000004</v>
      </c>
      <c r="BO10" s="124">
        <f t="shared" si="7"/>
        <v>3905.5933213333333</v>
      </c>
      <c r="BP10" s="124">
        <f t="shared" si="7"/>
        <v>3842.5998806666666</v>
      </c>
      <c r="BQ10" s="124">
        <f t="shared" si="7"/>
        <v>3779.60644</v>
      </c>
      <c r="BR10" s="124">
        <f t="shared" si="7"/>
        <v>3716.6129993333329</v>
      </c>
      <c r="BS10" s="124">
        <f t="shared" si="7"/>
        <v>3653.6195586666668</v>
      </c>
      <c r="BT10" s="124">
        <f t="shared" si="7"/>
        <v>3590.6261180000001</v>
      </c>
      <c r="BU10" s="124">
        <f t="shared" si="7"/>
        <v>3527.6326773333335</v>
      </c>
      <c r="BV10" s="124">
        <f t="shared" si="7"/>
        <v>3464.6392366666664</v>
      </c>
      <c r="BW10" s="124">
        <f t="shared" si="7"/>
        <v>3401.6457960000002</v>
      </c>
      <c r="BX10" s="124">
        <f t="shared" si="7"/>
        <v>3338.6523553333336</v>
      </c>
      <c r="BY10" s="124">
        <f t="shared" si="7"/>
        <v>3275.6589146666665</v>
      </c>
      <c r="BZ10" s="124">
        <f t="shared" si="7"/>
        <v>3212.6654739999999</v>
      </c>
      <c r="CA10" s="124">
        <f t="shared" si="7"/>
        <v>3149.6720333333337</v>
      </c>
      <c r="CB10" s="124">
        <f t="shared" si="7"/>
        <v>3086.6785926666666</v>
      </c>
      <c r="CC10" s="124">
        <f t="shared" si="7"/>
        <v>3023.685152</v>
      </c>
      <c r="CD10" s="124">
        <f t="shared" si="7"/>
        <v>2960.6917113333334</v>
      </c>
      <c r="CE10" s="124">
        <f t="shared" si="7"/>
        <v>2897.6982706666663</v>
      </c>
      <c r="CF10" s="124">
        <f t="shared" si="7"/>
        <v>2834.7048300000001</v>
      </c>
      <c r="CG10" s="124">
        <f t="shared" si="7"/>
        <v>2771.7113893333335</v>
      </c>
      <c r="CH10" s="124">
        <f t="shared" si="7"/>
        <v>2708.7179486666669</v>
      </c>
      <c r="CI10" s="124">
        <f t="shared" si="7"/>
        <v>2645.7245079999998</v>
      </c>
      <c r="CJ10" s="124">
        <f t="shared" si="7"/>
        <v>2582.7310673333336</v>
      </c>
      <c r="CK10" s="124">
        <f t="shared" si="7"/>
        <v>2519.7376266666665</v>
      </c>
      <c r="CL10" s="124">
        <f t="shared" si="7"/>
        <v>2456.7441859999999</v>
      </c>
      <c r="CM10" s="124">
        <f t="shared" si="7"/>
        <v>2393.7507453333333</v>
      </c>
      <c r="CN10" s="124">
        <f t="shared" si="7"/>
        <v>2330.7573046666666</v>
      </c>
      <c r="CO10" s="124">
        <f t="shared" si="7"/>
        <v>2267.763864</v>
      </c>
      <c r="CP10" s="124">
        <f t="shared" si="7"/>
        <v>2204.7704233333334</v>
      </c>
      <c r="CQ10" s="124">
        <f t="shared" si="7"/>
        <v>2141.7769826666668</v>
      </c>
      <c r="CR10" s="124">
        <f t="shared" si="7"/>
        <v>2078.7835420000001</v>
      </c>
      <c r="CS10" s="124">
        <f t="shared" si="7"/>
        <v>2015.7901013333333</v>
      </c>
      <c r="CT10" s="124">
        <f t="shared" si="7"/>
        <v>1952.7966606666666</v>
      </c>
      <c r="CU10" s="124">
        <f t="shared" ref="CU10:DY10" si="8">IF(AND(CT1&lt;CU$1, CU$1&lt;=$F8),$AG10*($F8-CU$1)/($F8-$AG$1),0)</f>
        <v>1889.80322</v>
      </c>
      <c r="CV10" s="124">
        <f t="shared" si="8"/>
        <v>1826.8097793333334</v>
      </c>
      <c r="CW10" s="124">
        <f t="shared" si="8"/>
        <v>1763.8163386666668</v>
      </c>
      <c r="CX10" s="124">
        <f t="shared" si="8"/>
        <v>1700.8228980000001</v>
      </c>
      <c r="CY10" s="124">
        <f t="shared" si="8"/>
        <v>1637.8294573333333</v>
      </c>
      <c r="CZ10" s="124">
        <f t="shared" si="8"/>
        <v>1574.8360166666669</v>
      </c>
      <c r="DA10" s="124">
        <f t="shared" si="8"/>
        <v>1511.842576</v>
      </c>
      <c r="DB10" s="124">
        <f t="shared" si="8"/>
        <v>1448.8491353333332</v>
      </c>
      <c r="DC10" s="124">
        <f t="shared" si="8"/>
        <v>1385.8556946666667</v>
      </c>
      <c r="DD10" s="124">
        <f t="shared" si="8"/>
        <v>1322.8622539999999</v>
      </c>
      <c r="DE10" s="124">
        <f t="shared" si="8"/>
        <v>1259.8688133333333</v>
      </c>
      <c r="DF10" s="124">
        <f t="shared" si="8"/>
        <v>1196.8753726666666</v>
      </c>
      <c r="DG10" s="124">
        <f t="shared" si="8"/>
        <v>1133.881932</v>
      </c>
      <c r="DH10" s="124">
        <f t="shared" si="8"/>
        <v>1070.8884913333334</v>
      </c>
      <c r="DI10" s="124">
        <f t="shared" si="8"/>
        <v>1007.8950506666666</v>
      </c>
      <c r="DJ10" s="124">
        <f t="shared" si="8"/>
        <v>944.90161000000001</v>
      </c>
      <c r="DK10" s="124">
        <f t="shared" si="8"/>
        <v>881.90816933333338</v>
      </c>
      <c r="DL10" s="124">
        <f t="shared" si="8"/>
        <v>818.91472866666663</v>
      </c>
      <c r="DM10" s="124">
        <f t="shared" si="8"/>
        <v>755.921288</v>
      </c>
      <c r="DN10" s="124">
        <f t="shared" si="8"/>
        <v>692.92784733333337</v>
      </c>
      <c r="DO10" s="124">
        <f t="shared" si="8"/>
        <v>629.93440666666663</v>
      </c>
      <c r="DP10" s="124">
        <f t="shared" si="8"/>
        <v>566.940966</v>
      </c>
      <c r="DQ10" s="124">
        <f t="shared" si="8"/>
        <v>503.94752533333332</v>
      </c>
      <c r="DR10" s="124">
        <f t="shared" si="8"/>
        <v>440.95408466666669</v>
      </c>
      <c r="DS10" s="124">
        <f t="shared" si="8"/>
        <v>377.960644</v>
      </c>
      <c r="DT10" s="124">
        <f t="shared" si="8"/>
        <v>314.96720333333332</v>
      </c>
      <c r="DU10" s="124">
        <f t="shared" si="8"/>
        <v>251.97376266666666</v>
      </c>
      <c r="DV10" s="124">
        <f t="shared" si="8"/>
        <v>188.980322</v>
      </c>
      <c r="DW10" s="124">
        <f t="shared" si="8"/>
        <v>125.98688133333333</v>
      </c>
      <c r="DX10" s="124">
        <f t="shared" si="8"/>
        <v>62.993440666666665</v>
      </c>
      <c r="DY10" s="124">
        <f t="shared" si="8"/>
        <v>0</v>
      </c>
    </row>
    <row r="11" spans="1:129" x14ac:dyDescent="0.45">
      <c r="A11" s="3"/>
      <c r="B11" s="2"/>
      <c r="C11" s="125" t="s">
        <v>267</v>
      </c>
      <c r="D11" s="17"/>
      <c r="E11" s="2"/>
      <c r="F11" s="2"/>
      <c r="G11" s="2"/>
      <c r="H11" s="2"/>
      <c r="I11" s="14"/>
      <c r="J11" s="55"/>
      <c r="K11" s="55"/>
      <c r="L11" s="55"/>
      <c r="M11" s="55"/>
      <c r="N11" s="55"/>
      <c r="O11" s="55"/>
      <c r="P11" s="55"/>
      <c r="Q11" s="55"/>
      <c r="R11" s="55"/>
      <c r="S11" s="55"/>
      <c r="T11" s="55"/>
      <c r="U11" s="96"/>
      <c r="V11" s="55"/>
      <c r="W11" s="55"/>
      <c r="X11" s="55"/>
      <c r="Y11" s="55"/>
      <c r="Z11" s="55"/>
      <c r="AA11" s="55"/>
      <c r="AB11" s="55"/>
      <c r="AC11" s="55"/>
      <c r="AD11" s="55"/>
      <c r="AE11" s="55"/>
      <c r="AF11" s="55"/>
      <c r="AG11" s="102"/>
      <c r="AH11" s="91"/>
      <c r="AI11" s="91"/>
      <c r="AJ11" s="91"/>
      <c r="AK11" s="55"/>
      <c r="AL11" s="55"/>
      <c r="AM11" s="55"/>
      <c r="AN11" s="55"/>
      <c r="AO11" s="55"/>
      <c r="AP11" s="55"/>
      <c r="AQ11" s="55"/>
      <c r="AR11" s="55"/>
      <c r="AS11" s="108">
        <f>'Plan Moyen Terme (PMT)'!E5-BAU_Liquidité_Dynamique!AS8</f>
        <v>4440.8240160000005</v>
      </c>
      <c r="AT11" s="126">
        <f>IF(AND(AS1&lt;AT$1, AT$1&lt;=$F8),$AS11*($F8-AT$1)/($F8-$AS$1),0)</f>
        <v>4387.9570634285719</v>
      </c>
      <c r="AU11" s="126">
        <f t="shared" ref="AU11:DF11" si="9">IF(AND(AT1&lt;AU$1, AU$1&lt;=$F8),$AS11*($F8-AU$1)/($F8-$AS$1),0)</f>
        <v>4335.0901108571434</v>
      </c>
      <c r="AV11" s="126">
        <f t="shared" si="9"/>
        <v>4282.2231582857148</v>
      </c>
      <c r="AW11" s="126">
        <f t="shared" si="9"/>
        <v>4229.3562057142863</v>
      </c>
      <c r="AX11" s="126">
        <f t="shared" si="9"/>
        <v>4176.4892531428577</v>
      </c>
      <c r="AY11" s="126">
        <f t="shared" si="9"/>
        <v>4123.6223005714292</v>
      </c>
      <c r="AZ11" s="126">
        <f t="shared" si="9"/>
        <v>4070.7553480000006</v>
      </c>
      <c r="BA11" s="126">
        <f t="shared" si="9"/>
        <v>4017.8883954285716</v>
      </c>
      <c r="BB11" s="126">
        <f t="shared" si="9"/>
        <v>3965.0214428571435</v>
      </c>
      <c r="BC11" s="126">
        <f t="shared" si="9"/>
        <v>3912.1544902857145</v>
      </c>
      <c r="BD11" s="126">
        <f t="shared" si="9"/>
        <v>3859.2875377142864</v>
      </c>
      <c r="BE11" s="126">
        <f t="shared" si="9"/>
        <v>3806.4205851428574</v>
      </c>
      <c r="BF11" s="126">
        <f t="shared" si="9"/>
        <v>3753.5536325714293</v>
      </c>
      <c r="BG11" s="126">
        <f t="shared" si="9"/>
        <v>3700.6866800000003</v>
      </c>
      <c r="BH11" s="126">
        <f t="shared" si="9"/>
        <v>3647.8197274285722</v>
      </c>
      <c r="BI11" s="126">
        <f t="shared" si="9"/>
        <v>3594.9527748571431</v>
      </c>
      <c r="BJ11" s="126">
        <f t="shared" si="9"/>
        <v>3542.085822285715</v>
      </c>
      <c r="BK11" s="126">
        <f t="shared" si="9"/>
        <v>3489.218869714286</v>
      </c>
      <c r="BL11" s="126">
        <f t="shared" si="9"/>
        <v>3436.3519171428579</v>
      </c>
      <c r="BM11" s="126">
        <f t="shared" si="9"/>
        <v>3383.4849645714289</v>
      </c>
      <c r="BN11" s="126">
        <f t="shared" si="9"/>
        <v>3330.6180119999999</v>
      </c>
      <c r="BO11" s="126">
        <f t="shared" si="9"/>
        <v>3277.7510594285718</v>
      </c>
      <c r="BP11" s="126">
        <f t="shared" si="9"/>
        <v>3224.8841068571428</v>
      </c>
      <c r="BQ11" s="126">
        <f t="shared" si="9"/>
        <v>3172.0171542857147</v>
      </c>
      <c r="BR11" s="126">
        <f t="shared" si="9"/>
        <v>3119.1502017142861</v>
      </c>
      <c r="BS11" s="126">
        <f t="shared" si="9"/>
        <v>3066.2832491428576</v>
      </c>
      <c r="BT11" s="126">
        <f t="shared" si="9"/>
        <v>3013.416296571429</v>
      </c>
      <c r="BU11" s="126">
        <f t="shared" si="9"/>
        <v>2960.5493440000005</v>
      </c>
      <c r="BV11" s="126">
        <f t="shared" si="9"/>
        <v>2907.6823914285715</v>
      </c>
      <c r="BW11" s="126">
        <f t="shared" si="9"/>
        <v>2854.8154388571429</v>
      </c>
      <c r="BX11" s="126">
        <f t="shared" si="9"/>
        <v>2801.9484862857144</v>
      </c>
      <c r="BY11" s="126">
        <f t="shared" si="9"/>
        <v>2749.0815337142858</v>
      </c>
      <c r="BZ11" s="126">
        <f t="shared" si="9"/>
        <v>2696.2145811428572</v>
      </c>
      <c r="CA11" s="126">
        <f t="shared" si="9"/>
        <v>2643.3476285714287</v>
      </c>
      <c r="CB11" s="126">
        <f t="shared" si="9"/>
        <v>2590.4806760000001</v>
      </c>
      <c r="CC11" s="126">
        <f t="shared" si="9"/>
        <v>2537.6137234285716</v>
      </c>
      <c r="CD11" s="126">
        <f t="shared" si="9"/>
        <v>2484.746770857143</v>
      </c>
      <c r="CE11" s="126">
        <f t="shared" si="9"/>
        <v>2431.8798182857145</v>
      </c>
      <c r="CF11" s="126">
        <f t="shared" si="9"/>
        <v>2379.0128657142859</v>
      </c>
      <c r="CG11" s="126">
        <f t="shared" si="9"/>
        <v>2326.1459131428574</v>
      </c>
      <c r="CH11" s="126">
        <f t="shared" si="9"/>
        <v>2273.2789605714288</v>
      </c>
      <c r="CI11" s="126">
        <f t="shared" si="9"/>
        <v>2220.4120080000002</v>
      </c>
      <c r="CJ11" s="126">
        <f t="shared" si="9"/>
        <v>2167.5450554285717</v>
      </c>
      <c r="CK11" s="126">
        <f t="shared" si="9"/>
        <v>2114.6781028571431</v>
      </c>
      <c r="CL11" s="126">
        <f t="shared" si="9"/>
        <v>2061.8111502857146</v>
      </c>
      <c r="CM11" s="126">
        <f t="shared" si="9"/>
        <v>2008.9441977142858</v>
      </c>
      <c r="CN11" s="126">
        <f t="shared" si="9"/>
        <v>1956.0772451428572</v>
      </c>
      <c r="CO11" s="126">
        <f t="shared" si="9"/>
        <v>1903.2102925714287</v>
      </c>
      <c r="CP11" s="126">
        <f t="shared" si="9"/>
        <v>1850.3433400000001</v>
      </c>
      <c r="CQ11" s="126">
        <f t="shared" si="9"/>
        <v>1797.4763874285716</v>
      </c>
      <c r="CR11" s="126">
        <f t="shared" si="9"/>
        <v>1744.609434857143</v>
      </c>
      <c r="CS11" s="126">
        <f t="shared" si="9"/>
        <v>1691.7424822857145</v>
      </c>
      <c r="CT11" s="126">
        <f t="shared" si="9"/>
        <v>1638.8755297142859</v>
      </c>
      <c r="CU11" s="126">
        <f t="shared" si="9"/>
        <v>1586.0085771428573</v>
      </c>
      <c r="CV11" s="126">
        <f t="shared" si="9"/>
        <v>1533.1416245714288</v>
      </c>
      <c r="CW11" s="126">
        <f t="shared" si="9"/>
        <v>1480.2746720000002</v>
      </c>
      <c r="CX11" s="126">
        <f t="shared" si="9"/>
        <v>1427.4077194285715</v>
      </c>
      <c r="CY11" s="126">
        <f t="shared" si="9"/>
        <v>1374.5407668571429</v>
      </c>
      <c r="CZ11" s="126">
        <f t="shared" si="9"/>
        <v>1321.6738142857143</v>
      </c>
      <c r="DA11" s="126">
        <f t="shared" si="9"/>
        <v>1268.8068617142858</v>
      </c>
      <c r="DB11" s="126">
        <f t="shared" si="9"/>
        <v>1215.9399091428572</v>
      </c>
      <c r="DC11" s="126">
        <f t="shared" si="9"/>
        <v>1163.0729565714287</v>
      </c>
      <c r="DD11" s="126">
        <f t="shared" si="9"/>
        <v>1110.2060040000001</v>
      </c>
      <c r="DE11" s="126">
        <f t="shared" si="9"/>
        <v>1057.3390514285716</v>
      </c>
      <c r="DF11" s="126">
        <f t="shared" si="9"/>
        <v>1004.4720988571429</v>
      </c>
      <c r="DG11" s="126">
        <f t="shared" ref="DG11:DY11" si="10">IF(AND(DF1&lt;DG$1, DG$1&lt;=$F8),$AS11*($F8-DG$1)/($F8-$AS$1),0)</f>
        <v>951.60514628571434</v>
      </c>
      <c r="DH11" s="126">
        <f t="shared" si="10"/>
        <v>898.73819371428579</v>
      </c>
      <c r="DI11" s="126">
        <f t="shared" si="10"/>
        <v>845.87124114285723</v>
      </c>
      <c r="DJ11" s="126">
        <f t="shared" si="10"/>
        <v>793.00428857142867</v>
      </c>
      <c r="DK11" s="126">
        <f t="shared" si="10"/>
        <v>740.13733600000012</v>
      </c>
      <c r="DL11" s="126">
        <f t="shared" si="10"/>
        <v>687.27038342857145</v>
      </c>
      <c r="DM11" s="126">
        <f t="shared" si="10"/>
        <v>634.40343085714289</v>
      </c>
      <c r="DN11" s="126">
        <f t="shared" si="10"/>
        <v>581.53647828571434</v>
      </c>
      <c r="DO11" s="126">
        <f t="shared" si="10"/>
        <v>528.66952571428578</v>
      </c>
      <c r="DP11" s="126">
        <f t="shared" si="10"/>
        <v>475.80257314285717</v>
      </c>
      <c r="DQ11" s="126">
        <f t="shared" si="10"/>
        <v>422.93562057142861</v>
      </c>
      <c r="DR11" s="126">
        <f t="shared" si="10"/>
        <v>370.06866800000006</v>
      </c>
      <c r="DS11" s="126">
        <f t="shared" si="10"/>
        <v>317.20171542857145</v>
      </c>
      <c r="DT11" s="126">
        <f t="shared" si="10"/>
        <v>264.33476285714289</v>
      </c>
      <c r="DU11" s="126">
        <f t="shared" si="10"/>
        <v>211.46781028571431</v>
      </c>
      <c r="DV11" s="126">
        <f t="shared" si="10"/>
        <v>158.60085771428572</v>
      </c>
      <c r="DW11" s="126">
        <f t="shared" si="10"/>
        <v>105.73390514285715</v>
      </c>
      <c r="DX11" s="126">
        <f t="shared" si="10"/>
        <v>52.866952571428577</v>
      </c>
      <c r="DY11" s="126">
        <f t="shared" si="10"/>
        <v>0</v>
      </c>
    </row>
    <row r="12" spans="1:129" x14ac:dyDescent="0.45">
      <c r="A12" s="3">
        <v>46022</v>
      </c>
      <c r="B12" s="2" t="s">
        <v>0</v>
      </c>
      <c r="C12" s="4" t="s">
        <v>4</v>
      </c>
      <c r="D12" s="16"/>
      <c r="E12" s="54"/>
      <c r="F12" s="54"/>
      <c r="G12" s="54"/>
      <c r="H12" s="54"/>
      <c r="I12" s="13">
        <f>I13+I17</f>
        <v>28006.945</v>
      </c>
      <c r="J12" s="58">
        <f>SUM(J13:J17)</f>
        <v>24825.899333333335</v>
      </c>
      <c r="K12" s="58">
        <f t="shared" ref="K12:BV12" si="11">SUM(K13:K17)</f>
        <v>21644.85366666667</v>
      </c>
      <c r="L12" s="58">
        <f t="shared" si="11"/>
        <v>18463.808000000001</v>
      </c>
      <c r="M12" s="58">
        <f t="shared" si="11"/>
        <v>15282.762333333334</v>
      </c>
      <c r="N12" s="58">
        <f t="shared" si="11"/>
        <v>12101.716666666667</v>
      </c>
      <c r="O12" s="58">
        <f t="shared" si="11"/>
        <v>8920.6710000000003</v>
      </c>
      <c r="P12" s="58">
        <f t="shared" si="11"/>
        <v>8920.6710000000003</v>
      </c>
      <c r="Q12" s="58">
        <f t="shared" si="11"/>
        <v>8920.6710000000003</v>
      </c>
      <c r="R12" s="58">
        <f t="shared" si="11"/>
        <v>8920.6710000000003</v>
      </c>
      <c r="S12" s="58">
        <f t="shared" si="11"/>
        <v>8920.6710000000003</v>
      </c>
      <c r="T12" s="58">
        <f t="shared" si="11"/>
        <v>8920.6710000000003</v>
      </c>
      <c r="U12" s="97">
        <f t="shared" si="11"/>
        <v>0</v>
      </c>
      <c r="V12" s="58">
        <f t="shared" si="11"/>
        <v>0</v>
      </c>
      <c r="W12" s="58">
        <f t="shared" si="11"/>
        <v>0</v>
      </c>
      <c r="X12" s="58">
        <f t="shared" si="11"/>
        <v>0</v>
      </c>
      <c r="Y12" s="58">
        <f t="shared" si="11"/>
        <v>0</v>
      </c>
      <c r="Z12" s="58">
        <f t="shared" si="11"/>
        <v>0</v>
      </c>
      <c r="AA12" s="58">
        <f t="shared" si="11"/>
        <v>0</v>
      </c>
      <c r="AB12" s="58">
        <f t="shared" si="11"/>
        <v>0</v>
      </c>
      <c r="AC12" s="58">
        <f t="shared" si="11"/>
        <v>0</v>
      </c>
      <c r="AD12" s="58">
        <f t="shared" si="11"/>
        <v>0</v>
      </c>
      <c r="AE12" s="58">
        <f t="shared" si="11"/>
        <v>0</v>
      </c>
      <c r="AF12" s="58">
        <f t="shared" si="11"/>
        <v>0</v>
      </c>
      <c r="AG12" s="103">
        <f t="shared" si="11"/>
        <v>0</v>
      </c>
      <c r="AH12" s="58">
        <f t="shared" si="11"/>
        <v>0</v>
      </c>
      <c r="AI12" s="58">
        <f t="shared" si="11"/>
        <v>0</v>
      </c>
      <c r="AJ12" s="58">
        <f t="shared" si="11"/>
        <v>0</v>
      </c>
      <c r="AK12" s="58">
        <f t="shared" si="11"/>
        <v>0</v>
      </c>
      <c r="AL12" s="58">
        <f t="shared" si="11"/>
        <v>0</v>
      </c>
      <c r="AM12" s="58">
        <f t="shared" si="11"/>
        <v>0</v>
      </c>
      <c r="AN12" s="58">
        <f t="shared" si="11"/>
        <v>0</v>
      </c>
      <c r="AO12" s="58">
        <f t="shared" si="11"/>
        <v>0</v>
      </c>
      <c r="AP12" s="58">
        <f t="shared" si="11"/>
        <v>0</v>
      </c>
      <c r="AQ12" s="58">
        <f t="shared" si="11"/>
        <v>0</v>
      </c>
      <c r="AR12" s="58">
        <f t="shared" si="11"/>
        <v>0</v>
      </c>
      <c r="AS12" s="109">
        <f t="shared" si="11"/>
        <v>0</v>
      </c>
      <c r="AT12" s="58">
        <f t="shared" si="11"/>
        <v>0</v>
      </c>
      <c r="AU12" s="58">
        <f t="shared" si="11"/>
        <v>0</v>
      </c>
      <c r="AV12" s="58">
        <f t="shared" si="11"/>
        <v>0</v>
      </c>
      <c r="AW12" s="58">
        <f t="shared" si="11"/>
        <v>0</v>
      </c>
      <c r="AX12" s="58">
        <f t="shared" si="11"/>
        <v>0</v>
      </c>
      <c r="AY12" s="58">
        <f t="shared" si="11"/>
        <v>0</v>
      </c>
      <c r="AZ12" s="58">
        <f t="shared" si="11"/>
        <v>0</v>
      </c>
      <c r="BA12" s="58">
        <f t="shared" si="11"/>
        <v>0</v>
      </c>
      <c r="BB12" s="58">
        <f t="shared" si="11"/>
        <v>0</v>
      </c>
      <c r="BC12" s="58">
        <f t="shared" si="11"/>
        <v>0</v>
      </c>
      <c r="BD12" s="58">
        <f t="shared" si="11"/>
        <v>0</v>
      </c>
      <c r="BE12" s="58">
        <f t="shared" si="11"/>
        <v>0</v>
      </c>
      <c r="BF12" s="58">
        <f t="shared" si="11"/>
        <v>0</v>
      </c>
      <c r="BG12" s="58">
        <f t="shared" si="11"/>
        <v>0</v>
      </c>
      <c r="BH12" s="58">
        <f t="shared" si="11"/>
        <v>0</v>
      </c>
      <c r="BI12" s="58">
        <f t="shared" si="11"/>
        <v>0</v>
      </c>
      <c r="BJ12" s="58">
        <f t="shared" si="11"/>
        <v>0</v>
      </c>
      <c r="BK12" s="58">
        <f t="shared" si="11"/>
        <v>0</v>
      </c>
      <c r="BL12" s="58">
        <f t="shared" si="11"/>
        <v>0</v>
      </c>
      <c r="BM12" s="58">
        <f t="shared" si="11"/>
        <v>0</v>
      </c>
      <c r="BN12" s="58">
        <f t="shared" si="11"/>
        <v>0</v>
      </c>
      <c r="BO12" s="58">
        <f t="shared" si="11"/>
        <v>0</v>
      </c>
      <c r="BP12" s="58">
        <f t="shared" si="11"/>
        <v>0</v>
      </c>
      <c r="BQ12" s="58">
        <f t="shared" si="11"/>
        <v>0</v>
      </c>
      <c r="BR12" s="58">
        <f t="shared" si="11"/>
        <v>0</v>
      </c>
      <c r="BS12" s="58">
        <f t="shared" si="11"/>
        <v>0</v>
      </c>
      <c r="BT12" s="58">
        <f t="shared" si="11"/>
        <v>0</v>
      </c>
      <c r="BU12" s="58">
        <f t="shared" si="11"/>
        <v>0</v>
      </c>
      <c r="BV12" s="58">
        <f t="shared" si="11"/>
        <v>0</v>
      </c>
      <c r="BW12" s="58">
        <f t="shared" ref="BW12:DY12" si="12">SUM(BW13:BW17)</f>
        <v>0</v>
      </c>
      <c r="BX12" s="58">
        <f t="shared" si="12"/>
        <v>0</v>
      </c>
      <c r="BY12" s="58">
        <f t="shared" si="12"/>
        <v>0</v>
      </c>
      <c r="BZ12" s="58">
        <f t="shared" si="12"/>
        <v>0</v>
      </c>
      <c r="CA12" s="58">
        <f t="shared" si="12"/>
        <v>0</v>
      </c>
      <c r="CB12" s="58">
        <f t="shared" si="12"/>
        <v>0</v>
      </c>
      <c r="CC12" s="58">
        <f t="shared" si="12"/>
        <v>0</v>
      </c>
      <c r="CD12" s="58">
        <f t="shared" si="12"/>
        <v>0</v>
      </c>
      <c r="CE12" s="58">
        <f t="shared" si="12"/>
        <v>0</v>
      </c>
      <c r="CF12" s="58">
        <f t="shared" si="12"/>
        <v>0</v>
      </c>
      <c r="CG12" s="58">
        <f t="shared" si="12"/>
        <v>0</v>
      </c>
      <c r="CH12" s="58">
        <f t="shared" si="12"/>
        <v>0</v>
      </c>
      <c r="CI12" s="58">
        <f t="shared" si="12"/>
        <v>0</v>
      </c>
      <c r="CJ12" s="58">
        <f t="shared" si="12"/>
        <v>0</v>
      </c>
      <c r="CK12" s="58">
        <f t="shared" si="12"/>
        <v>0</v>
      </c>
      <c r="CL12" s="58">
        <f t="shared" si="12"/>
        <v>0</v>
      </c>
      <c r="CM12" s="58">
        <f t="shared" si="12"/>
        <v>0</v>
      </c>
      <c r="CN12" s="58">
        <f t="shared" si="12"/>
        <v>0</v>
      </c>
      <c r="CO12" s="58">
        <f t="shared" si="12"/>
        <v>0</v>
      </c>
      <c r="CP12" s="58">
        <f t="shared" si="12"/>
        <v>0</v>
      </c>
      <c r="CQ12" s="58">
        <f t="shared" si="12"/>
        <v>0</v>
      </c>
      <c r="CR12" s="58">
        <f t="shared" si="12"/>
        <v>0</v>
      </c>
      <c r="CS12" s="58">
        <f t="shared" si="12"/>
        <v>0</v>
      </c>
      <c r="CT12" s="58">
        <f t="shared" si="12"/>
        <v>0</v>
      </c>
      <c r="CU12" s="58">
        <f t="shared" si="12"/>
        <v>0</v>
      </c>
      <c r="CV12" s="58">
        <f t="shared" si="12"/>
        <v>0</v>
      </c>
      <c r="CW12" s="58">
        <f t="shared" si="12"/>
        <v>0</v>
      </c>
      <c r="CX12" s="58">
        <f t="shared" si="12"/>
        <v>0</v>
      </c>
      <c r="CY12" s="58">
        <f t="shared" si="12"/>
        <v>0</v>
      </c>
      <c r="CZ12" s="58">
        <f t="shared" si="12"/>
        <v>0</v>
      </c>
      <c r="DA12" s="58">
        <f t="shared" si="12"/>
        <v>0</v>
      </c>
      <c r="DB12" s="58">
        <f t="shared" si="12"/>
        <v>0</v>
      </c>
      <c r="DC12" s="58">
        <f t="shared" si="12"/>
        <v>0</v>
      </c>
      <c r="DD12" s="58">
        <f t="shared" si="12"/>
        <v>0</v>
      </c>
      <c r="DE12" s="58">
        <f t="shared" si="12"/>
        <v>0</v>
      </c>
      <c r="DF12" s="58">
        <f t="shared" si="12"/>
        <v>0</v>
      </c>
      <c r="DG12" s="58">
        <f t="shared" si="12"/>
        <v>0</v>
      </c>
      <c r="DH12" s="58">
        <f t="shared" si="12"/>
        <v>0</v>
      </c>
      <c r="DI12" s="58">
        <f t="shared" si="12"/>
        <v>0</v>
      </c>
      <c r="DJ12" s="58">
        <f t="shared" si="12"/>
        <v>0</v>
      </c>
      <c r="DK12" s="58">
        <f t="shared" si="12"/>
        <v>0</v>
      </c>
      <c r="DL12" s="58">
        <f t="shared" si="12"/>
        <v>0</v>
      </c>
      <c r="DM12" s="58">
        <f t="shared" si="12"/>
        <v>0</v>
      </c>
      <c r="DN12" s="58">
        <f t="shared" si="12"/>
        <v>0</v>
      </c>
      <c r="DO12" s="58">
        <f t="shared" si="12"/>
        <v>0</v>
      </c>
      <c r="DP12" s="58">
        <f t="shared" si="12"/>
        <v>0</v>
      </c>
      <c r="DQ12" s="58">
        <f t="shared" si="12"/>
        <v>0</v>
      </c>
      <c r="DR12" s="58">
        <f t="shared" si="12"/>
        <v>0</v>
      </c>
      <c r="DS12" s="58">
        <f t="shared" si="12"/>
        <v>0</v>
      </c>
      <c r="DT12" s="58">
        <f t="shared" si="12"/>
        <v>0</v>
      </c>
      <c r="DU12" s="58">
        <f t="shared" si="12"/>
        <v>0</v>
      </c>
      <c r="DV12" s="58">
        <f t="shared" si="12"/>
        <v>0</v>
      </c>
      <c r="DW12" s="58">
        <f t="shared" si="12"/>
        <v>0</v>
      </c>
      <c r="DX12" s="58">
        <f t="shared" si="12"/>
        <v>0</v>
      </c>
      <c r="DY12" s="58">
        <f t="shared" si="12"/>
        <v>0</v>
      </c>
    </row>
    <row r="13" spans="1:129" x14ac:dyDescent="0.45">
      <c r="A13" s="3">
        <v>46022</v>
      </c>
      <c r="B13" s="2" t="s">
        <v>0</v>
      </c>
      <c r="C13" s="6" t="s">
        <v>5</v>
      </c>
      <c r="D13" s="17">
        <v>0</v>
      </c>
      <c r="E13" s="2" t="s">
        <v>43</v>
      </c>
      <c r="F13" s="2">
        <v>6</v>
      </c>
      <c r="G13" s="2" t="s">
        <v>43</v>
      </c>
      <c r="H13" s="2">
        <v>6</v>
      </c>
      <c r="I13" s="14">
        <v>19086.274000000001</v>
      </c>
      <c r="J13" s="55">
        <f>IF(J$1&lt;$F13,$I13*(($F13-J$1)/$F13),0)</f>
        <v>15905.228333333334</v>
      </c>
      <c r="K13" s="55">
        <f>IF(K$1&lt;$F13,$I13*(($F13-K$1)/$F13),0)</f>
        <v>12724.182666666668</v>
      </c>
      <c r="L13" s="55">
        <f t="shared" ref="L13:BW13" si="13">IF(L$1&lt;$F13,$I13*(($F13-L$1)/$F13),0)</f>
        <v>9543.1370000000006</v>
      </c>
      <c r="M13" s="55">
        <f t="shared" si="13"/>
        <v>6362.0913333333338</v>
      </c>
      <c r="N13" s="55">
        <f t="shared" si="13"/>
        <v>3181.0456666666669</v>
      </c>
      <c r="O13" s="55">
        <f t="shared" si="13"/>
        <v>0</v>
      </c>
      <c r="P13" s="55">
        <f t="shared" si="13"/>
        <v>0</v>
      </c>
      <c r="Q13" s="55">
        <f t="shared" si="13"/>
        <v>0</v>
      </c>
      <c r="R13" s="55">
        <f t="shared" si="13"/>
        <v>0</v>
      </c>
      <c r="S13" s="55">
        <f t="shared" si="13"/>
        <v>0</v>
      </c>
      <c r="T13" s="55">
        <f t="shared" si="13"/>
        <v>0</v>
      </c>
      <c r="U13" s="96">
        <f t="shared" si="13"/>
        <v>0</v>
      </c>
      <c r="V13" s="55">
        <f t="shared" si="13"/>
        <v>0</v>
      </c>
      <c r="W13" s="55">
        <f t="shared" si="13"/>
        <v>0</v>
      </c>
      <c r="X13" s="55">
        <f t="shared" si="13"/>
        <v>0</v>
      </c>
      <c r="Y13" s="55">
        <f t="shared" si="13"/>
        <v>0</v>
      </c>
      <c r="Z13" s="55">
        <f t="shared" si="13"/>
        <v>0</v>
      </c>
      <c r="AA13" s="55">
        <f t="shared" si="13"/>
        <v>0</v>
      </c>
      <c r="AB13" s="55">
        <f t="shared" si="13"/>
        <v>0</v>
      </c>
      <c r="AC13" s="55">
        <f t="shared" si="13"/>
        <v>0</v>
      </c>
      <c r="AD13" s="55">
        <f t="shared" si="13"/>
        <v>0</v>
      </c>
      <c r="AE13" s="55">
        <f t="shared" si="13"/>
        <v>0</v>
      </c>
      <c r="AF13" s="55">
        <f t="shared" si="13"/>
        <v>0</v>
      </c>
      <c r="AG13" s="102">
        <f t="shared" si="13"/>
        <v>0</v>
      </c>
      <c r="AH13" s="55">
        <f t="shared" si="13"/>
        <v>0</v>
      </c>
      <c r="AI13" s="55">
        <f t="shared" si="13"/>
        <v>0</v>
      </c>
      <c r="AJ13" s="55">
        <f t="shared" si="13"/>
        <v>0</v>
      </c>
      <c r="AK13" s="55">
        <f t="shared" si="13"/>
        <v>0</v>
      </c>
      <c r="AL13" s="55">
        <f t="shared" si="13"/>
        <v>0</v>
      </c>
      <c r="AM13" s="55">
        <f t="shared" si="13"/>
        <v>0</v>
      </c>
      <c r="AN13" s="55">
        <f t="shared" si="13"/>
        <v>0</v>
      </c>
      <c r="AO13" s="55">
        <f t="shared" si="13"/>
        <v>0</v>
      </c>
      <c r="AP13" s="55">
        <f t="shared" si="13"/>
        <v>0</v>
      </c>
      <c r="AQ13" s="55">
        <f t="shared" si="13"/>
        <v>0</v>
      </c>
      <c r="AR13" s="55">
        <f t="shared" si="13"/>
        <v>0</v>
      </c>
      <c r="AS13" s="108">
        <f t="shared" si="13"/>
        <v>0</v>
      </c>
      <c r="AT13" s="55">
        <f t="shared" si="13"/>
        <v>0</v>
      </c>
      <c r="AU13" s="55">
        <f t="shared" si="13"/>
        <v>0</v>
      </c>
      <c r="AV13" s="55">
        <f t="shared" si="13"/>
        <v>0</v>
      </c>
      <c r="AW13" s="55">
        <f t="shared" si="13"/>
        <v>0</v>
      </c>
      <c r="AX13" s="55">
        <f t="shared" si="13"/>
        <v>0</v>
      </c>
      <c r="AY13" s="55">
        <f t="shared" si="13"/>
        <v>0</v>
      </c>
      <c r="AZ13" s="55">
        <f t="shared" si="13"/>
        <v>0</v>
      </c>
      <c r="BA13" s="55">
        <f t="shared" si="13"/>
        <v>0</v>
      </c>
      <c r="BB13" s="55">
        <f t="shared" si="13"/>
        <v>0</v>
      </c>
      <c r="BC13" s="55">
        <f t="shared" si="13"/>
        <v>0</v>
      </c>
      <c r="BD13" s="55">
        <f t="shared" si="13"/>
        <v>0</v>
      </c>
      <c r="BE13" s="55">
        <f t="shared" si="13"/>
        <v>0</v>
      </c>
      <c r="BF13" s="55">
        <f t="shared" si="13"/>
        <v>0</v>
      </c>
      <c r="BG13" s="55">
        <f t="shared" si="13"/>
        <v>0</v>
      </c>
      <c r="BH13" s="55">
        <f t="shared" si="13"/>
        <v>0</v>
      </c>
      <c r="BI13" s="55">
        <f t="shared" si="13"/>
        <v>0</v>
      </c>
      <c r="BJ13" s="55">
        <f t="shared" si="13"/>
        <v>0</v>
      </c>
      <c r="BK13" s="55">
        <f t="shared" si="13"/>
        <v>0</v>
      </c>
      <c r="BL13" s="55">
        <f t="shared" si="13"/>
        <v>0</v>
      </c>
      <c r="BM13" s="55">
        <f t="shared" si="13"/>
        <v>0</v>
      </c>
      <c r="BN13" s="55">
        <f t="shared" si="13"/>
        <v>0</v>
      </c>
      <c r="BO13" s="55">
        <f t="shared" si="13"/>
        <v>0</v>
      </c>
      <c r="BP13" s="55">
        <f t="shared" si="13"/>
        <v>0</v>
      </c>
      <c r="BQ13" s="55">
        <f t="shared" si="13"/>
        <v>0</v>
      </c>
      <c r="BR13" s="55">
        <f t="shared" si="13"/>
        <v>0</v>
      </c>
      <c r="BS13" s="55">
        <f t="shared" si="13"/>
        <v>0</v>
      </c>
      <c r="BT13" s="55">
        <f t="shared" si="13"/>
        <v>0</v>
      </c>
      <c r="BU13" s="55">
        <f t="shared" si="13"/>
        <v>0</v>
      </c>
      <c r="BV13" s="55">
        <f t="shared" si="13"/>
        <v>0</v>
      </c>
      <c r="BW13" s="55">
        <f t="shared" si="13"/>
        <v>0</v>
      </c>
      <c r="BX13" s="55">
        <f t="shared" ref="BX13:DY13" si="14">IF(BX$1&lt;$F13,$I13*(($F13-BX$1)/$F13),0)</f>
        <v>0</v>
      </c>
      <c r="BY13" s="55">
        <f t="shared" si="14"/>
        <v>0</v>
      </c>
      <c r="BZ13" s="55">
        <f t="shared" si="14"/>
        <v>0</v>
      </c>
      <c r="CA13" s="55">
        <f t="shared" si="14"/>
        <v>0</v>
      </c>
      <c r="CB13" s="55">
        <f t="shared" si="14"/>
        <v>0</v>
      </c>
      <c r="CC13" s="55">
        <f t="shared" si="14"/>
        <v>0</v>
      </c>
      <c r="CD13" s="55">
        <f t="shared" si="14"/>
        <v>0</v>
      </c>
      <c r="CE13" s="55">
        <f t="shared" si="14"/>
        <v>0</v>
      </c>
      <c r="CF13" s="55">
        <f t="shared" si="14"/>
        <v>0</v>
      </c>
      <c r="CG13" s="55">
        <f t="shared" si="14"/>
        <v>0</v>
      </c>
      <c r="CH13" s="55">
        <f t="shared" si="14"/>
        <v>0</v>
      </c>
      <c r="CI13" s="55">
        <f t="shared" si="14"/>
        <v>0</v>
      </c>
      <c r="CJ13" s="55">
        <f t="shared" si="14"/>
        <v>0</v>
      </c>
      <c r="CK13" s="55">
        <f t="shared" si="14"/>
        <v>0</v>
      </c>
      <c r="CL13" s="55">
        <f t="shared" si="14"/>
        <v>0</v>
      </c>
      <c r="CM13" s="55">
        <f t="shared" si="14"/>
        <v>0</v>
      </c>
      <c r="CN13" s="55">
        <f t="shared" si="14"/>
        <v>0</v>
      </c>
      <c r="CO13" s="55">
        <f t="shared" si="14"/>
        <v>0</v>
      </c>
      <c r="CP13" s="55">
        <f t="shared" si="14"/>
        <v>0</v>
      </c>
      <c r="CQ13" s="55">
        <f t="shared" si="14"/>
        <v>0</v>
      </c>
      <c r="CR13" s="55">
        <f t="shared" si="14"/>
        <v>0</v>
      </c>
      <c r="CS13" s="55">
        <f t="shared" si="14"/>
        <v>0</v>
      </c>
      <c r="CT13" s="55">
        <f t="shared" si="14"/>
        <v>0</v>
      </c>
      <c r="CU13" s="55">
        <f t="shared" si="14"/>
        <v>0</v>
      </c>
      <c r="CV13" s="55">
        <f t="shared" si="14"/>
        <v>0</v>
      </c>
      <c r="CW13" s="55">
        <f t="shared" si="14"/>
        <v>0</v>
      </c>
      <c r="CX13" s="55">
        <f t="shared" si="14"/>
        <v>0</v>
      </c>
      <c r="CY13" s="55">
        <f t="shared" si="14"/>
        <v>0</v>
      </c>
      <c r="CZ13" s="55">
        <f t="shared" si="14"/>
        <v>0</v>
      </c>
      <c r="DA13" s="55">
        <f t="shared" si="14"/>
        <v>0</v>
      </c>
      <c r="DB13" s="55">
        <f t="shared" si="14"/>
        <v>0</v>
      </c>
      <c r="DC13" s="55">
        <f t="shared" si="14"/>
        <v>0</v>
      </c>
      <c r="DD13" s="55">
        <f t="shared" si="14"/>
        <v>0</v>
      </c>
      <c r="DE13" s="55">
        <f t="shared" si="14"/>
        <v>0</v>
      </c>
      <c r="DF13" s="55">
        <f t="shared" si="14"/>
        <v>0</v>
      </c>
      <c r="DG13" s="55">
        <f t="shared" si="14"/>
        <v>0</v>
      </c>
      <c r="DH13" s="55">
        <f t="shared" si="14"/>
        <v>0</v>
      </c>
      <c r="DI13" s="55">
        <f t="shared" si="14"/>
        <v>0</v>
      </c>
      <c r="DJ13" s="55">
        <f t="shared" si="14"/>
        <v>0</v>
      </c>
      <c r="DK13" s="55">
        <f t="shared" si="14"/>
        <v>0</v>
      </c>
      <c r="DL13" s="55">
        <f t="shared" si="14"/>
        <v>0</v>
      </c>
      <c r="DM13" s="55">
        <f t="shared" si="14"/>
        <v>0</v>
      </c>
      <c r="DN13" s="55">
        <f t="shared" si="14"/>
        <v>0</v>
      </c>
      <c r="DO13" s="55">
        <f t="shared" si="14"/>
        <v>0</v>
      </c>
      <c r="DP13" s="55">
        <f t="shared" si="14"/>
        <v>0</v>
      </c>
      <c r="DQ13" s="55">
        <f t="shared" si="14"/>
        <v>0</v>
      </c>
      <c r="DR13" s="55">
        <f t="shared" si="14"/>
        <v>0</v>
      </c>
      <c r="DS13" s="55">
        <f t="shared" si="14"/>
        <v>0</v>
      </c>
      <c r="DT13" s="55">
        <f t="shared" si="14"/>
        <v>0</v>
      </c>
      <c r="DU13" s="55">
        <f t="shared" si="14"/>
        <v>0</v>
      </c>
      <c r="DV13" s="55">
        <f t="shared" si="14"/>
        <v>0</v>
      </c>
      <c r="DW13" s="55">
        <f t="shared" si="14"/>
        <v>0</v>
      </c>
      <c r="DX13" s="55">
        <f t="shared" si="14"/>
        <v>0</v>
      </c>
      <c r="DY13" s="55">
        <f t="shared" si="14"/>
        <v>0</v>
      </c>
    </row>
    <row r="14" spans="1:129" x14ac:dyDescent="0.45">
      <c r="A14" s="3"/>
      <c r="B14" s="2"/>
      <c r="C14" s="121" t="s">
        <v>268</v>
      </c>
      <c r="D14" s="17"/>
      <c r="E14" s="2"/>
      <c r="F14" s="2"/>
      <c r="G14" s="2"/>
      <c r="H14" s="2"/>
      <c r="I14" s="14"/>
      <c r="J14" s="55"/>
      <c r="K14" s="55"/>
      <c r="L14" s="55"/>
      <c r="M14" s="55"/>
      <c r="N14" s="55"/>
      <c r="O14" s="55"/>
      <c r="P14" s="55"/>
      <c r="Q14" s="55"/>
      <c r="R14" s="55"/>
      <c r="S14" s="55"/>
      <c r="T14" s="55"/>
      <c r="U14" s="96"/>
      <c r="V14" s="55"/>
      <c r="W14" s="55"/>
      <c r="X14" s="55"/>
      <c r="Y14" s="55"/>
      <c r="Z14" s="55"/>
      <c r="AA14" s="55"/>
      <c r="AB14" s="55"/>
      <c r="AC14" s="55"/>
      <c r="AD14" s="55"/>
      <c r="AE14" s="55"/>
      <c r="AF14" s="55"/>
      <c r="AG14" s="102"/>
      <c r="AH14" s="55"/>
      <c r="AI14" s="55"/>
      <c r="AJ14" s="55"/>
      <c r="AK14" s="55"/>
      <c r="AL14" s="55"/>
      <c r="AM14" s="55"/>
      <c r="AN14" s="55"/>
      <c r="AO14" s="55"/>
      <c r="AP14" s="55"/>
      <c r="AQ14" s="55"/>
      <c r="AR14" s="55"/>
      <c r="AS14" s="108"/>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row>
    <row r="15" spans="1:129" x14ac:dyDescent="0.45">
      <c r="A15" s="3"/>
      <c r="B15" s="2"/>
      <c r="C15" s="122" t="s">
        <v>269</v>
      </c>
      <c r="D15" s="17"/>
      <c r="E15" s="2"/>
      <c r="F15" s="2"/>
      <c r="G15" s="2"/>
      <c r="H15" s="2"/>
      <c r="I15" s="14"/>
      <c r="J15" s="55"/>
      <c r="K15" s="55"/>
      <c r="L15" s="55"/>
      <c r="M15" s="55"/>
      <c r="N15" s="55"/>
      <c r="O15" s="55"/>
      <c r="P15" s="55"/>
      <c r="Q15" s="55"/>
      <c r="R15" s="55"/>
      <c r="S15" s="55"/>
      <c r="T15" s="55"/>
      <c r="U15" s="96"/>
      <c r="V15" s="55"/>
      <c r="W15" s="55"/>
      <c r="X15" s="55"/>
      <c r="Y15" s="55"/>
      <c r="Z15" s="55"/>
      <c r="AA15" s="55"/>
      <c r="AB15" s="55"/>
      <c r="AC15" s="55"/>
      <c r="AD15" s="55"/>
      <c r="AE15" s="55"/>
      <c r="AF15" s="55"/>
      <c r="AG15" s="102"/>
      <c r="AH15" s="55"/>
      <c r="AI15" s="55"/>
      <c r="AJ15" s="55"/>
      <c r="AK15" s="55"/>
      <c r="AL15" s="55"/>
      <c r="AM15" s="55"/>
      <c r="AN15" s="55"/>
      <c r="AO15" s="55"/>
      <c r="AP15" s="55"/>
      <c r="AQ15" s="55"/>
      <c r="AR15" s="55"/>
      <c r="AS15" s="108"/>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row>
    <row r="16" spans="1:129" x14ac:dyDescent="0.45">
      <c r="A16" s="3"/>
      <c r="B16" s="2"/>
      <c r="C16" s="125" t="s">
        <v>270</v>
      </c>
      <c r="D16" s="17"/>
      <c r="E16" s="2"/>
      <c r="F16" s="2"/>
      <c r="G16" s="2"/>
      <c r="H16" s="2"/>
      <c r="I16" s="14"/>
      <c r="J16" s="55"/>
      <c r="K16" s="55"/>
      <c r="L16" s="55"/>
      <c r="M16" s="55"/>
      <c r="N16" s="55"/>
      <c r="O16" s="55"/>
      <c r="P16" s="55"/>
      <c r="Q16" s="55"/>
      <c r="R16" s="55"/>
      <c r="S16" s="55"/>
      <c r="T16" s="55"/>
      <c r="U16" s="96"/>
      <c r="V16" s="55"/>
      <c r="W16" s="55"/>
      <c r="X16" s="55"/>
      <c r="Y16" s="55"/>
      <c r="Z16" s="55"/>
      <c r="AA16" s="55"/>
      <c r="AB16" s="55"/>
      <c r="AC16" s="55"/>
      <c r="AD16" s="55"/>
      <c r="AE16" s="55"/>
      <c r="AF16" s="55"/>
      <c r="AG16" s="102"/>
      <c r="AH16" s="55"/>
      <c r="AI16" s="55"/>
      <c r="AJ16" s="55"/>
      <c r="AK16" s="55"/>
      <c r="AL16" s="55"/>
      <c r="AM16" s="55"/>
      <c r="AN16" s="55"/>
      <c r="AO16" s="55"/>
      <c r="AP16" s="55"/>
      <c r="AQ16" s="55"/>
      <c r="AR16" s="55"/>
      <c r="AS16" s="108"/>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row>
    <row r="17" spans="1:129" x14ac:dyDescent="0.45">
      <c r="A17" s="3">
        <v>46022</v>
      </c>
      <c r="B17" s="2" t="s">
        <v>0</v>
      </c>
      <c r="C17" s="6" t="s">
        <v>6</v>
      </c>
      <c r="D17" s="17">
        <v>2.4897510000000001E-2</v>
      </c>
      <c r="E17" s="2" t="s">
        <v>45</v>
      </c>
      <c r="F17" s="2">
        <v>12</v>
      </c>
      <c r="G17" s="2" t="s">
        <v>45</v>
      </c>
      <c r="H17" s="2">
        <v>12</v>
      </c>
      <c r="I17" s="14">
        <v>8920.6710000000003</v>
      </c>
      <c r="J17" s="55">
        <f>IF(J$1&lt;$F17,$I17,0)</f>
        <v>8920.6710000000003</v>
      </c>
      <c r="K17" s="55">
        <f>IF(K$1&lt;$F17,$I17,0)</f>
        <v>8920.6710000000003</v>
      </c>
      <c r="L17" s="55">
        <f t="shared" ref="L17:BW17" si="15">IF(L$1&lt;$F17,$I17,0)</f>
        <v>8920.6710000000003</v>
      </c>
      <c r="M17" s="55">
        <f t="shared" si="15"/>
        <v>8920.6710000000003</v>
      </c>
      <c r="N17" s="55">
        <f t="shared" si="15"/>
        <v>8920.6710000000003</v>
      </c>
      <c r="O17" s="55">
        <f t="shared" si="15"/>
        <v>8920.6710000000003</v>
      </c>
      <c r="P17" s="55">
        <f t="shared" si="15"/>
        <v>8920.6710000000003</v>
      </c>
      <c r="Q17" s="55">
        <f t="shared" si="15"/>
        <v>8920.6710000000003</v>
      </c>
      <c r="R17" s="55">
        <f t="shared" si="15"/>
        <v>8920.6710000000003</v>
      </c>
      <c r="S17" s="55">
        <f t="shared" si="15"/>
        <v>8920.6710000000003</v>
      </c>
      <c r="T17" s="55">
        <f t="shared" si="15"/>
        <v>8920.6710000000003</v>
      </c>
      <c r="U17" s="96">
        <f t="shared" si="15"/>
        <v>0</v>
      </c>
      <c r="V17" s="55">
        <f t="shared" si="15"/>
        <v>0</v>
      </c>
      <c r="W17" s="55">
        <f t="shared" si="15"/>
        <v>0</v>
      </c>
      <c r="X17" s="55">
        <f t="shared" si="15"/>
        <v>0</v>
      </c>
      <c r="Y17" s="55">
        <f t="shared" si="15"/>
        <v>0</v>
      </c>
      <c r="Z17" s="55">
        <f t="shared" si="15"/>
        <v>0</v>
      </c>
      <c r="AA17" s="55">
        <f t="shared" si="15"/>
        <v>0</v>
      </c>
      <c r="AB17" s="55">
        <f t="shared" si="15"/>
        <v>0</v>
      </c>
      <c r="AC17" s="55">
        <f t="shared" si="15"/>
        <v>0</v>
      </c>
      <c r="AD17" s="55">
        <f t="shared" si="15"/>
        <v>0</v>
      </c>
      <c r="AE17" s="55">
        <f t="shared" si="15"/>
        <v>0</v>
      </c>
      <c r="AF17" s="55">
        <f t="shared" si="15"/>
        <v>0</v>
      </c>
      <c r="AG17" s="102">
        <f t="shared" si="15"/>
        <v>0</v>
      </c>
      <c r="AH17" s="55">
        <f t="shared" si="15"/>
        <v>0</v>
      </c>
      <c r="AI17" s="55">
        <f t="shared" si="15"/>
        <v>0</v>
      </c>
      <c r="AJ17" s="55">
        <f t="shared" si="15"/>
        <v>0</v>
      </c>
      <c r="AK17" s="55">
        <f t="shared" si="15"/>
        <v>0</v>
      </c>
      <c r="AL17" s="55">
        <f t="shared" si="15"/>
        <v>0</v>
      </c>
      <c r="AM17" s="55">
        <f t="shared" si="15"/>
        <v>0</v>
      </c>
      <c r="AN17" s="55">
        <f t="shared" si="15"/>
        <v>0</v>
      </c>
      <c r="AO17" s="55">
        <f t="shared" si="15"/>
        <v>0</v>
      </c>
      <c r="AP17" s="55">
        <f t="shared" si="15"/>
        <v>0</v>
      </c>
      <c r="AQ17" s="55">
        <f t="shared" si="15"/>
        <v>0</v>
      </c>
      <c r="AR17" s="55">
        <f t="shared" si="15"/>
        <v>0</v>
      </c>
      <c r="AS17" s="108">
        <f t="shared" si="15"/>
        <v>0</v>
      </c>
      <c r="AT17" s="55">
        <f t="shared" si="15"/>
        <v>0</v>
      </c>
      <c r="AU17" s="55">
        <f t="shared" si="15"/>
        <v>0</v>
      </c>
      <c r="AV17" s="55">
        <f t="shared" si="15"/>
        <v>0</v>
      </c>
      <c r="AW17" s="55">
        <f t="shared" si="15"/>
        <v>0</v>
      </c>
      <c r="AX17" s="55">
        <f t="shared" si="15"/>
        <v>0</v>
      </c>
      <c r="AY17" s="55">
        <f t="shared" si="15"/>
        <v>0</v>
      </c>
      <c r="AZ17" s="55">
        <f t="shared" si="15"/>
        <v>0</v>
      </c>
      <c r="BA17" s="55">
        <f t="shared" si="15"/>
        <v>0</v>
      </c>
      <c r="BB17" s="55">
        <f t="shared" si="15"/>
        <v>0</v>
      </c>
      <c r="BC17" s="55">
        <f t="shared" si="15"/>
        <v>0</v>
      </c>
      <c r="BD17" s="55">
        <f t="shared" si="15"/>
        <v>0</v>
      </c>
      <c r="BE17" s="55">
        <f t="shared" si="15"/>
        <v>0</v>
      </c>
      <c r="BF17" s="55">
        <f t="shared" si="15"/>
        <v>0</v>
      </c>
      <c r="BG17" s="55">
        <f t="shared" si="15"/>
        <v>0</v>
      </c>
      <c r="BH17" s="55">
        <f t="shared" si="15"/>
        <v>0</v>
      </c>
      <c r="BI17" s="55">
        <f t="shared" si="15"/>
        <v>0</v>
      </c>
      <c r="BJ17" s="55">
        <f t="shared" si="15"/>
        <v>0</v>
      </c>
      <c r="BK17" s="55">
        <f t="shared" si="15"/>
        <v>0</v>
      </c>
      <c r="BL17" s="55">
        <f t="shared" si="15"/>
        <v>0</v>
      </c>
      <c r="BM17" s="55">
        <f t="shared" si="15"/>
        <v>0</v>
      </c>
      <c r="BN17" s="55">
        <f t="shared" si="15"/>
        <v>0</v>
      </c>
      <c r="BO17" s="55">
        <f t="shared" si="15"/>
        <v>0</v>
      </c>
      <c r="BP17" s="55">
        <f t="shared" si="15"/>
        <v>0</v>
      </c>
      <c r="BQ17" s="55">
        <f t="shared" si="15"/>
        <v>0</v>
      </c>
      <c r="BR17" s="55">
        <f t="shared" si="15"/>
        <v>0</v>
      </c>
      <c r="BS17" s="55">
        <f t="shared" si="15"/>
        <v>0</v>
      </c>
      <c r="BT17" s="55">
        <f t="shared" si="15"/>
        <v>0</v>
      </c>
      <c r="BU17" s="55">
        <f t="shared" si="15"/>
        <v>0</v>
      </c>
      <c r="BV17" s="55">
        <f t="shared" si="15"/>
        <v>0</v>
      </c>
      <c r="BW17" s="55">
        <f t="shared" si="15"/>
        <v>0</v>
      </c>
      <c r="BX17" s="55">
        <f t="shared" ref="BX17:DY17" si="16">IF(BX$1&lt;$F17,$I17,0)</f>
        <v>0</v>
      </c>
      <c r="BY17" s="55">
        <f t="shared" si="16"/>
        <v>0</v>
      </c>
      <c r="BZ17" s="55">
        <f t="shared" si="16"/>
        <v>0</v>
      </c>
      <c r="CA17" s="55">
        <f t="shared" si="16"/>
        <v>0</v>
      </c>
      <c r="CB17" s="55">
        <f t="shared" si="16"/>
        <v>0</v>
      </c>
      <c r="CC17" s="55">
        <f t="shared" si="16"/>
        <v>0</v>
      </c>
      <c r="CD17" s="55">
        <f t="shared" si="16"/>
        <v>0</v>
      </c>
      <c r="CE17" s="55">
        <f t="shared" si="16"/>
        <v>0</v>
      </c>
      <c r="CF17" s="55">
        <f t="shared" si="16"/>
        <v>0</v>
      </c>
      <c r="CG17" s="55">
        <f t="shared" si="16"/>
        <v>0</v>
      </c>
      <c r="CH17" s="55">
        <f t="shared" si="16"/>
        <v>0</v>
      </c>
      <c r="CI17" s="55">
        <f t="shared" si="16"/>
        <v>0</v>
      </c>
      <c r="CJ17" s="55">
        <f t="shared" si="16"/>
        <v>0</v>
      </c>
      <c r="CK17" s="55">
        <f t="shared" si="16"/>
        <v>0</v>
      </c>
      <c r="CL17" s="55">
        <f t="shared" si="16"/>
        <v>0</v>
      </c>
      <c r="CM17" s="55">
        <f t="shared" si="16"/>
        <v>0</v>
      </c>
      <c r="CN17" s="55">
        <f t="shared" si="16"/>
        <v>0</v>
      </c>
      <c r="CO17" s="55">
        <f t="shared" si="16"/>
        <v>0</v>
      </c>
      <c r="CP17" s="55">
        <f t="shared" si="16"/>
        <v>0</v>
      </c>
      <c r="CQ17" s="55">
        <f t="shared" si="16"/>
        <v>0</v>
      </c>
      <c r="CR17" s="55">
        <f t="shared" si="16"/>
        <v>0</v>
      </c>
      <c r="CS17" s="55">
        <f t="shared" si="16"/>
        <v>0</v>
      </c>
      <c r="CT17" s="55">
        <f t="shared" si="16"/>
        <v>0</v>
      </c>
      <c r="CU17" s="55">
        <f t="shared" si="16"/>
        <v>0</v>
      </c>
      <c r="CV17" s="55">
        <f t="shared" si="16"/>
        <v>0</v>
      </c>
      <c r="CW17" s="55">
        <f t="shared" si="16"/>
        <v>0</v>
      </c>
      <c r="CX17" s="55">
        <f t="shared" si="16"/>
        <v>0</v>
      </c>
      <c r="CY17" s="55">
        <f t="shared" si="16"/>
        <v>0</v>
      </c>
      <c r="CZ17" s="55">
        <f t="shared" si="16"/>
        <v>0</v>
      </c>
      <c r="DA17" s="55">
        <f t="shared" si="16"/>
        <v>0</v>
      </c>
      <c r="DB17" s="55">
        <f t="shared" si="16"/>
        <v>0</v>
      </c>
      <c r="DC17" s="55">
        <f t="shared" si="16"/>
        <v>0</v>
      </c>
      <c r="DD17" s="55">
        <f t="shared" si="16"/>
        <v>0</v>
      </c>
      <c r="DE17" s="55">
        <f t="shared" si="16"/>
        <v>0</v>
      </c>
      <c r="DF17" s="55">
        <f t="shared" si="16"/>
        <v>0</v>
      </c>
      <c r="DG17" s="55">
        <f t="shared" si="16"/>
        <v>0</v>
      </c>
      <c r="DH17" s="55">
        <f t="shared" si="16"/>
        <v>0</v>
      </c>
      <c r="DI17" s="55">
        <f t="shared" si="16"/>
        <v>0</v>
      </c>
      <c r="DJ17" s="55">
        <f t="shared" si="16"/>
        <v>0</v>
      </c>
      <c r="DK17" s="55">
        <f t="shared" si="16"/>
        <v>0</v>
      </c>
      <c r="DL17" s="55">
        <f t="shared" si="16"/>
        <v>0</v>
      </c>
      <c r="DM17" s="55">
        <f t="shared" si="16"/>
        <v>0</v>
      </c>
      <c r="DN17" s="55">
        <f t="shared" si="16"/>
        <v>0</v>
      </c>
      <c r="DO17" s="55">
        <f t="shared" si="16"/>
        <v>0</v>
      </c>
      <c r="DP17" s="55">
        <f t="shared" si="16"/>
        <v>0</v>
      </c>
      <c r="DQ17" s="55">
        <f t="shared" si="16"/>
        <v>0</v>
      </c>
      <c r="DR17" s="55">
        <f t="shared" si="16"/>
        <v>0</v>
      </c>
      <c r="DS17" s="55">
        <f t="shared" si="16"/>
        <v>0</v>
      </c>
      <c r="DT17" s="55">
        <f t="shared" si="16"/>
        <v>0</v>
      </c>
      <c r="DU17" s="55">
        <f t="shared" si="16"/>
        <v>0</v>
      </c>
      <c r="DV17" s="55">
        <f t="shared" si="16"/>
        <v>0</v>
      </c>
      <c r="DW17" s="55">
        <f t="shared" si="16"/>
        <v>0</v>
      </c>
      <c r="DX17" s="55">
        <f t="shared" si="16"/>
        <v>0</v>
      </c>
      <c r="DY17" s="55">
        <f t="shared" si="16"/>
        <v>0</v>
      </c>
    </row>
    <row r="18" spans="1:129" x14ac:dyDescent="0.45">
      <c r="A18" s="3"/>
      <c r="B18" s="2"/>
      <c r="C18" s="121" t="s">
        <v>268</v>
      </c>
      <c r="D18" s="17"/>
      <c r="E18" s="2"/>
      <c r="F18" s="2"/>
      <c r="G18" s="2"/>
      <c r="H18" s="2"/>
      <c r="I18" s="14"/>
      <c r="J18" s="55"/>
      <c r="K18" s="55"/>
      <c r="L18" s="55"/>
      <c r="M18" s="55"/>
      <c r="N18" s="55"/>
      <c r="O18" s="55"/>
      <c r="P18" s="55"/>
      <c r="Q18" s="55"/>
      <c r="R18" s="55"/>
      <c r="S18" s="55"/>
      <c r="T18" s="55"/>
      <c r="U18" s="96"/>
      <c r="V18" s="55"/>
      <c r="W18" s="55"/>
      <c r="X18" s="55"/>
      <c r="Y18" s="55"/>
      <c r="Z18" s="55"/>
      <c r="AA18" s="55"/>
      <c r="AB18" s="55"/>
      <c r="AC18" s="55"/>
      <c r="AD18" s="55"/>
      <c r="AE18" s="55"/>
      <c r="AF18" s="55"/>
      <c r="AG18" s="102"/>
      <c r="AH18" s="55"/>
      <c r="AI18" s="55"/>
      <c r="AJ18" s="55"/>
      <c r="AK18" s="55"/>
      <c r="AL18" s="55"/>
      <c r="AM18" s="55"/>
      <c r="AN18" s="55"/>
      <c r="AO18" s="55"/>
      <c r="AP18" s="55"/>
      <c r="AQ18" s="55"/>
      <c r="AR18" s="55"/>
      <c r="AS18" s="108"/>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row>
    <row r="19" spans="1:129" x14ac:dyDescent="0.45">
      <c r="A19" s="3"/>
      <c r="B19" s="2"/>
      <c r="C19" s="122" t="s">
        <v>269</v>
      </c>
      <c r="D19" s="17"/>
      <c r="E19" s="2"/>
      <c r="F19" s="2"/>
      <c r="G19" s="2"/>
      <c r="H19" s="2"/>
      <c r="I19" s="14"/>
      <c r="J19" s="55">
        <f>PMT($D22/12,$F22,$I22)</f>
        <v>-6.7325942977056608</v>
      </c>
      <c r="K19" s="55">
        <f>I22*D22/12</f>
        <v>1.4456894285834425</v>
      </c>
      <c r="L19" s="55"/>
      <c r="M19" s="55"/>
      <c r="N19" s="55"/>
      <c r="O19" s="55"/>
      <c r="P19" s="55"/>
      <c r="Q19" s="55"/>
      <c r="R19" s="55"/>
      <c r="S19" s="55"/>
      <c r="T19" s="55"/>
      <c r="U19" s="96"/>
      <c r="V19" s="55"/>
      <c r="W19" s="55"/>
      <c r="X19" s="55"/>
      <c r="Y19" s="55"/>
      <c r="Z19" s="55"/>
      <c r="AA19" s="55"/>
      <c r="AB19" s="55"/>
      <c r="AC19" s="55"/>
      <c r="AD19" s="55"/>
      <c r="AE19" s="55"/>
      <c r="AF19" s="55"/>
      <c r="AG19" s="102"/>
      <c r="AH19" s="55">
        <f>AH17</f>
        <v>0</v>
      </c>
      <c r="AI19" s="55">
        <f>AG23*D22/12</f>
        <v>17.499894418871609</v>
      </c>
      <c r="AJ19" s="55"/>
      <c r="AK19" s="55"/>
      <c r="AL19" s="55"/>
      <c r="AM19" s="55"/>
      <c r="AN19" s="55"/>
      <c r="AO19" s="55"/>
      <c r="AP19" s="55"/>
      <c r="AQ19" s="55"/>
      <c r="AR19" s="55"/>
      <c r="AS19" s="108"/>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row>
    <row r="20" spans="1:129" x14ac:dyDescent="0.45">
      <c r="A20" s="3"/>
      <c r="B20" s="2"/>
      <c r="C20" s="125" t="s">
        <v>270</v>
      </c>
      <c r="D20" s="17"/>
      <c r="E20" s="2"/>
      <c r="F20" s="2"/>
      <c r="G20" s="2"/>
      <c r="H20" s="2"/>
      <c r="I20" s="14"/>
      <c r="J20" s="55"/>
      <c r="K20" s="55"/>
      <c r="L20" s="55"/>
      <c r="M20" s="55"/>
      <c r="N20" s="55"/>
      <c r="O20" s="55"/>
      <c r="P20" s="55"/>
      <c r="Q20" s="55"/>
      <c r="R20" s="55"/>
      <c r="S20" s="55"/>
      <c r="T20" s="55"/>
      <c r="U20" s="96"/>
      <c r="V20" s="55"/>
      <c r="W20" s="55"/>
      <c r="X20" s="55"/>
      <c r="Y20" s="55"/>
      <c r="Z20" s="55"/>
      <c r="AA20" s="55"/>
      <c r="AB20" s="55"/>
      <c r="AC20" s="55"/>
      <c r="AD20" s="55"/>
      <c r="AE20" s="55"/>
      <c r="AF20" s="55"/>
      <c r="AG20" s="102"/>
      <c r="AH20" s="55"/>
      <c r="AI20" s="55"/>
      <c r="AJ20" s="55"/>
      <c r="AK20" s="55"/>
      <c r="AL20" s="55"/>
      <c r="AM20" s="55"/>
      <c r="AN20" s="55"/>
      <c r="AO20" s="55"/>
      <c r="AP20" s="55"/>
      <c r="AQ20" s="55"/>
      <c r="AR20" s="55"/>
      <c r="AS20" s="108"/>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row>
    <row r="21" spans="1:129" x14ac:dyDescent="0.45">
      <c r="A21" s="3">
        <v>46022</v>
      </c>
      <c r="B21" s="2" t="s">
        <v>0</v>
      </c>
      <c r="C21" s="4" t="s">
        <v>7</v>
      </c>
      <c r="D21" s="16"/>
      <c r="E21" s="54"/>
      <c r="F21" s="54"/>
      <c r="G21" s="54"/>
      <c r="H21" s="54"/>
      <c r="I21" s="13">
        <f>I22+I26+I30</f>
        <v>125650.31899999999</v>
      </c>
      <c r="J21" s="58">
        <f>SUM(J22:J30)</f>
        <v>45066.509154331048</v>
      </c>
      <c r="K21" s="58">
        <f>SUM(K22:K30)</f>
        <v>40146.148774905552</v>
      </c>
      <c r="L21" s="58">
        <f>SUM(L22:L30)</f>
        <v>35212.566417292132</v>
      </c>
      <c r="M21" s="58">
        <f>SUM(M22:M30)</f>
        <v>30265.726541748478</v>
      </c>
      <c r="N21" s="58">
        <f>SUM(N22:N30)</f>
        <v>25305.593512964897</v>
      </c>
      <c r="O21" s="58">
        <f>SUM(O22:O30)</f>
        <v>20332.131599807202</v>
      </c>
      <c r="P21" s="58">
        <f>SUM(P22:P30)</f>
        <v>15345.304975058851</v>
      </c>
      <c r="Q21" s="58">
        <f>SUM(Q22:Q30)</f>
        <v>10345.077715162422</v>
      </c>
      <c r="R21" s="58">
        <f>SUM(R22:R30)</f>
        <v>5331.4137999603972</v>
      </c>
      <c r="S21" s="58">
        <f>SUM(S22:S30)</f>
        <v>304.27711243525766</v>
      </c>
      <c r="T21" s="58">
        <f>SUM(T22:T30)</f>
        <v>298.77286028497184</v>
      </c>
      <c r="U21" s="97">
        <f>SUM(U22:U30)</f>
        <v>5939</v>
      </c>
      <c r="V21" s="58">
        <f>SUM(V22:V30)</f>
        <v>5826.6227656732954</v>
      </c>
      <c r="W21" s="58">
        <f>SUM(W22:W30)</f>
        <v>5713.791873520574</v>
      </c>
      <c r="X21" s="58">
        <f>SUM(X22:X30)</f>
        <v>5600.5054921618039</v>
      </c>
      <c r="Y21" s="58">
        <f>SUM(Y22:Y30)</f>
        <v>5486.7617828238172</v>
      </c>
      <c r="Z21" s="58">
        <f>SUM(Z22:Z30)</f>
        <v>5372.5588993104693</v>
      </c>
      <c r="AA21" s="58">
        <f>SUM(AA22:AA30)</f>
        <v>5257.8949879726706</v>
      </c>
      <c r="AB21" s="58">
        <f>SUM(AB22:AB30)</f>
        <v>5142.7681876782981</v>
      </c>
      <c r="AC21" s="58">
        <f>SUM(AC22:AC30)</f>
        <v>5027.1766297819913</v>
      </c>
      <c r="AD21" s="58">
        <f>SUM(AD22:AD30)</f>
        <v>4911.1184380948171</v>
      </c>
      <c r="AE21" s="58">
        <f>SUM(AE22:AE30)</f>
        <v>4794.5917288538185</v>
      </c>
      <c r="AF21" s="58">
        <f>SUM(AF22:AF30)</f>
        <v>4677.5946106914416</v>
      </c>
      <c r="AG21" s="103">
        <f>SUM(AG22:AG30)</f>
        <v>8304.9626591264259</v>
      </c>
      <c r="AH21" s="58">
        <f>SUM(AH22:AH30)</f>
        <v>8090.1620797401019</v>
      </c>
      <c r="AI21" s="58">
        <f>SUM(AI22:AI30)</f>
        <v>7874.4943677494266</v>
      </c>
      <c r="AJ21" s="58">
        <f>SUM(AJ22:AJ30)</f>
        <v>7657.9560226100557</v>
      </c>
      <c r="AK21" s="58">
        <f>SUM(AK22:AK30)</f>
        <v>7440.5435296462283</v>
      </c>
      <c r="AL21" s="58">
        <f>SUM(AL22:AL30)</f>
        <v>7222.2533599937215</v>
      </c>
      <c r="AM21" s="58">
        <f>SUM(AM22:AM30)</f>
        <v>7003.0819705425729</v>
      </c>
      <c r="AN21" s="58">
        <f>SUM(AN22:AN30)</f>
        <v>6783.0258038795691</v>
      </c>
      <c r="AO21" s="58">
        <f>SUM(AO22:AO30)</f>
        <v>6562.0812882305108</v>
      </c>
      <c r="AP21" s="58">
        <f>SUM(AP22:AP30)</f>
        <v>6340.2448374022297</v>
      </c>
      <c r="AQ21" s="58">
        <f>SUM(AQ22:AQ30)</f>
        <v>6117.5128507243899</v>
      </c>
      <c r="AR21" s="58">
        <f>SUM(AR22:AR30)</f>
        <v>5893.8817129910349</v>
      </c>
      <c r="AS21" s="109">
        <f>SUM(AS22:AS30)</f>
        <v>23551.641544344286</v>
      </c>
      <c r="AT21" s="58">
        <f>SUM(AT22:AT30)</f>
        <v>22615.115798936647</v>
      </c>
      <c r="AU21" s="58">
        <f>SUM(AU22:AU30)</f>
        <v>21674.809374673408</v>
      </c>
      <c r="AV21" s="58">
        <f>SUM(AV22:AV30)</f>
        <v>20730.707009259131</v>
      </c>
      <c r="AW21" s="58">
        <f>SUM(AW22:AW30)</f>
        <v>19782.793378785726</v>
      </c>
      <c r="AX21" s="58">
        <f>SUM(AX22:AX30)</f>
        <v>18831.05309748372</v>
      </c>
      <c r="AY21" s="58">
        <f>SUM(AY22:AY30)</f>
        <v>17875.470717472534</v>
      </c>
      <c r="AZ21" s="58">
        <f>SUM(AZ22:AZ30)</f>
        <v>16916.030728509741</v>
      </c>
      <c r="BA21" s="58">
        <f>SUM(BA22:BA30)</f>
        <v>15952.717557739317</v>
      </c>
      <c r="BB21" s="58">
        <f>SUM(BB22:BB30)</f>
        <v>14985.515569438874</v>
      </c>
      <c r="BC21" s="58">
        <f>SUM(BC22:BC30)</f>
        <v>14014.409064765874</v>
      </c>
      <c r="BD21" s="58">
        <f>SUM(BD22:BD30)</f>
        <v>13039.38228150282</v>
      </c>
      <c r="BE21" s="58">
        <f>SUM(BE22:BE30)</f>
        <v>12060.419393801414</v>
      </c>
      <c r="BF21" s="58">
        <f>SUM(BF22:BF30)</f>
        <v>11077.504511925687</v>
      </c>
      <c r="BG21" s="58">
        <f>SUM(BG22:BG30)</f>
        <v>10090.621681994086</v>
      </c>
      <c r="BH21" s="58">
        <f>SUM(BH22:BH30)</f>
        <v>9099.7548857205293</v>
      </c>
      <c r="BI21" s="58">
        <f>SUM(BI22:BI30)</f>
        <v>8104.888040154402</v>
      </c>
      <c r="BJ21" s="58">
        <f>SUM(BJ22:BJ30)</f>
        <v>7106.0049974195208</v>
      </c>
      <c r="BK21" s="58">
        <f>SUM(BK22:BK30)</f>
        <v>6103.0895444520247</v>
      </c>
      <c r="BL21" s="58">
        <f>SUM(BL22:BL30)</f>
        <v>5096.1254027372252</v>
      </c>
      <c r="BM21" s="58">
        <f>SUM(BM22:BM30)</f>
        <v>4085.0962280453832</v>
      </c>
      <c r="BN21" s="58">
        <f>SUM(BN22:BN30)</f>
        <v>3069.9856101664222</v>
      </c>
      <c r="BO21" s="58">
        <f>SUM(BO22:BO30)</f>
        <v>2050.7770726435729</v>
      </c>
      <c r="BP21" s="58">
        <f>SUM(BP22:BP30)</f>
        <v>1027.4540725059387</v>
      </c>
      <c r="BQ21" s="58">
        <f>SUM(BQ22:BQ30)</f>
        <v>-1.3841372492606752E-11</v>
      </c>
      <c r="BR21" s="58">
        <f>SUM(BR22:BR30)</f>
        <v>0</v>
      </c>
      <c r="BS21" s="58">
        <f>SUM(BS22:BS30)</f>
        <v>0</v>
      </c>
      <c r="BT21" s="58">
        <f>SUM(BT22:BT30)</f>
        <v>0</v>
      </c>
      <c r="BU21" s="58">
        <f>SUM(BU22:BU30)</f>
        <v>0</v>
      </c>
      <c r="BV21" s="58">
        <f>SUM(BV22:BV30)</f>
        <v>0</v>
      </c>
      <c r="BW21" s="58">
        <f>SUM(BW22:BW30)</f>
        <v>0</v>
      </c>
      <c r="BX21" s="58">
        <f>SUM(BX22:BX30)</f>
        <v>0</v>
      </c>
      <c r="BY21" s="58">
        <f>SUM(BY22:BY30)</f>
        <v>0</v>
      </c>
      <c r="BZ21" s="58">
        <f>SUM(BZ22:BZ30)</f>
        <v>0</v>
      </c>
      <c r="CA21" s="58">
        <f>SUM(CA22:CA30)</f>
        <v>0</v>
      </c>
      <c r="CB21" s="58">
        <f>SUM(CB22:CB30)</f>
        <v>0</v>
      </c>
      <c r="CC21" s="58">
        <f>SUM(CC22:CC30)</f>
        <v>0</v>
      </c>
      <c r="CD21" s="58">
        <f>SUM(CD22:CD30)</f>
        <v>0</v>
      </c>
      <c r="CE21" s="58">
        <f>SUM(CE22:CE30)</f>
        <v>0</v>
      </c>
      <c r="CF21" s="58">
        <f>SUM(CF22:CF30)</f>
        <v>0</v>
      </c>
      <c r="CG21" s="58">
        <f>SUM(CG22:CG30)</f>
        <v>0</v>
      </c>
      <c r="CH21" s="58">
        <f>SUM(CH22:CH30)</f>
        <v>0</v>
      </c>
      <c r="CI21" s="58">
        <f>SUM(CI22:CI30)</f>
        <v>0</v>
      </c>
      <c r="CJ21" s="58">
        <f>SUM(CJ22:CJ30)</f>
        <v>0</v>
      </c>
      <c r="CK21" s="58">
        <f>SUM(CK22:CK30)</f>
        <v>0</v>
      </c>
      <c r="CL21" s="58">
        <f>SUM(CL22:CL30)</f>
        <v>0</v>
      </c>
      <c r="CM21" s="58">
        <f>SUM(CM22:CM30)</f>
        <v>0</v>
      </c>
      <c r="CN21" s="58">
        <f>SUM(CN22:CN30)</f>
        <v>0</v>
      </c>
      <c r="CO21" s="58">
        <f>SUM(CO22:CO30)</f>
        <v>0</v>
      </c>
      <c r="CP21" s="58">
        <f>SUM(CP22:CP30)</f>
        <v>0</v>
      </c>
      <c r="CQ21" s="58">
        <f>SUM(CQ22:CQ30)</f>
        <v>0</v>
      </c>
      <c r="CR21" s="58">
        <f>SUM(CR22:CR30)</f>
        <v>0</v>
      </c>
      <c r="CS21" s="58">
        <f>SUM(CS22:CS30)</f>
        <v>0</v>
      </c>
      <c r="CT21" s="58">
        <f>SUM(CT22:CT30)</f>
        <v>0</v>
      </c>
      <c r="CU21" s="58">
        <f>SUM(CU22:CU30)</f>
        <v>0</v>
      </c>
      <c r="CV21" s="58">
        <f>SUM(CV22:CV30)</f>
        <v>0</v>
      </c>
      <c r="CW21" s="58">
        <f>SUM(CW22:CW30)</f>
        <v>0</v>
      </c>
      <c r="CX21" s="58">
        <f>SUM(CX22:CX30)</f>
        <v>0</v>
      </c>
      <c r="CY21" s="58">
        <f>SUM(CY22:CY30)</f>
        <v>0</v>
      </c>
      <c r="CZ21" s="58">
        <f>SUM(CZ22:CZ30)</f>
        <v>0</v>
      </c>
      <c r="DA21" s="58">
        <f>SUM(DA22:DA30)</f>
        <v>0</v>
      </c>
      <c r="DB21" s="58">
        <f>SUM(DB22:DB30)</f>
        <v>0</v>
      </c>
      <c r="DC21" s="58">
        <f>SUM(DC22:DC30)</f>
        <v>0</v>
      </c>
      <c r="DD21" s="58">
        <f>SUM(DD22:DD30)</f>
        <v>0</v>
      </c>
      <c r="DE21" s="58">
        <f>SUM(DE22:DE30)</f>
        <v>0</v>
      </c>
      <c r="DF21" s="58">
        <f>SUM(DF22:DF30)</f>
        <v>0</v>
      </c>
      <c r="DG21" s="58">
        <f>SUM(DG22:DG30)</f>
        <v>0</v>
      </c>
      <c r="DH21" s="58">
        <f>SUM(DH22:DH30)</f>
        <v>0</v>
      </c>
      <c r="DI21" s="58">
        <f>SUM(DI22:DI30)</f>
        <v>0</v>
      </c>
      <c r="DJ21" s="58">
        <f>SUM(DJ22:DJ30)</f>
        <v>0</v>
      </c>
      <c r="DK21" s="58">
        <f>SUM(DK22:DK30)</f>
        <v>0</v>
      </c>
      <c r="DL21" s="58">
        <f>SUM(DL22:DL30)</f>
        <v>0</v>
      </c>
      <c r="DM21" s="58">
        <f>SUM(DM22:DM30)</f>
        <v>0</v>
      </c>
      <c r="DN21" s="58">
        <f>SUM(DN22:DN30)</f>
        <v>0</v>
      </c>
      <c r="DO21" s="58">
        <f>SUM(DO22:DO30)</f>
        <v>0</v>
      </c>
      <c r="DP21" s="58">
        <f>SUM(DP22:DP30)</f>
        <v>0</v>
      </c>
      <c r="DQ21" s="58">
        <f>SUM(DQ22:DQ30)</f>
        <v>0</v>
      </c>
      <c r="DR21" s="58">
        <f>SUM(DR22:DR30)</f>
        <v>0</v>
      </c>
      <c r="DS21" s="58">
        <f>SUM(DS22:DS30)</f>
        <v>0</v>
      </c>
      <c r="DT21" s="58">
        <f>SUM(DT22:DT30)</f>
        <v>0</v>
      </c>
      <c r="DU21" s="58">
        <f>SUM(DU22:DU30)</f>
        <v>0</v>
      </c>
      <c r="DV21" s="58">
        <f>SUM(DV22:DV30)</f>
        <v>0</v>
      </c>
      <c r="DW21" s="58">
        <f>SUM(DW22:DW30)</f>
        <v>0</v>
      </c>
      <c r="DX21" s="58">
        <f>SUM(DX22:DX30)</f>
        <v>0</v>
      </c>
      <c r="DY21" s="58">
        <f>SUM(DY22:DY30)</f>
        <v>0</v>
      </c>
    </row>
    <row r="22" spans="1:129" x14ac:dyDescent="0.45">
      <c r="A22" s="3">
        <v>46022</v>
      </c>
      <c r="B22" s="2" t="s">
        <v>0</v>
      </c>
      <c r="C22" s="6" t="s">
        <v>8</v>
      </c>
      <c r="D22" s="17">
        <v>4.8443031587445756E-2</v>
      </c>
      <c r="E22" s="2" t="s">
        <v>46</v>
      </c>
      <c r="F22" s="2">
        <v>60</v>
      </c>
      <c r="G22" s="2" t="s">
        <v>46</v>
      </c>
      <c r="H22" s="2">
        <v>60</v>
      </c>
      <c r="I22" s="14">
        <v>358.11700000000002</v>
      </c>
      <c r="J22" s="55">
        <f>IF(J$1&lt;$F22,(I22*(1+($D22/12)))-(-PMT($D22/12,$F22,$I22)),0)</f>
        <v>352.83009513087779</v>
      </c>
      <c r="K22" s="55">
        <f t="shared" ref="K22:L22" si="17">IF(K$1&lt;$F22,(J22*(1+($D22/12)))-(-PMT($D22/12,$F22,$I22)),0)</f>
        <v>347.52184745345767</v>
      </c>
      <c r="L22" s="55">
        <f t="shared" si="17"/>
        <v>342.19217080854497</v>
      </c>
      <c r="M22" s="55">
        <f t="shared" ref="K22:BV26" si="18">IF(M$1&lt;$F22,(L22*(1+($D22/12)))-(-PMT($D22/12,$F22,$I22)),0)</f>
        <v>336.84097868912721</v>
      </c>
      <c r="N22" s="55">
        <f t="shared" si="18"/>
        <v>331.4681842389702</v>
      </c>
      <c r="O22" s="55">
        <f t="shared" si="18"/>
        <v>326.07370025120804</v>
      </c>
      <c r="P22" s="55">
        <f t="shared" si="18"/>
        <v>320.65743916692776</v>
      </c>
      <c r="Q22" s="55">
        <f t="shared" si="18"/>
        <v>315.2193130737482</v>
      </c>
      <c r="R22" s="55">
        <f t="shared" si="18"/>
        <v>309.7592337043929</v>
      </c>
      <c r="S22" s="55">
        <f t="shared" si="18"/>
        <v>304.27711243525766</v>
      </c>
      <c r="T22" s="55">
        <f t="shared" si="18"/>
        <v>298.77286028497184</v>
      </c>
      <c r="U22" s="96">
        <f t="shared" si="18"/>
        <v>293.24638791295422</v>
      </c>
      <c r="V22" s="55">
        <f t="shared" si="18"/>
        <v>287.69760561796289</v>
      </c>
      <c r="W22" s="55">
        <f t="shared" si="18"/>
        <v>282.12642333663922</v>
      </c>
      <c r="X22" s="55">
        <f t="shared" si="18"/>
        <v>276.53275064204604</v>
      </c>
      <c r="Y22" s="55">
        <f t="shared" si="18"/>
        <v>270.91649674220002</v>
      </c>
      <c r="Z22" s="55">
        <f t="shared" si="18"/>
        <v>265.27757047859791</v>
      </c>
      <c r="AA22" s="55">
        <f t="shared" si="18"/>
        <v>259.61588032473691</v>
      </c>
      <c r="AB22" s="55">
        <f t="shared" si="18"/>
        <v>253.93133438462903</v>
      </c>
      <c r="AC22" s="55">
        <f t="shared" si="18"/>
        <v>248.22384039130975</v>
      </c>
      <c r="AD22" s="55">
        <f t="shared" si="18"/>
        <v>242.49330570534016</v>
      </c>
      <c r="AE22" s="55">
        <f t="shared" si="18"/>
        <v>236.73963731330346</v>
      </c>
      <c r="AF22" s="55">
        <f t="shared" si="18"/>
        <v>230.96274182629517</v>
      </c>
      <c r="AG22" s="102">
        <f>IF(AG$1&lt;$F22,(AF22*(1+($D22/12)))-(-PMT($D22/12,$F22,$I22)),0)</f>
        <v>225.16252547840736</v>
      </c>
      <c r="AH22" s="55">
        <f>IF(AH$1&lt;$F22,(AG22*(1+($D22/12)))-(-PMT($D22/12,$F22,$I22)),0)</f>
        <v>219.33889412520665</v>
      </c>
      <c r="AI22" s="55">
        <f t="shared" si="18"/>
        <v>213.49175324220622</v>
      </c>
      <c r="AJ22" s="55">
        <f t="shared" si="18"/>
        <v>207.62100792333149</v>
      </c>
      <c r="AK22" s="55">
        <f t="shared" si="18"/>
        <v>201.72656287937974</v>
      </c>
      <c r="AL22" s="55">
        <f t="shared" si="18"/>
        <v>195.80832243647345</v>
      </c>
      <c r="AM22" s="55">
        <f t="shared" si="18"/>
        <v>189.86619053450733</v>
      </c>
      <c r="AN22" s="55">
        <f t="shared" si="18"/>
        <v>183.90007072558925</v>
      </c>
      <c r="AO22" s="55">
        <f t="shared" si="18"/>
        <v>177.90986617247466</v>
      </c>
      <c r="AP22" s="55">
        <f t="shared" si="18"/>
        <v>171.89547964699494</v>
      </c>
      <c r="AQ22" s="55">
        <f t="shared" si="18"/>
        <v>165.85681352847914</v>
      </c>
      <c r="AR22" s="55">
        <f t="shared" si="18"/>
        <v>159.79376980216955</v>
      </c>
      <c r="AS22" s="108">
        <f t="shared" si="18"/>
        <v>153.70625005763083</v>
      </c>
      <c r="AT22" s="55">
        <f t="shared" si="18"/>
        <v>147.59415548715262</v>
      </c>
      <c r="AU22" s="55">
        <f t="shared" si="18"/>
        <v>141.45738688414582</v>
      </c>
      <c r="AV22" s="55">
        <f t="shared" si="18"/>
        <v>135.29584464153231</v>
      </c>
      <c r="AW22" s="55">
        <f t="shared" si="18"/>
        <v>129.1094287501283</v>
      </c>
      <c r="AX22" s="55">
        <f t="shared" si="18"/>
        <v>122.89803879702093</v>
      </c>
      <c r="AY22" s="55">
        <f t="shared" si="18"/>
        <v>116.66157396393854</v>
      </c>
      <c r="AZ22" s="55">
        <f t="shared" si="18"/>
        <v>110.39993302561422</v>
      </c>
      <c r="BA22" s="55">
        <f t="shared" si="18"/>
        <v>104.11301434814287</v>
      </c>
      <c r="BB22" s="55">
        <f t="shared" si="18"/>
        <v>97.800715887331478</v>
      </c>
      <c r="BC22" s="55">
        <f t="shared" si="18"/>
        <v>91.462935187042888</v>
      </c>
      <c r="BD22" s="55">
        <f t="shared" si="18"/>
        <v>85.09956937753276</v>
      </c>
      <c r="BE22" s="55">
        <f t="shared" si="18"/>
        <v>78.710515173779925</v>
      </c>
      <c r="BF22" s="55">
        <f t="shared" si="18"/>
        <v>72.295668873809888</v>
      </c>
      <c r="BG22" s="55">
        <f t="shared" si="18"/>
        <v>65.854926357011678</v>
      </c>
      <c r="BH22" s="55">
        <f t="shared" si="18"/>
        <v>59.388183082447824</v>
      </c>
      <c r="BI22" s="55">
        <f t="shared" si="18"/>
        <v>52.895334087157501</v>
      </c>
      <c r="BJ22" s="55">
        <f t="shared" si="18"/>
        <v>46.376273984452894</v>
      </c>
      <c r="BK22" s="55">
        <f t="shared" si="18"/>
        <v>39.830896962208641</v>
      </c>
      <c r="BL22" s="55">
        <f t="shared" si="18"/>
        <v>33.259096781144358</v>
      </c>
      <c r="BM22" s="55">
        <f t="shared" si="18"/>
        <v>26.660766773100271</v>
      </c>
      <c r="BN22" s="55">
        <f t="shared" si="18"/>
        <v>20.035799839305845</v>
      </c>
      <c r="BO22" s="55">
        <f t="shared" si="18"/>
        <v>13.384088448641453</v>
      </c>
      <c r="BP22" s="55">
        <f t="shared" si="18"/>
        <v>6.7055246358930178</v>
      </c>
      <c r="BQ22" s="55">
        <f t="shared" si="18"/>
        <v>0</v>
      </c>
      <c r="BR22" s="55">
        <f t="shared" si="18"/>
        <v>0</v>
      </c>
      <c r="BS22" s="55">
        <f t="shared" si="18"/>
        <v>0</v>
      </c>
      <c r="BT22" s="55">
        <f t="shared" si="18"/>
        <v>0</v>
      </c>
      <c r="BU22" s="55">
        <f t="shared" si="18"/>
        <v>0</v>
      </c>
      <c r="BV22" s="55">
        <f t="shared" si="18"/>
        <v>0</v>
      </c>
      <c r="BW22" s="55">
        <f t="shared" ref="BW22:DY26" si="19">IF(BW$1&lt;$F22,(BV22*(1+($D22/12)))-(-PMT($D22/12,$F22,$I22)),0)</f>
        <v>0</v>
      </c>
      <c r="BX22" s="55">
        <f t="shared" si="19"/>
        <v>0</v>
      </c>
      <c r="BY22" s="55">
        <f t="shared" si="19"/>
        <v>0</v>
      </c>
      <c r="BZ22" s="55">
        <f t="shared" si="19"/>
        <v>0</v>
      </c>
      <c r="CA22" s="55">
        <f t="shared" si="19"/>
        <v>0</v>
      </c>
      <c r="CB22" s="55">
        <f t="shared" si="19"/>
        <v>0</v>
      </c>
      <c r="CC22" s="55">
        <f t="shared" si="19"/>
        <v>0</v>
      </c>
      <c r="CD22" s="55">
        <f t="shared" si="19"/>
        <v>0</v>
      </c>
      <c r="CE22" s="55">
        <f t="shared" si="19"/>
        <v>0</v>
      </c>
      <c r="CF22" s="55">
        <f t="shared" si="19"/>
        <v>0</v>
      </c>
      <c r="CG22" s="55">
        <f t="shared" si="19"/>
        <v>0</v>
      </c>
      <c r="CH22" s="55">
        <f t="shared" si="19"/>
        <v>0</v>
      </c>
      <c r="CI22" s="55">
        <f t="shared" si="19"/>
        <v>0</v>
      </c>
      <c r="CJ22" s="55">
        <f t="shared" si="19"/>
        <v>0</v>
      </c>
      <c r="CK22" s="55">
        <f t="shared" si="19"/>
        <v>0</v>
      </c>
      <c r="CL22" s="55">
        <f t="shared" si="19"/>
        <v>0</v>
      </c>
      <c r="CM22" s="55">
        <f t="shared" si="19"/>
        <v>0</v>
      </c>
      <c r="CN22" s="55">
        <f t="shared" si="19"/>
        <v>0</v>
      </c>
      <c r="CO22" s="55">
        <f t="shared" si="19"/>
        <v>0</v>
      </c>
      <c r="CP22" s="55">
        <f t="shared" si="19"/>
        <v>0</v>
      </c>
      <c r="CQ22" s="55">
        <f t="shared" si="19"/>
        <v>0</v>
      </c>
      <c r="CR22" s="55">
        <f t="shared" si="19"/>
        <v>0</v>
      </c>
      <c r="CS22" s="55">
        <f t="shared" si="19"/>
        <v>0</v>
      </c>
      <c r="CT22" s="55">
        <f t="shared" si="19"/>
        <v>0</v>
      </c>
      <c r="CU22" s="55">
        <f t="shared" si="19"/>
        <v>0</v>
      </c>
      <c r="CV22" s="55">
        <f t="shared" si="19"/>
        <v>0</v>
      </c>
      <c r="CW22" s="55">
        <f t="shared" si="19"/>
        <v>0</v>
      </c>
      <c r="CX22" s="55">
        <f t="shared" si="19"/>
        <v>0</v>
      </c>
      <c r="CY22" s="55">
        <f t="shared" si="19"/>
        <v>0</v>
      </c>
      <c r="CZ22" s="55">
        <f t="shared" si="19"/>
        <v>0</v>
      </c>
      <c r="DA22" s="55">
        <f t="shared" si="19"/>
        <v>0</v>
      </c>
      <c r="DB22" s="55">
        <f t="shared" si="19"/>
        <v>0</v>
      </c>
      <c r="DC22" s="55">
        <f t="shared" si="19"/>
        <v>0</v>
      </c>
      <c r="DD22" s="55">
        <f t="shared" si="19"/>
        <v>0</v>
      </c>
      <c r="DE22" s="55">
        <f t="shared" si="19"/>
        <v>0</v>
      </c>
      <c r="DF22" s="55">
        <f t="shared" si="19"/>
        <v>0</v>
      </c>
      <c r="DG22" s="55">
        <f t="shared" si="19"/>
        <v>0</v>
      </c>
      <c r="DH22" s="55">
        <f t="shared" si="19"/>
        <v>0</v>
      </c>
      <c r="DI22" s="55">
        <f t="shared" si="19"/>
        <v>0</v>
      </c>
      <c r="DJ22" s="55">
        <f t="shared" si="19"/>
        <v>0</v>
      </c>
      <c r="DK22" s="55">
        <f t="shared" si="19"/>
        <v>0</v>
      </c>
      <c r="DL22" s="55">
        <f t="shared" si="19"/>
        <v>0</v>
      </c>
      <c r="DM22" s="55">
        <f t="shared" si="19"/>
        <v>0</v>
      </c>
      <c r="DN22" s="55">
        <f t="shared" si="19"/>
        <v>0</v>
      </c>
      <c r="DO22" s="55">
        <f t="shared" si="19"/>
        <v>0</v>
      </c>
      <c r="DP22" s="55">
        <f t="shared" si="19"/>
        <v>0</v>
      </c>
      <c r="DQ22" s="55">
        <f t="shared" si="19"/>
        <v>0</v>
      </c>
      <c r="DR22" s="55">
        <f t="shared" si="19"/>
        <v>0</v>
      </c>
      <c r="DS22" s="55">
        <f t="shared" si="19"/>
        <v>0</v>
      </c>
      <c r="DT22" s="55">
        <f t="shared" si="19"/>
        <v>0</v>
      </c>
      <c r="DU22" s="55">
        <f t="shared" si="19"/>
        <v>0</v>
      </c>
      <c r="DV22" s="55">
        <f t="shared" si="19"/>
        <v>0</v>
      </c>
      <c r="DW22" s="55">
        <f t="shared" si="19"/>
        <v>0</v>
      </c>
      <c r="DX22" s="55">
        <f t="shared" si="19"/>
        <v>0</v>
      </c>
      <c r="DY22" s="55">
        <f t="shared" si="19"/>
        <v>0</v>
      </c>
    </row>
    <row r="23" spans="1:129" x14ac:dyDescent="0.45">
      <c r="A23" s="3"/>
      <c r="B23" s="2"/>
      <c r="C23" s="121" t="s">
        <v>265</v>
      </c>
      <c r="D23" s="17"/>
      <c r="E23" s="2"/>
      <c r="F23" s="2"/>
      <c r="G23" s="2"/>
      <c r="H23" s="2"/>
      <c r="I23" s="14"/>
      <c r="J23" s="83"/>
      <c r="K23" s="83"/>
      <c r="L23" s="83"/>
      <c r="M23" s="83"/>
      <c r="N23" s="83"/>
      <c r="O23" s="83"/>
      <c r="P23" s="83"/>
      <c r="Q23" s="83"/>
      <c r="R23" s="55"/>
      <c r="S23" s="55"/>
      <c r="T23" s="55"/>
      <c r="U23" s="96">
        <f>'Plan Moyen Terme (PMT)'!C10-BAU_Liquidité_Dynamique!U22</f>
        <v>5645.7536120870454</v>
      </c>
      <c r="V23" s="127">
        <f>IF(AND(U1&lt;V$1, V$1&lt;=$F$22),(U23*(1+($D$22/12)))-(-PMT($D$22/12,$F$22-$U1,$U$23)),0)</f>
        <v>5538.9251600553325</v>
      </c>
      <c r="W23" s="127">
        <f t="shared" ref="W23:BQ23" si="20">IF(AND(V1&lt;W$1, W$1&lt;=$F$22),(V23*(1+($D$22/12)))-(-PMT($D$22/12,$F$22-$U1,$U$23)),0)</f>
        <v>5431.6654501839348</v>
      </c>
      <c r="X23" s="127">
        <f t="shared" si="20"/>
        <v>5323.9727415197576</v>
      </c>
      <c r="Y23" s="127">
        <f t="shared" si="20"/>
        <v>5215.8452860816169</v>
      </c>
      <c r="Z23" s="127">
        <f t="shared" si="20"/>
        <v>5107.2813288318712</v>
      </c>
      <c r="AA23" s="127">
        <f t="shared" si="20"/>
        <v>4998.2791076479334</v>
      </c>
      <c r="AB23" s="127">
        <f t="shared" si="20"/>
        <v>4888.8368532936693</v>
      </c>
      <c r="AC23" s="127">
        <f t="shared" si="20"/>
        <v>4778.9527893906816</v>
      </c>
      <c r="AD23" s="127">
        <f t="shared" si="20"/>
        <v>4668.6251323894767</v>
      </c>
      <c r="AE23" s="127">
        <f t="shared" si="20"/>
        <v>4557.8520915405152</v>
      </c>
      <c r="AF23" s="127">
        <f t="shared" si="20"/>
        <v>4446.6318688651463</v>
      </c>
      <c r="AG23" s="127">
        <f t="shared" si="20"/>
        <v>4334.9626591264259</v>
      </c>
      <c r="AH23" s="127">
        <f t="shared" si="20"/>
        <v>4222.8426497998116</v>
      </c>
      <c r="AI23" s="127">
        <f t="shared" si="20"/>
        <v>4110.2700210437479</v>
      </c>
      <c r="AJ23" s="127">
        <f t="shared" si="20"/>
        <v>3997.2429456701257</v>
      </c>
      <c r="AK23" s="127">
        <f t="shared" si="20"/>
        <v>3883.7595891146229</v>
      </c>
      <c r="AL23" s="127">
        <f t="shared" si="20"/>
        <v>3769.8181094069314</v>
      </c>
      <c r="AM23" s="127">
        <f t="shared" si="20"/>
        <v>3655.4166571408564</v>
      </c>
      <c r="AN23" s="127">
        <f t="shared" si="20"/>
        <v>3540.5533754442999</v>
      </c>
      <c r="AO23" s="127">
        <f t="shared" si="20"/>
        <v>3425.2263999491215</v>
      </c>
      <c r="AP23" s="127">
        <f t="shared" si="20"/>
        <v>3309.4338587608768</v>
      </c>
      <c r="AQ23" s="127">
        <f t="shared" si="20"/>
        <v>3193.1738724284342</v>
      </c>
      <c r="AR23" s="127">
        <f t="shared" si="20"/>
        <v>3076.4445539134704</v>
      </c>
      <c r="AS23" s="127">
        <f t="shared" si="20"/>
        <v>2959.2440085598396</v>
      </c>
      <c r="AT23" s="127">
        <f t="shared" si="20"/>
        <v>2841.5703340628229</v>
      </c>
      <c r="AU23" s="127">
        <f t="shared" si="20"/>
        <v>2723.4216204382501</v>
      </c>
      <c r="AV23" s="127">
        <f t="shared" si="20"/>
        <v>2604.7959499915</v>
      </c>
      <c r="AW23" s="127">
        <f t="shared" si="20"/>
        <v>2485.6913972863722</v>
      </c>
      <c r="AX23" s="127">
        <f t="shared" si="20"/>
        <v>2366.1060291138356</v>
      </c>
      <c r="AY23" s="127">
        <f t="shared" si="20"/>
        <v>2246.0379044606507</v>
      </c>
      <c r="AZ23" s="127">
        <f t="shared" si="20"/>
        <v>2125.4850744778641</v>
      </c>
      <c r="BA23" s="127">
        <f t="shared" si="20"/>
        <v>2004.4455824491765</v>
      </c>
      <c r="BB23" s="127">
        <f t="shared" si="20"/>
        <v>1882.917463759183</v>
      </c>
      <c r="BC23" s="127">
        <f t="shared" si="20"/>
        <v>1760.8987458614843</v>
      </c>
      <c r="BD23" s="127">
        <f t="shared" si="20"/>
        <v>1638.3874482466706</v>
      </c>
      <c r="BE23" s="127">
        <f t="shared" si="20"/>
        <v>1515.381582410176</v>
      </c>
      <c r="BF23" s="127">
        <f t="shared" si="20"/>
        <v>1391.8791518200014</v>
      </c>
      <c r="BG23" s="127">
        <f t="shared" si="20"/>
        <v>1267.8781518843098</v>
      </c>
      <c r="BH23" s="127">
        <f t="shared" si="20"/>
        <v>1143.376569918888</v>
      </c>
      <c r="BI23" s="127">
        <f t="shared" si="20"/>
        <v>1018.3723851144798</v>
      </c>
      <c r="BJ23" s="127">
        <f t="shared" si="20"/>
        <v>892.86356850398477</v>
      </c>
      <c r="BK23" s="127">
        <f t="shared" si="20"/>
        <v>766.84808292952596</v>
      </c>
      <c r="BL23" s="127">
        <f t="shared" si="20"/>
        <v>640.32388300938453</v>
      </c>
      <c r="BM23" s="127">
        <f t="shared" si="20"/>
        <v>513.28891510480082</v>
      </c>
      <c r="BN23" s="127">
        <f t="shared" si="20"/>
        <v>385.74111728664116</v>
      </c>
      <c r="BO23" s="127">
        <f t="shared" si="20"/>
        <v>257.67841930193026</v>
      </c>
      <c r="BP23" s="127">
        <f t="shared" si="20"/>
        <v>129.09874254024876</v>
      </c>
      <c r="BQ23" s="127">
        <f t="shared" si="20"/>
        <v>-5.1727511163335294E-12</v>
      </c>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row>
    <row r="24" spans="1:129" x14ac:dyDescent="0.45">
      <c r="A24" s="3"/>
      <c r="B24" s="2"/>
      <c r="C24" s="122" t="s">
        <v>266</v>
      </c>
      <c r="D24" s="17"/>
      <c r="E24" s="2"/>
      <c r="F24" s="2"/>
      <c r="G24" s="2"/>
      <c r="H24" s="2"/>
      <c r="I24" s="14"/>
      <c r="J24" s="91"/>
      <c r="K24" s="91"/>
      <c r="L24" s="91"/>
      <c r="M24" s="55"/>
      <c r="N24" s="55"/>
      <c r="O24" s="55"/>
      <c r="P24" s="55"/>
      <c r="Q24" s="55"/>
      <c r="R24" s="55"/>
      <c r="S24" s="55"/>
      <c r="T24" s="55"/>
      <c r="U24" s="96"/>
      <c r="V24" s="55"/>
      <c r="W24" s="55"/>
      <c r="X24" s="55"/>
      <c r="Y24" s="55"/>
      <c r="Z24" s="55"/>
      <c r="AA24" s="55"/>
      <c r="AB24" s="55"/>
      <c r="AC24" s="55"/>
      <c r="AD24" s="55"/>
      <c r="AE24" s="55"/>
      <c r="AF24" s="55"/>
      <c r="AG24" s="102">
        <f>'Plan Moyen Terme (PMT)'!D10-BAU_Liquidité_Dynamique!AG22</f>
        <v>3744.8374745215924</v>
      </c>
      <c r="AH24" s="123">
        <f>IF(AND(AG1&lt;AH$1, AH$1&lt;=$F22),(AG24*(1+$D22/12))+(PMT($D22/12,$F22-$AG1,$AG24)),0)</f>
        <v>3647.9805358150834</v>
      </c>
      <c r="AI24" s="123">
        <f t="shared" ref="AI24:BQ24" si="21">IF(AND(AH1&lt;AI$1, AI$1&lt;=$F22),(AH24*(1+$D22/12))+(PMT($D22/12,$F22-$AG1,$AG24)),0)</f>
        <v>3550.7325934634723</v>
      </c>
      <c r="AJ24" s="123">
        <f t="shared" si="21"/>
        <v>3453.0920690165985</v>
      </c>
      <c r="AK24" s="123">
        <f t="shared" si="21"/>
        <v>3355.0573776522256</v>
      </c>
      <c r="AL24" s="123">
        <f t="shared" si="21"/>
        <v>3256.6269281503164</v>
      </c>
      <c r="AM24" s="123">
        <f t="shared" si="21"/>
        <v>3157.7991228672086</v>
      </c>
      <c r="AN24" s="123">
        <f t="shared" si="21"/>
        <v>3058.5723577096801</v>
      </c>
      <c r="AO24" s="123">
        <f t="shared" si="21"/>
        <v>2958.9450221089141</v>
      </c>
      <c r="AP24" s="123">
        <f t="shared" si="21"/>
        <v>2858.9154989943581</v>
      </c>
      <c r="AQ24" s="123">
        <f t="shared" si="21"/>
        <v>2758.4821647674762</v>
      </c>
      <c r="AR24" s="123">
        <f t="shared" si="21"/>
        <v>2657.6433892753953</v>
      </c>
      <c r="AS24" s="123">
        <f t="shared" si="21"/>
        <v>2556.3975357844474</v>
      </c>
      <c r="AT24" s="123">
        <f t="shared" si="21"/>
        <v>2454.742960953603</v>
      </c>
      <c r="AU24" s="123">
        <f t="shared" si="21"/>
        <v>2352.6780148077969</v>
      </c>
      <c r="AV24" s="123">
        <f t="shared" si="21"/>
        <v>2250.2010407111484</v>
      </c>
      <c r="AW24" s="123">
        <f t="shared" si="21"/>
        <v>2147.3103753400706</v>
      </c>
      <c r="AX24" s="123">
        <f t="shared" si="21"/>
        <v>2044.0043486562738</v>
      </c>
      <c r="AY24" s="123">
        <f t="shared" si="21"/>
        <v>1940.2812838796592</v>
      </c>
      <c r="AZ24" s="123">
        <f t="shared" si="21"/>
        <v>1836.1394974611012</v>
      </c>
      <c r="BA24" s="123">
        <f t="shared" si="21"/>
        <v>1731.5772990551225</v>
      </c>
      <c r="BB24" s="123">
        <f t="shared" si="21"/>
        <v>1626.5929914924577</v>
      </c>
      <c r="BC24" s="123">
        <f t="shared" si="21"/>
        <v>1521.1848707525057</v>
      </c>
      <c r="BD24" s="123">
        <f t="shared" si="21"/>
        <v>1415.3512259356723</v>
      </c>
      <c r="BE24" s="123">
        <f t="shared" si="21"/>
        <v>1309.0903392355992</v>
      </c>
      <c r="BF24" s="123">
        <f t="shared" si="21"/>
        <v>1202.4004859112827</v>
      </c>
      <c r="BG24" s="123">
        <f t="shared" si="21"/>
        <v>1095.2799342590786</v>
      </c>
      <c r="BH24" s="123">
        <f t="shared" si="21"/>
        <v>987.72694558459523</v>
      </c>
      <c r="BI24" s="123">
        <f t="shared" si="21"/>
        <v>879.73977417447168</v>
      </c>
      <c r="BJ24" s="123">
        <f t="shared" si="21"/>
        <v>771.31666726804326</v>
      </c>
      <c r="BK24" s="123">
        <f t="shared" si="21"/>
        <v>662.45586502889171</v>
      </c>
      <c r="BL24" s="123">
        <f t="shared" si="21"/>
        <v>553.15560051628131</v>
      </c>
      <c r="BM24" s="123">
        <f t="shared" si="21"/>
        <v>443.41409965647927</v>
      </c>
      <c r="BN24" s="123">
        <f t="shared" si="21"/>
        <v>333.2295812139601</v>
      </c>
      <c r="BO24" s="123">
        <f t="shared" si="21"/>
        <v>222.60025676249438</v>
      </c>
      <c r="BP24" s="123">
        <f t="shared" si="21"/>
        <v>111.52433065612031</v>
      </c>
      <c r="BQ24" s="123">
        <f t="shared" si="21"/>
        <v>-1.7337242752546445E-12</v>
      </c>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row>
    <row r="25" spans="1:129" x14ac:dyDescent="0.45">
      <c r="A25" s="3"/>
      <c r="B25" s="2"/>
      <c r="C25" s="125" t="s">
        <v>267</v>
      </c>
      <c r="D25" s="17"/>
      <c r="E25" s="2"/>
      <c r="F25" s="2"/>
      <c r="G25" s="2"/>
      <c r="H25" s="2"/>
      <c r="I25" s="14"/>
      <c r="J25" s="55"/>
      <c r="K25" s="55"/>
      <c r="L25" s="55"/>
      <c r="M25" s="55"/>
      <c r="N25" s="55"/>
      <c r="O25" s="55"/>
      <c r="P25" s="55"/>
      <c r="Q25" s="55"/>
      <c r="R25" s="55"/>
      <c r="S25" s="55"/>
      <c r="T25" s="55"/>
      <c r="U25" s="96"/>
      <c r="V25" s="55"/>
      <c r="W25" s="55"/>
      <c r="X25" s="55"/>
      <c r="Y25" s="55"/>
      <c r="Z25" s="55"/>
      <c r="AA25" s="55"/>
      <c r="AB25" s="55"/>
      <c r="AC25" s="55"/>
      <c r="AD25" s="55"/>
      <c r="AE25" s="55"/>
      <c r="AF25" s="55"/>
      <c r="AG25" s="102"/>
      <c r="AH25" s="55"/>
      <c r="AI25" s="55"/>
      <c r="AJ25" s="55"/>
      <c r="AK25" s="55"/>
      <c r="AL25" s="55"/>
      <c r="AM25" s="55"/>
      <c r="AN25" s="55"/>
      <c r="AO25" s="55"/>
      <c r="AP25" s="55"/>
      <c r="AQ25" s="55"/>
      <c r="AR25" s="55"/>
      <c r="AS25" s="108">
        <f>'Plan Moyen Terme (PMT)'!E10-BAU_Liquidité_Dynamique!AS22</f>
        <v>17882.293749942368</v>
      </c>
      <c r="AT25" s="128">
        <f>IF(AND($AS1&lt;AT$1, AT$1&lt;=$F22),(AS25*(1+$D22/12))+(PMT($D22/12,$F22-$AS1,$AS25)),0)</f>
        <v>17171.208348433069</v>
      </c>
      <c r="AU25" s="128">
        <f t="shared" ref="AU25:BQ25" si="22">IF(AND($AS1&lt;AU$1, AU$1&lt;=$F22),(AT25*(1+$D22/12))+(PMT($D22/12,$F22-$AS1,$AS25)),0)</f>
        <v>16457.252352543215</v>
      </c>
      <c r="AV25" s="128">
        <f t="shared" si="22"/>
        <v>15740.414173914951</v>
      </c>
      <c r="AW25" s="128">
        <f t="shared" si="22"/>
        <v>15020.682177409155</v>
      </c>
      <c r="AX25" s="128">
        <f t="shared" si="22"/>
        <v>14298.04468091659</v>
      </c>
      <c r="AY25" s="128">
        <f t="shared" si="22"/>
        <v>13572.489955168287</v>
      </c>
      <c r="AZ25" s="128">
        <f t="shared" si="22"/>
        <v>12844.006223545162</v>
      </c>
      <c r="BA25" s="128">
        <f t="shared" si="22"/>
        <v>12112.581661886876</v>
      </c>
      <c r="BB25" s="128">
        <f t="shared" si="22"/>
        <v>11378.204398299902</v>
      </c>
      <c r="BC25" s="128">
        <f t="shared" si="22"/>
        <v>10640.862512964841</v>
      </c>
      <c r="BD25" s="128">
        <f t="shared" si="22"/>
        <v>9900.5440379429438</v>
      </c>
      <c r="BE25" s="128">
        <f t="shared" si="22"/>
        <v>9157.2369569818584</v>
      </c>
      <c r="BF25" s="128">
        <f t="shared" si="22"/>
        <v>8410.9292053205918</v>
      </c>
      <c r="BG25" s="128">
        <f t="shared" si="22"/>
        <v>7661.6086694936857</v>
      </c>
      <c r="BH25" s="128">
        <f t="shared" si="22"/>
        <v>6909.2631871345975</v>
      </c>
      <c r="BI25" s="128">
        <f t="shared" si="22"/>
        <v>6153.8805467782931</v>
      </c>
      <c r="BJ25" s="128">
        <f t="shared" si="22"/>
        <v>5395.4484876630395</v>
      </c>
      <c r="BK25" s="128">
        <f t="shared" si="22"/>
        <v>4633.9546995313985</v>
      </c>
      <c r="BL25" s="128">
        <f t="shared" si="22"/>
        <v>3869.3868224304151</v>
      </c>
      <c r="BM25" s="128">
        <f t="shared" si="22"/>
        <v>3101.7324465110028</v>
      </c>
      <c r="BN25" s="128">
        <f t="shared" si="22"/>
        <v>2330.9791118265152</v>
      </c>
      <c r="BO25" s="128">
        <f t="shared" si="22"/>
        <v>1557.1143081305067</v>
      </c>
      <c r="BP25" s="128">
        <f t="shared" si="22"/>
        <v>780.12547467367665</v>
      </c>
      <c r="BQ25" s="128">
        <f t="shared" si="22"/>
        <v>-6.9348971010185778E-12</v>
      </c>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row>
    <row r="26" spans="1:129" x14ac:dyDescent="0.45">
      <c r="A26" s="3">
        <v>46022</v>
      </c>
      <c r="B26" s="2" t="s">
        <v>0</v>
      </c>
      <c r="C26" s="6" t="s">
        <v>9</v>
      </c>
      <c r="D26" s="17">
        <v>3.2228872939520412E-2</v>
      </c>
      <c r="E26" s="2" t="s">
        <v>46</v>
      </c>
      <c r="F26" s="2">
        <v>10</v>
      </c>
      <c r="G26" s="2" t="s">
        <v>46</v>
      </c>
      <c r="H26" s="2">
        <v>10</v>
      </c>
      <c r="I26" s="14">
        <v>49615.565999999999</v>
      </c>
      <c r="J26" s="55">
        <f>IF(J$1&lt;$F26,(I26*(1+($D26/12)))-(-PMT($D26/12,$F26,$I26)),0)</f>
        <v>44713.679059200171</v>
      </c>
      <c r="K26" s="55">
        <f t="shared" si="18"/>
        <v>39798.626927452096</v>
      </c>
      <c r="L26" s="55">
        <f t="shared" si="18"/>
        <v>34870.374246483589</v>
      </c>
      <c r="M26" s="55">
        <f t="shared" si="18"/>
        <v>29928.88556305935</v>
      </c>
      <c r="N26" s="55">
        <f t="shared" si="18"/>
        <v>24974.125328725928</v>
      </c>
      <c r="O26" s="55">
        <f t="shared" si="18"/>
        <v>20006.057899555995</v>
      </c>
      <c r="P26" s="55">
        <f t="shared" si="18"/>
        <v>15024.647535891923</v>
      </c>
      <c r="Q26" s="55">
        <f t="shared" si="18"/>
        <v>10029.858402088674</v>
      </c>
      <c r="R26" s="55">
        <f t="shared" si="18"/>
        <v>5021.6545662560047</v>
      </c>
      <c r="S26" s="55">
        <f t="shared" si="18"/>
        <v>0</v>
      </c>
      <c r="T26" s="55">
        <f t="shared" si="18"/>
        <v>0</v>
      </c>
      <c r="U26" s="96">
        <f t="shared" si="18"/>
        <v>0</v>
      </c>
      <c r="V26" s="55">
        <f t="shared" si="18"/>
        <v>0</v>
      </c>
      <c r="W26" s="55">
        <f t="shared" si="18"/>
        <v>0</v>
      </c>
      <c r="X26" s="55">
        <f t="shared" si="18"/>
        <v>0</v>
      </c>
      <c r="Y26" s="55">
        <f t="shared" si="18"/>
        <v>0</v>
      </c>
      <c r="Z26" s="55">
        <f t="shared" si="18"/>
        <v>0</v>
      </c>
      <c r="AA26" s="55">
        <f t="shared" si="18"/>
        <v>0</v>
      </c>
      <c r="AB26" s="55">
        <f t="shared" si="18"/>
        <v>0</v>
      </c>
      <c r="AC26" s="55">
        <f t="shared" si="18"/>
        <v>0</v>
      </c>
      <c r="AD26" s="55">
        <f t="shared" si="18"/>
        <v>0</v>
      </c>
      <c r="AE26" s="55">
        <f t="shared" si="18"/>
        <v>0</v>
      </c>
      <c r="AF26" s="55">
        <f t="shared" si="18"/>
        <v>0</v>
      </c>
      <c r="AG26" s="102">
        <f>IF(AG$1&lt;$F26,(AF26*(1+($D26/12)))-(-PMT($D26/12,$F26,$I26)),0)</f>
        <v>0</v>
      </c>
      <c r="AH26" s="55">
        <f>IF(AH$1&lt;$F26,(AG26*(1+($D26/12)))-(-PMT($D26/12,$F26,$I26)),0)</f>
        <v>0</v>
      </c>
      <c r="AI26" s="55">
        <f t="shared" si="18"/>
        <v>0</v>
      </c>
      <c r="AJ26" s="55">
        <f t="shared" si="18"/>
        <v>0</v>
      </c>
      <c r="AK26" s="55">
        <f t="shared" si="18"/>
        <v>0</v>
      </c>
      <c r="AL26" s="55">
        <f t="shared" si="18"/>
        <v>0</v>
      </c>
      <c r="AM26" s="55">
        <f t="shared" si="18"/>
        <v>0</v>
      </c>
      <c r="AN26" s="55">
        <f t="shared" si="18"/>
        <v>0</v>
      </c>
      <c r="AO26" s="55">
        <f t="shared" si="18"/>
        <v>0</v>
      </c>
      <c r="AP26" s="55">
        <f t="shared" si="18"/>
        <v>0</v>
      </c>
      <c r="AQ26" s="55">
        <f t="shared" si="18"/>
        <v>0</v>
      </c>
      <c r="AR26" s="55">
        <f t="shared" si="18"/>
        <v>0</v>
      </c>
      <c r="AS26" s="108">
        <f t="shared" si="18"/>
        <v>0</v>
      </c>
      <c r="AT26" s="55">
        <f t="shared" si="18"/>
        <v>0</v>
      </c>
      <c r="AU26" s="55">
        <f t="shared" si="18"/>
        <v>0</v>
      </c>
      <c r="AV26" s="55">
        <f t="shared" si="18"/>
        <v>0</v>
      </c>
      <c r="AW26" s="55">
        <f t="shared" si="18"/>
        <v>0</v>
      </c>
      <c r="AX26" s="55">
        <f t="shared" si="18"/>
        <v>0</v>
      </c>
      <c r="AY26" s="55">
        <f t="shared" si="18"/>
        <v>0</v>
      </c>
      <c r="AZ26" s="55">
        <f t="shared" si="18"/>
        <v>0</v>
      </c>
      <c r="BA26" s="55">
        <f t="shared" si="18"/>
        <v>0</v>
      </c>
      <c r="BB26" s="55">
        <f t="shared" si="18"/>
        <v>0</v>
      </c>
      <c r="BC26" s="55">
        <f t="shared" si="18"/>
        <v>0</v>
      </c>
      <c r="BD26" s="55">
        <f t="shared" si="18"/>
        <v>0</v>
      </c>
      <c r="BE26" s="55">
        <f t="shared" si="18"/>
        <v>0</v>
      </c>
      <c r="BF26" s="55">
        <f t="shared" si="18"/>
        <v>0</v>
      </c>
      <c r="BG26" s="55">
        <f t="shared" si="18"/>
        <v>0</v>
      </c>
      <c r="BH26" s="55">
        <f t="shared" si="18"/>
        <v>0</v>
      </c>
      <c r="BI26" s="55">
        <f t="shared" si="18"/>
        <v>0</v>
      </c>
      <c r="BJ26" s="55">
        <f t="shared" si="18"/>
        <v>0</v>
      </c>
      <c r="BK26" s="55">
        <f t="shared" si="18"/>
        <v>0</v>
      </c>
      <c r="BL26" s="55">
        <f t="shared" si="18"/>
        <v>0</v>
      </c>
      <c r="BM26" s="55">
        <f t="shared" si="18"/>
        <v>0</v>
      </c>
      <c r="BN26" s="55">
        <f t="shared" si="18"/>
        <v>0</v>
      </c>
      <c r="BO26" s="55">
        <f t="shared" si="18"/>
        <v>0</v>
      </c>
      <c r="BP26" s="55">
        <f t="shared" si="18"/>
        <v>0</v>
      </c>
      <c r="BQ26" s="55">
        <f t="shared" si="18"/>
        <v>0</v>
      </c>
      <c r="BR26" s="55">
        <f t="shared" si="18"/>
        <v>0</v>
      </c>
      <c r="BS26" s="55">
        <f t="shared" si="18"/>
        <v>0</v>
      </c>
      <c r="BT26" s="55">
        <f t="shared" si="18"/>
        <v>0</v>
      </c>
      <c r="BU26" s="55">
        <f t="shared" si="18"/>
        <v>0</v>
      </c>
      <c r="BV26" s="55">
        <f t="shared" si="18"/>
        <v>0</v>
      </c>
      <c r="BW26" s="55">
        <f t="shared" si="19"/>
        <v>0</v>
      </c>
      <c r="BX26" s="55">
        <f t="shared" si="19"/>
        <v>0</v>
      </c>
      <c r="BY26" s="55">
        <f t="shared" si="19"/>
        <v>0</v>
      </c>
      <c r="BZ26" s="55">
        <f t="shared" si="19"/>
        <v>0</v>
      </c>
      <c r="CA26" s="55">
        <f t="shared" si="19"/>
        <v>0</v>
      </c>
      <c r="CB26" s="55">
        <f t="shared" si="19"/>
        <v>0</v>
      </c>
      <c r="CC26" s="55">
        <f t="shared" si="19"/>
        <v>0</v>
      </c>
      <c r="CD26" s="55">
        <f t="shared" si="19"/>
        <v>0</v>
      </c>
      <c r="CE26" s="55">
        <f t="shared" si="19"/>
        <v>0</v>
      </c>
      <c r="CF26" s="55">
        <f t="shared" si="19"/>
        <v>0</v>
      </c>
      <c r="CG26" s="55">
        <f t="shared" si="19"/>
        <v>0</v>
      </c>
      <c r="CH26" s="55">
        <f t="shared" si="19"/>
        <v>0</v>
      </c>
      <c r="CI26" s="55">
        <f t="shared" si="19"/>
        <v>0</v>
      </c>
      <c r="CJ26" s="55">
        <f t="shared" si="19"/>
        <v>0</v>
      </c>
      <c r="CK26" s="55">
        <f t="shared" si="19"/>
        <v>0</v>
      </c>
      <c r="CL26" s="55">
        <f t="shared" si="19"/>
        <v>0</v>
      </c>
      <c r="CM26" s="55">
        <f t="shared" si="19"/>
        <v>0</v>
      </c>
      <c r="CN26" s="55">
        <f t="shared" si="19"/>
        <v>0</v>
      </c>
      <c r="CO26" s="55">
        <f t="shared" si="19"/>
        <v>0</v>
      </c>
      <c r="CP26" s="55">
        <f t="shared" si="19"/>
        <v>0</v>
      </c>
      <c r="CQ26" s="55">
        <f t="shared" si="19"/>
        <v>0</v>
      </c>
      <c r="CR26" s="55">
        <f t="shared" si="19"/>
        <v>0</v>
      </c>
      <c r="CS26" s="55">
        <f t="shared" si="19"/>
        <v>0</v>
      </c>
      <c r="CT26" s="55">
        <f t="shared" si="19"/>
        <v>0</v>
      </c>
      <c r="CU26" s="55">
        <f t="shared" si="19"/>
        <v>0</v>
      </c>
      <c r="CV26" s="55">
        <f t="shared" si="19"/>
        <v>0</v>
      </c>
      <c r="CW26" s="55">
        <f t="shared" si="19"/>
        <v>0</v>
      </c>
      <c r="CX26" s="55">
        <f t="shared" si="19"/>
        <v>0</v>
      </c>
      <c r="CY26" s="55">
        <f t="shared" si="19"/>
        <v>0</v>
      </c>
      <c r="CZ26" s="55">
        <f t="shared" si="19"/>
        <v>0</v>
      </c>
      <c r="DA26" s="55">
        <f t="shared" si="19"/>
        <v>0</v>
      </c>
      <c r="DB26" s="55">
        <f t="shared" si="19"/>
        <v>0</v>
      </c>
      <c r="DC26" s="55">
        <f t="shared" si="19"/>
        <v>0</v>
      </c>
      <c r="DD26" s="55">
        <f t="shared" si="19"/>
        <v>0</v>
      </c>
      <c r="DE26" s="55">
        <f t="shared" si="19"/>
        <v>0</v>
      </c>
      <c r="DF26" s="55">
        <f t="shared" si="19"/>
        <v>0</v>
      </c>
      <c r="DG26" s="55">
        <f t="shared" si="19"/>
        <v>0</v>
      </c>
      <c r="DH26" s="55">
        <f t="shared" si="19"/>
        <v>0</v>
      </c>
      <c r="DI26" s="55">
        <f t="shared" si="19"/>
        <v>0</v>
      </c>
      <c r="DJ26" s="55">
        <f t="shared" si="19"/>
        <v>0</v>
      </c>
      <c r="DK26" s="55">
        <f t="shared" si="19"/>
        <v>0</v>
      </c>
      <c r="DL26" s="55">
        <f t="shared" si="19"/>
        <v>0</v>
      </c>
      <c r="DM26" s="55">
        <f t="shared" si="19"/>
        <v>0</v>
      </c>
      <c r="DN26" s="55">
        <f t="shared" si="19"/>
        <v>0</v>
      </c>
      <c r="DO26" s="55">
        <f t="shared" si="19"/>
        <v>0</v>
      </c>
      <c r="DP26" s="55">
        <f t="shared" si="19"/>
        <v>0</v>
      </c>
      <c r="DQ26" s="55">
        <f t="shared" si="19"/>
        <v>0</v>
      </c>
      <c r="DR26" s="55">
        <f t="shared" si="19"/>
        <v>0</v>
      </c>
      <c r="DS26" s="55">
        <f t="shared" si="19"/>
        <v>0</v>
      </c>
      <c r="DT26" s="55">
        <f t="shared" si="19"/>
        <v>0</v>
      </c>
      <c r="DU26" s="55">
        <f t="shared" si="19"/>
        <v>0</v>
      </c>
      <c r="DV26" s="55">
        <f t="shared" si="19"/>
        <v>0</v>
      </c>
      <c r="DW26" s="55">
        <f t="shared" si="19"/>
        <v>0</v>
      </c>
      <c r="DX26" s="55">
        <f t="shared" si="19"/>
        <v>0</v>
      </c>
      <c r="DY26" s="55">
        <f t="shared" si="19"/>
        <v>0</v>
      </c>
    </row>
    <row r="27" spans="1:129" x14ac:dyDescent="0.45">
      <c r="A27" s="3"/>
      <c r="B27" s="2"/>
      <c r="C27" s="121" t="s">
        <v>268</v>
      </c>
      <c r="D27" s="17"/>
      <c r="E27" s="2"/>
      <c r="F27" s="2"/>
      <c r="G27" s="2"/>
      <c r="H27" s="2"/>
      <c r="I27" s="14"/>
      <c r="J27" s="55"/>
      <c r="K27" s="55"/>
      <c r="L27" s="55"/>
      <c r="M27" s="55"/>
      <c r="N27" s="55"/>
      <c r="O27" s="55"/>
      <c r="P27" s="55"/>
      <c r="Q27" s="55"/>
      <c r="R27" s="55"/>
      <c r="S27" s="55"/>
      <c r="T27" s="55"/>
      <c r="U27" s="96"/>
      <c r="V27" s="55"/>
      <c r="W27" s="55"/>
      <c r="X27" s="55"/>
      <c r="Y27" s="55"/>
      <c r="Z27" s="55"/>
      <c r="AA27" s="55"/>
      <c r="AB27" s="55"/>
      <c r="AC27" s="55"/>
      <c r="AD27" s="55"/>
      <c r="AE27" s="55"/>
      <c r="AF27" s="55"/>
      <c r="AG27" s="102"/>
      <c r="AH27" s="55"/>
      <c r="AI27" s="55"/>
      <c r="AJ27" s="55"/>
      <c r="AK27" s="55"/>
      <c r="AL27" s="55"/>
      <c r="AM27" s="55"/>
      <c r="AN27" s="55"/>
      <c r="AO27" s="55"/>
      <c r="AP27" s="55"/>
      <c r="AQ27" s="55"/>
      <c r="AR27" s="55"/>
      <c r="AS27" s="108"/>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row>
    <row r="28" spans="1:129" x14ac:dyDescent="0.45">
      <c r="A28" s="3"/>
      <c r="B28" s="2"/>
      <c r="C28" s="122" t="s">
        <v>269</v>
      </c>
      <c r="D28" s="17"/>
      <c r="E28" s="2"/>
      <c r="F28" s="2"/>
      <c r="G28" s="2"/>
      <c r="H28" s="2"/>
      <c r="I28" s="14"/>
      <c r="J28" s="55"/>
      <c r="K28" s="55"/>
      <c r="L28" s="55"/>
      <c r="M28" s="55"/>
      <c r="N28" s="55"/>
      <c r="O28" s="55"/>
      <c r="P28" s="55"/>
      <c r="Q28" s="55"/>
      <c r="R28" s="55"/>
      <c r="S28" s="55"/>
      <c r="T28" s="55"/>
      <c r="U28" s="96"/>
      <c r="V28" s="55"/>
      <c r="W28" s="55"/>
      <c r="X28" s="55"/>
      <c r="Y28" s="55"/>
      <c r="Z28" s="55"/>
      <c r="AA28" s="55"/>
      <c r="AB28" s="55"/>
      <c r="AC28" s="55"/>
      <c r="AD28" s="55"/>
      <c r="AE28" s="55"/>
      <c r="AF28" s="55"/>
      <c r="AG28" s="102"/>
      <c r="AH28" s="55"/>
      <c r="AI28" s="55"/>
      <c r="AJ28" s="55"/>
      <c r="AK28" s="55"/>
      <c r="AL28" s="55"/>
      <c r="AM28" s="55"/>
      <c r="AN28" s="55"/>
      <c r="AO28" s="55"/>
      <c r="AP28" s="55"/>
      <c r="AQ28" s="55"/>
      <c r="AR28" s="55"/>
      <c r="AS28" s="108"/>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row>
    <row r="29" spans="1:129" x14ac:dyDescent="0.45">
      <c r="A29" s="3"/>
      <c r="B29" s="2"/>
      <c r="C29" s="125" t="s">
        <v>270</v>
      </c>
      <c r="D29" s="17"/>
      <c r="E29" s="2"/>
      <c r="F29" s="2"/>
      <c r="G29" s="2"/>
      <c r="H29" s="2"/>
      <c r="I29" s="14"/>
      <c r="J29" s="55"/>
      <c r="K29" s="55"/>
      <c r="L29" s="55"/>
      <c r="M29" s="55"/>
      <c r="N29" s="55"/>
      <c r="O29" s="55"/>
      <c r="P29" s="55"/>
      <c r="Q29" s="55"/>
      <c r="R29" s="55"/>
      <c r="S29" s="55"/>
      <c r="T29" s="55"/>
      <c r="U29" s="96"/>
      <c r="V29" s="55"/>
      <c r="W29" s="55"/>
      <c r="X29" s="55"/>
      <c r="Y29" s="55"/>
      <c r="Z29" s="55"/>
      <c r="AA29" s="55"/>
      <c r="AB29" s="55"/>
      <c r="AC29" s="55"/>
      <c r="AD29" s="55"/>
      <c r="AE29" s="55"/>
      <c r="AF29" s="55"/>
      <c r="AG29" s="102"/>
      <c r="AH29" s="55"/>
      <c r="AI29" s="55"/>
      <c r="AJ29" s="55"/>
      <c r="AK29" s="55"/>
      <c r="AL29" s="55"/>
      <c r="AM29" s="55"/>
      <c r="AN29" s="55"/>
      <c r="AO29" s="55"/>
      <c r="AP29" s="55"/>
      <c r="AQ29" s="55"/>
      <c r="AR29" s="55"/>
      <c r="AS29" s="108"/>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row>
    <row r="30" spans="1:129" x14ac:dyDescent="0.45">
      <c r="A30" s="3">
        <v>46022</v>
      </c>
      <c r="B30" s="2" t="s">
        <v>0</v>
      </c>
      <c r="C30" s="6" t="s">
        <v>10</v>
      </c>
      <c r="D30" s="17">
        <v>3.9912213044508871E-2</v>
      </c>
      <c r="E30" s="2" t="s">
        <v>45</v>
      </c>
      <c r="F30" s="2">
        <v>1</v>
      </c>
      <c r="G30" s="2" t="s">
        <v>45</v>
      </c>
      <c r="H30" s="2">
        <v>1</v>
      </c>
      <c r="I30" s="14">
        <v>75676.635999999999</v>
      </c>
      <c r="J30" s="56">
        <f t="shared" ref="J30:Y34" si="23">IF(J$1&lt;$F30,$I30,0)</f>
        <v>0</v>
      </c>
      <c r="K30" s="56">
        <f t="shared" si="23"/>
        <v>0</v>
      </c>
      <c r="L30" s="56">
        <f t="shared" si="23"/>
        <v>0</v>
      </c>
      <c r="M30" s="56">
        <f t="shared" si="23"/>
        <v>0</v>
      </c>
      <c r="N30" s="56">
        <f t="shared" si="23"/>
        <v>0</v>
      </c>
      <c r="O30" s="56">
        <f t="shared" si="23"/>
        <v>0</v>
      </c>
      <c r="P30" s="56">
        <f t="shared" si="23"/>
        <v>0</v>
      </c>
      <c r="Q30" s="56">
        <f t="shared" si="23"/>
        <v>0</v>
      </c>
      <c r="R30" s="56">
        <f t="shared" si="23"/>
        <v>0</v>
      </c>
      <c r="S30" s="56">
        <f t="shared" si="23"/>
        <v>0</v>
      </c>
      <c r="T30" s="56">
        <f t="shared" si="23"/>
        <v>0</v>
      </c>
      <c r="U30" s="98">
        <f t="shared" si="23"/>
        <v>0</v>
      </c>
      <c r="V30" s="56">
        <f t="shared" si="23"/>
        <v>0</v>
      </c>
      <c r="W30" s="56">
        <f t="shared" si="23"/>
        <v>0</v>
      </c>
      <c r="X30" s="56">
        <f t="shared" si="23"/>
        <v>0</v>
      </c>
      <c r="Y30" s="56">
        <f t="shared" si="23"/>
        <v>0</v>
      </c>
      <c r="Z30" s="56">
        <f t="shared" ref="Z30:CK34" si="24">IF(Z$1&lt;$F30,$I30,0)</f>
        <v>0</v>
      </c>
      <c r="AA30" s="56">
        <f t="shared" si="24"/>
        <v>0</v>
      </c>
      <c r="AB30" s="56">
        <f t="shared" si="24"/>
        <v>0</v>
      </c>
      <c r="AC30" s="56">
        <f t="shared" si="24"/>
        <v>0</v>
      </c>
      <c r="AD30" s="56">
        <f t="shared" si="24"/>
        <v>0</v>
      </c>
      <c r="AE30" s="56">
        <f t="shared" si="24"/>
        <v>0</v>
      </c>
      <c r="AF30" s="56">
        <f t="shared" si="24"/>
        <v>0</v>
      </c>
      <c r="AG30" s="104">
        <f t="shared" si="24"/>
        <v>0</v>
      </c>
      <c r="AH30" s="56">
        <f t="shared" si="24"/>
        <v>0</v>
      </c>
      <c r="AI30" s="56">
        <f t="shared" si="24"/>
        <v>0</v>
      </c>
      <c r="AJ30" s="56">
        <f t="shared" si="24"/>
        <v>0</v>
      </c>
      <c r="AK30" s="56">
        <f t="shared" si="24"/>
        <v>0</v>
      </c>
      <c r="AL30" s="56">
        <f t="shared" si="24"/>
        <v>0</v>
      </c>
      <c r="AM30" s="56">
        <f t="shared" si="24"/>
        <v>0</v>
      </c>
      <c r="AN30" s="56">
        <f t="shared" si="24"/>
        <v>0</v>
      </c>
      <c r="AO30" s="56">
        <f t="shared" si="24"/>
        <v>0</v>
      </c>
      <c r="AP30" s="56">
        <f t="shared" si="24"/>
        <v>0</v>
      </c>
      <c r="AQ30" s="56">
        <f t="shared" si="24"/>
        <v>0</v>
      </c>
      <c r="AR30" s="56">
        <f t="shared" si="24"/>
        <v>0</v>
      </c>
      <c r="AS30" s="110">
        <f t="shared" si="24"/>
        <v>0</v>
      </c>
      <c r="AT30" s="56">
        <f t="shared" si="24"/>
        <v>0</v>
      </c>
      <c r="AU30" s="56">
        <f t="shared" si="24"/>
        <v>0</v>
      </c>
      <c r="AV30" s="56">
        <f t="shared" si="24"/>
        <v>0</v>
      </c>
      <c r="AW30" s="56">
        <f t="shared" si="24"/>
        <v>0</v>
      </c>
      <c r="AX30" s="56">
        <f t="shared" si="24"/>
        <v>0</v>
      </c>
      <c r="AY30" s="56">
        <f t="shared" si="24"/>
        <v>0</v>
      </c>
      <c r="AZ30" s="56">
        <f t="shared" si="24"/>
        <v>0</v>
      </c>
      <c r="BA30" s="56">
        <f t="shared" si="24"/>
        <v>0</v>
      </c>
      <c r="BB30" s="56">
        <f t="shared" si="24"/>
        <v>0</v>
      </c>
      <c r="BC30" s="56">
        <f t="shared" si="24"/>
        <v>0</v>
      </c>
      <c r="BD30" s="56">
        <f t="shared" si="24"/>
        <v>0</v>
      </c>
      <c r="BE30" s="56">
        <f t="shared" si="24"/>
        <v>0</v>
      </c>
      <c r="BF30" s="56">
        <f t="shared" si="24"/>
        <v>0</v>
      </c>
      <c r="BG30" s="56">
        <f t="shared" si="24"/>
        <v>0</v>
      </c>
      <c r="BH30" s="56">
        <f t="shared" si="24"/>
        <v>0</v>
      </c>
      <c r="BI30" s="56">
        <f t="shared" si="24"/>
        <v>0</v>
      </c>
      <c r="BJ30" s="56">
        <f t="shared" si="24"/>
        <v>0</v>
      </c>
      <c r="BK30" s="56">
        <f t="shared" si="24"/>
        <v>0</v>
      </c>
      <c r="BL30" s="56">
        <f t="shared" si="24"/>
        <v>0</v>
      </c>
      <c r="BM30" s="56">
        <f t="shared" si="24"/>
        <v>0</v>
      </c>
      <c r="BN30" s="56">
        <f t="shared" si="24"/>
        <v>0</v>
      </c>
      <c r="BO30" s="56">
        <f t="shared" si="24"/>
        <v>0</v>
      </c>
      <c r="BP30" s="56">
        <f t="shared" si="24"/>
        <v>0</v>
      </c>
      <c r="BQ30" s="56">
        <f t="shared" si="24"/>
        <v>0</v>
      </c>
      <c r="BR30" s="56">
        <f t="shared" si="24"/>
        <v>0</v>
      </c>
      <c r="BS30" s="56">
        <f t="shared" si="24"/>
        <v>0</v>
      </c>
      <c r="BT30" s="56">
        <f t="shared" si="24"/>
        <v>0</v>
      </c>
      <c r="BU30" s="56">
        <f t="shared" si="24"/>
        <v>0</v>
      </c>
      <c r="BV30" s="56">
        <f t="shared" si="24"/>
        <v>0</v>
      </c>
      <c r="BW30" s="56">
        <f t="shared" si="24"/>
        <v>0</v>
      </c>
      <c r="BX30" s="56">
        <f t="shared" si="24"/>
        <v>0</v>
      </c>
      <c r="BY30" s="56">
        <f t="shared" si="24"/>
        <v>0</v>
      </c>
      <c r="BZ30" s="56">
        <f t="shared" si="24"/>
        <v>0</v>
      </c>
      <c r="CA30" s="56">
        <f t="shared" si="24"/>
        <v>0</v>
      </c>
      <c r="CB30" s="56">
        <f t="shared" si="24"/>
        <v>0</v>
      </c>
      <c r="CC30" s="56">
        <f t="shared" si="24"/>
        <v>0</v>
      </c>
      <c r="CD30" s="56">
        <f t="shared" si="24"/>
        <v>0</v>
      </c>
      <c r="CE30" s="56">
        <f t="shared" si="24"/>
        <v>0</v>
      </c>
      <c r="CF30" s="56">
        <f t="shared" si="24"/>
        <v>0</v>
      </c>
      <c r="CG30" s="56">
        <f t="shared" si="24"/>
        <v>0</v>
      </c>
      <c r="CH30" s="56">
        <f t="shared" si="24"/>
        <v>0</v>
      </c>
      <c r="CI30" s="56">
        <f t="shared" si="24"/>
        <v>0</v>
      </c>
      <c r="CJ30" s="56">
        <f t="shared" si="24"/>
        <v>0</v>
      </c>
      <c r="CK30" s="56">
        <f t="shared" si="24"/>
        <v>0</v>
      </c>
      <c r="CL30" s="56">
        <f t="shared" ref="CL30:DY34" si="25">IF(CL$1&lt;$F30,$I30,0)</f>
        <v>0</v>
      </c>
      <c r="CM30" s="56">
        <f t="shared" si="25"/>
        <v>0</v>
      </c>
      <c r="CN30" s="56">
        <f t="shared" si="25"/>
        <v>0</v>
      </c>
      <c r="CO30" s="56">
        <f t="shared" si="25"/>
        <v>0</v>
      </c>
      <c r="CP30" s="56">
        <f t="shared" si="25"/>
        <v>0</v>
      </c>
      <c r="CQ30" s="56">
        <f t="shared" si="25"/>
        <v>0</v>
      </c>
      <c r="CR30" s="56">
        <f t="shared" si="25"/>
        <v>0</v>
      </c>
      <c r="CS30" s="56">
        <f t="shared" si="25"/>
        <v>0</v>
      </c>
      <c r="CT30" s="56">
        <f t="shared" si="25"/>
        <v>0</v>
      </c>
      <c r="CU30" s="56">
        <f t="shared" si="25"/>
        <v>0</v>
      </c>
      <c r="CV30" s="56">
        <f t="shared" si="25"/>
        <v>0</v>
      </c>
      <c r="CW30" s="56">
        <f t="shared" si="25"/>
        <v>0</v>
      </c>
      <c r="CX30" s="56">
        <f t="shared" si="25"/>
        <v>0</v>
      </c>
      <c r="CY30" s="56">
        <f t="shared" si="25"/>
        <v>0</v>
      </c>
      <c r="CZ30" s="56">
        <f t="shared" si="25"/>
        <v>0</v>
      </c>
      <c r="DA30" s="56">
        <f t="shared" si="25"/>
        <v>0</v>
      </c>
      <c r="DB30" s="56">
        <f t="shared" si="25"/>
        <v>0</v>
      </c>
      <c r="DC30" s="56">
        <f t="shared" si="25"/>
        <v>0</v>
      </c>
      <c r="DD30" s="56">
        <f t="shared" si="25"/>
        <v>0</v>
      </c>
      <c r="DE30" s="56">
        <f t="shared" si="25"/>
        <v>0</v>
      </c>
      <c r="DF30" s="56">
        <f t="shared" si="25"/>
        <v>0</v>
      </c>
      <c r="DG30" s="56">
        <f t="shared" si="25"/>
        <v>0</v>
      </c>
      <c r="DH30" s="56">
        <f t="shared" si="25"/>
        <v>0</v>
      </c>
      <c r="DI30" s="56">
        <f t="shared" si="25"/>
        <v>0</v>
      </c>
      <c r="DJ30" s="56">
        <f t="shared" si="25"/>
        <v>0</v>
      </c>
      <c r="DK30" s="56">
        <f t="shared" si="25"/>
        <v>0</v>
      </c>
      <c r="DL30" s="56">
        <f t="shared" si="25"/>
        <v>0</v>
      </c>
      <c r="DM30" s="56">
        <f t="shared" si="25"/>
        <v>0</v>
      </c>
      <c r="DN30" s="56">
        <f t="shared" si="25"/>
        <v>0</v>
      </c>
      <c r="DO30" s="56">
        <f t="shared" si="25"/>
        <v>0</v>
      </c>
      <c r="DP30" s="56">
        <f t="shared" si="25"/>
        <v>0</v>
      </c>
      <c r="DQ30" s="56">
        <f t="shared" si="25"/>
        <v>0</v>
      </c>
      <c r="DR30" s="56">
        <f t="shared" si="25"/>
        <v>0</v>
      </c>
      <c r="DS30" s="56">
        <f t="shared" si="25"/>
        <v>0</v>
      </c>
      <c r="DT30" s="56">
        <f t="shared" si="25"/>
        <v>0</v>
      </c>
      <c r="DU30" s="56">
        <f t="shared" si="25"/>
        <v>0</v>
      </c>
      <c r="DV30" s="56">
        <f t="shared" si="25"/>
        <v>0</v>
      </c>
      <c r="DW30" s="56">
        <f t="shared" si="25"/>
        <v>0</v>
      </c>
      <c r="DX30" s="56">
        <f t="shared" si="25"/>
        <v>0</v>
      </c>
      <c r="DY30" s="56">
        <f t="shared" si="25"/>
        <v>0</v>
      </c>
    </row>
    <row r="31" spans="1:129" x14ac:dyDescent="0.45">
      <c r="A31" s="3"/>
      <c r="B31" s="2"/>
      <c r="C31" s="121" t="s">
        <v>268</v>
      </c>
      <c r="D31" s="17"/>
      <c r="E31" s="2"/>
      <c r="F31" s="2"/>
      <c r="G31" s="2"/>
      <c r="H31" s="2"/>
      <c r="I31" s="14"/>
      <c r="J31" s="55"/>
      <c r="K31" s="55"/>
      <c r="L31" s="55"/>
      <c r="M31" s="55"/>
      <c r="N31" s="55"/>
      <c r="O31" s="55"/>
      <c r="P31" s="55"/>
      <c r="Q31" s="55"/>
      <c r="R31" s="55"/>
      <c r="S31" s="55"/>
      <c r="T31" s="55"/>
      <c r="U31" s="96"/>
      <c r="V31" s="55"/>
      <c r="W31" s="55"/>
      <c r="X31" s="55"/>
      <c r="Y31" s="55"/>
      <c r="Z31" s="55"/>
      <c r="AA31" s="55"/>
      <c r="AB31" s="55"/>
      <c r="AC31" s="55"/>
      <c r="AD31" s="55"/>
      <c r="AE31" s="55"/>
      <c r="AF31" s="55"/>
      <c r="AG31" s="102"/>
      <c r="AH31" s="55"/>
      <c r="AI31" s="55"/>
      <c r="AJ31" s="55"/>
      <c r="AK31" s="55"/>
      <c r="AL31" s="55"/>
      <c r="AM31" s="55"/>
      <c r="AN31" s="55"/>
      <c r="AO31" s="55"/>
      <c r="AP31" s="55"/>
      <c r="AQ31" s="55"/>
      <c r="AR31" s="55"/>
      <c r="AS31" s="108"/>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row>
    <row r="32" spans="1:129" x14ac:dyDescent="0.45">
      <c r="A32" s="3"/>
      <c r="B32" s="2"/>
      <c r="C32" s="122" t="s">
        <v>269</v>
      </c>
      <c r="D32" s="17"/>
      <c r="E32" s="2"/>
      <c r="F32" s="2"/>
      <c r="G32" s="2"/>
      <c r="H32" s="2"/>
      <c r="I32" s="14"/>
      <c r="J32" s="55"/>
      <c r="K32" s="55"/>
      <c r="L32" s="55"/>
      <c r="M32" s="55"/>
      <c r="N32" s="55"/>
      <c r="O32" s="55"/>
      <c r="P32" s="55"/>
      <c r="Q32" s="55"/>
      <c r="R32" s="55"/>
      <c r="S32" s="55"/>
      <c r="T32" s="55"/>
      <c r="U32" s="96"/>
      <c r="V32" s="55"/>
      <c r="W32" s="55"/>
      <c r="X32" s="55"/>
      <c r="Y32" s="55"/>
      <c r="Z32" s="55"/>
      <c r="AA32" s="55"/>
      <c r="AB32" s="55"/>
      <c r="AC32" s="55"/>
      <c r="AD32" s="55"/>
      <c r="AE32" s="55"/>
      <c r="AF32" s="55"/>
      <c r="AG32" s="102"/>
      <c r="AH32" s="55"/>
      <c r="AI32" s="55"/>
      <c r="AJ32" s="55"/>
      <c r="AK32" s="55"/>
      <c r="AL32" s="55"/>
      <c r="AM32" s="55"/>
      <c r="AN32" s="55"/>
      <c r="AO32" s="55"/>
      <c r="AP32" s="55"/>
      <c r="AQ32" s="55"/>
      <c r="AR32" s="55"/>
      <c r="AS32" s="108"/>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row>
    <row r="33" spans="1:129" x14ac:dyDescent="0.45">
      <c r="A33" s="3"/>
      <c r="B33" s="2"/>
      <c r="C33" s="125" t="s">
        <v>270</v>
      </c>
      <c r="D33" s="17"/>
      <c r="E33" s="2"/>
      <c r="F33" s="2"/>
      <c r="G33" s="2"/>
      <c r="H33" s="2"/>
      <c r="I33" s="14"/>
      <c r="J33" s="55"/>
      <c r="K33" s="55"/>
      <c r="L33" s="55"/>
      <c r="M33" s="55"/>
      <c r="N33" s="55"/>
      <c r="O33" s="55"/>
      <c r="P33" s="55"/>
      <c r="Q33" s="55"/>
      <c r="R33" s="55"/>
      <c r="S33" s="55"/>
      <c r="T33" s="55"/>
      <c r="U33" s="96"/>
      <c r="V33" s="55"/>
      <c r="W33" s="55"/>
      <c r="X33" s="55"/>
      <c r="Y33" s="55"/>
      <c r="Z33" s="55"/>
      <c r="AA33" s="55"/>
      <c r="AB33" s="55"/>
      <c r="AC33" s="55"/>
      <c r="AD33" s="55"/>
      <c r="AE33" s="55"/>
      <c r="AF33" s="55"/>
      <c r="AG33" s="102"/>
      <c r="AH33" s="55"/>
      <c r="AI33" s="55"/>
      <c r="AJ33" s="55"/>
      <c r="AK33" s="55"/>
      <c r="AL33" s="55"/>
      <c r="AM33" s="55"/>
      <c r="AN33" s="55"/>
      <c r="AO33" s="55"/>
      <c r="AP33" s="55"/>
      <c r="AQ33" s="55"/>
      <c r="AR33" s="55"/>
      <c r="AS33" s="108"/>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row>
    <row r="34" spans="1:129" x14ac:dyDescent="0.45">
      <c r="A34" s="3">
        <v>46022</v>
      </c>
      <c r="B34" s="2" t="s">
        <v>0</v>
      </c>
      <c r="C34" s="4" t="s">
        <v>11</v>
      </c>
      <c r="D34" s="17">
        <v>0.05</v>
      </c>
      <c r="E34" s="2" t="s">
        <v>47</v>
      </c>
      <c r="F34" s="2">
        <v>84</v>
      </c>
      <c r="G34" s="2" t="s">
        <v>47</v>
      </c>
      <c r="H34" s="2">
        <v>84</v>
      </c>
      <c r="I34" s="13">
        <v>28</v>
      </c>
      <c r="J34" s="58">
        <f t="shared" si="23"/>
        <v>28</v>
      </c>
      <c r="K34" s="58">
        <f t="shared" si="23"/>
        <v>28</v>
      </c>
      <c r="L34" s="58">
        <f t="shared" si="23"/>
        <v>28</v>
      </c>
      <c r="M34" s="58">
        <f t="shared" si="23"/>
        <v>28</v>
      </c>
      <c r="N34" s="58">
        <f t="shared" si="23"/>
        <v>28</v>
      </c>
      <c r="O34" s="58">
        <f t="shared" si="23"/>
        <v>28</v>
      </c>
      <c r="P34" s="58">
        <f t="shared" si="23"/>
        <v>28</v>
      </c>
      <c r="Q34" s="58">
        <f t="shared" si="23"/>
        <v>28</v>
      </c>
      <c r="R34" s="58">
        <f t="shared" si="23"/>
        <v>28</v>
      </c>
      <c r="S34" s="58">
        <f t="shared" si="23"/>
        <v>28</v>
      </c>
      <c r="T34" s="58">
        <f t="shared" si="23"/>
        <v>28</v>
      </c>
      <c r="U34" s="97">
        <f t="shared" si="23"/>
        <v>28</v>
      </c>
      <c r="V34" s="58">
        <f t="shared" si="23"/>
        <v>28</v>
      </c>
      <c r="W34" s="58">
        <f t="shared" si="23"/>
        <v>28</v>
      </c>
      <c r="X34" s="58">
        <f t="shared" si="23"/>
        <v>28</v>
      </c>
      <c r="Y34" s="58">
        <f t="shared" si="23"/>
        <v>28</v>
      </c>
      <c r="Z34" s="58">
        <f t="shared" si="24"/>
        <v>28</v>
      </c>
      <c r="AA34" s="58">
        <f t="shared" si="24"/>
        <v>28</v>
      </c>
      <c r="AB34" s="58">
        <f t="shared" si="24"/>
        <v>28</v>
      </c>
      <c r="AC34" s="58">
        <f t="shared" si="24"/>
        <v>28</v>
      </c>
      <c r="AD34" s="58">
        <f t="shared" si="24"/>
        <v>28</v>
      </c>
      <c r="AE34" s="58">
        <f t="shared" si="24"/>
        <v>28</v>
      </c>
      <c r="AF34" s="58">
        <f t="shared" si="24"/>
        <v>28</v>
      </c>
      <c r="AG34" s="103">
        <f t="shared" si="24"/>
        <v>28</v>
      </c>
      <c r="AH34" s="58">
        <f t="shared" si="24"/>
        <v>28</v>
      </c>
      <c r="AI34" s="58">
        <f t="shared" si="24"/>
        <v>28</v>
      </c>
      <c r="AJ34" s="58">
        <f t="shared" si="24"/>
        <v>28</v>
      </c>
      <c r="AK34" s="58">
        <f t="shared" si="24"/>
        <v>28</v>
      </c>
      <c r="AL34" s="58">
        <f t="shared" si="24"/>
        <v>28</v>
      </c>
      <c r="AM34" s="58">
        <f t="shared" si="24"/>
        <v>28</v>
      </c>
      <c r="AN34" s="58">
        <f t="shared" si="24"/>
        <v>28</v>
      </c>
      <c r="AO34" s="58">
        <f t="shared" si="24"/>
        <v>28</v>
      </c>
      <c r="AP34" s="58">
        <f t="shared" si="24"/>
        <v>28</v>
      </c>
      <c r="AQ34" s="58">
        <f t="shared" si="24"/>
        <v>28</v>
      </c>
      <c r="AR34" s="58">
        <f t="shared" si="24"/>
        <v>28</v>
      </c>
      <c r="AS34" s="109">
        <f t="shared" si="24"/>
        <v>28</v>
      </c>
      <c r="AT34" s="58">
        <f t="shared" si="24"/>
        <v>28</v>
      </c>
      <c r="AU34" s="58">
        <f t="shared" si="24"/>
        <v>28</v>
      </c>
      <c r="AV34" s="58">
        <f t="shared" si="24"/>
        <v>28</v>
      </c>
      <c r="AW34" s="58">
        <f t="shared" si="24"/>
        <v>28</v>
      </c>
      <c r="AX34" s="58">
        <f t="shared" si="24"/>
        <v>28</v>
      </c>
      <c r="AY34" s="58">
        <f t="shared" si="24"/>
        <v>28</v>
      </c>
      <c r="AZ34" s="58">
        <f t="shared" si="24"/>
        <v>28</v>
      </c>
      <c r="BA34" s="58">
        <f t="shared" si="24"/>
        <v>28</v>
      </c>
      <c r="BB34" s="58">
        <f t="shared" si="24"/>
        <v>28</v>
      </c>
      <c r="BC34" s="58">
        <f t="shared" si="24"/>
        <v>28</v>
      </c>
      <c r="BD34" s="58">
        <f t="shared" si="24"/>
        <v>28</v>
      </c>
      <c r="BE34" s="58">
        <f t="shared" si="24"/>
        <v>28</v>
      </c>
      <c r="BF34" s="58">
        <f t="shared" si="24"/>
        <v>28</v>
      </c>
      <c r="BG34" s="58">
        <f t="shared" si="24"/>
        <v>28</v>
      </c>
      <c r="BH34" s="58">
        <f t="shared" si="24"/>
        <v>28</v>
      </c>
      <c r="BI34" s="58">
        <f t="shared" si="24"/>
        <v>28</v>
      </c>
      <c r="BJ34" s="58">
        <f t="shared" si="24"/>
        <v>28</v>
      </c>
      <c r="BK34" s="58">
        <f t="shared" si="24"/>
        <v>28</v>
      </c>
      <c r="BL34" s="58">
        <f t="shared" si="24"/>
        <v>28</v>
      </c>
      <c r="BM34" s="58">
        <f t="shared" si="24"/>
        <v>28</v>
      </c>
      <c r="BN34" s="58">
        <f t="shared" si="24"/>
        <v>28</v>
      </c>
      <c r="BO34" s="58">
        <f t="shared" si="24"/>
        <v>28</v>
      </c>
      <c r="BP34" s="58">
        <f t="shared" si="24"/>
        <v>28</v>
      </c>
      <c r="BQ34" s="58">
        <f t="shared" si="24"/>
        <v>28</v>
      </c>
      <c r="BR34" s="58">
        <f t="shared" si="24"/>
        <v>28</v>
      </c>
      <c r="BS34" s="58">
        <f t="shared" si="24"/>
        <v>28</v>
      </c>
      <c r="BT34" s="58">
        <f t="shared" si="24"/>
        <v>28</v>
      </c>
      <c r="BU34" s="58">
        <f t="shared" si="24"/>
        <v>28</v>
      </c>
      <c r="BV34" s="58">
        <f t="shared" si="24"/>
        <v>28</v>
      </c>
      <c r="BW34" s="58">
        <f t="shared" si="24"/>
        <v>28</v>
      </c>
      <c r="BX34" s="58">
        <f t="shared" si="24"/>
        <v>28</v>
      </c>
      <c r="BY34" s="58">
        <f t="shared" si="24"/>
        <v>28</v>
      </c>
      <c r="BZ34" s="58">
        <f t="shared" si="24"/>
        <v>28</v>
      </c>
      <c r="CA34" s="58">
        <f t="shared" si="24"/>
        <v>28</v>
      </c>
      <c r="CB34" s="58">
        <f t="shared" si="24"/>
        <v>28</v>
      </c>
      <c r="CC34" s="58">
        <f t="shared" si="24"/>
        <v>28</v>
      </c>
      <c r="CD34" s="58">
        <f t="shared" si="24"/>
        <v>28</v>
      </c>
      <c r="CE34" s="58">
        <f t="shared" si="24"/>
        <v>28</v>
      </c>
      <c r="CF34" s="58">
        <f t="shared" si="24"/>
        <v>28</v>
      </c>
      <c r="CG34" s="58">
        <f t="shared" si="24"/>
        <v>28</v>
      </c>
      <c r="CH34" s="58">
        <f t="shared" si="24"/>
        <v>28</v>
      </c>
      <c r="CI34" s="58">
        <f t="shared" si="24"/>
        <v>28</v>
      </c>
      <c r="CJ34" s="58">
        <f t="shared" si="24"/>
        <v>28</v>
      </c>
      <c r="CK34" s="58">
        <f t="shared" si="24"/>
        <v>28</v>
      </c>
      <c r="CL34" s="58">
        <f t="shared" si="25"/>
        <v>28</v>
      </c>
      <c r="CM34" s="58">
        <f t="shared" si="25"/>
        <v>28</v>
      </c>
      <c r="CN34" s="58">
        <f t="shared" si="25"/>
        <v>28</v>
      </c>
      <c r="CO34" s="58">
        <f t="shared" si="25"/>
        <v>0</v>
      </c>
      <c r="CP34" s="58">
        <f t="shared" si="25"/>
        <v>0</v>
      </c>
      <c r="CQ34" s="58">
        <f t="shared" si="25"/>
        <v>0</v>
      </c>
      <c r="CR34" s="58">
        <f t="shared" si="25"/>
        <v>0</v>
      </c>
      <c r="CS34" s="58">
        <f t="shared" si="25"/>
        <v>0</v>
      </c>
      <c r="CT34" s="58">
        <f t="shared" si="25"/>
        <v>0</v>
      </c>
      <c r="CU34" s="58">
        <f t="shared" si="25"/>
        <v>0</v>
      </c>
      <c r="CV34" s="58">
        <f t="shared" si="25"/>
        <v>0</v>
      </c>
      <c r="CW34" s="58">
        <f t="shared" si="25"/>
        <v>0</v>
      </c>
      <c r="CX34" s="58">
        <f t="shared" si="25"/>
        <v>0</v>
      </c>
      <c r="CY34" s="58">
        <f t="shared" si="25"/>
        <v>0</v>
      </c>
      <c r="CZ34" s="58">
        <f t="shared" si="25"/>
        <v>0</v>
      </c>
      <c r="DA34" s="58">
        <f t="shared" si="25"/>
        <v>0</v>
      </c>
      <c r="DB34" s="58">
        <f t="shared" si="25"/>
        <v>0</v>
      </c>
      <c r="DC34" s="58">
        <f t="shared" si="25"/>
        <v>0</v>
      </c>
      <c r="DD34" s="58">
        <f t="shared" si="25"/>
        <v>0</v>
      </c>
      <c r="DE34" s="58">
        <f t="shared" si="25"/>
        <v>0</v>
      </c>
      <c r="DF34" s="58">
        <f t="shared" si="25"/>
        <v>0</v>
      </c>
      <c r="DG34" s="58">
        <f t="shared" si="25"/>
        <v>0</v>
      </c>
      <c r="DH34" s="58">
        <f t="shared" si="25"/>
        <v>0</v>
      </c>
      <c r="DI34" s="58">
        <f t="shared" si="25"/>
        <v>0</v>
      </c>
      <c r="DJ34" s="58">
        <f t="shared" si="25"/>
        <v>0</v>
      </c>
      <c r="DK34" s="58">
        <f t="shared" si="25"/>
        <v>0</v>
      </c>
      <c r="DL34" s="58">
        <f t="shared" si="25"/>
        <v>0</v>
      </c>
      <c r="DM34" s="58">
        <f t="shared" si="25"/>
        <v>0</v>
      </c>
      <c r="DN34" s="58">
        <f t="shared" si="25"/>
        <v>0</v>
      </c>
      <c r="DO34" s="58">
        <f t="shared" si="25"/>
        <v>0</v>
      </c>
      <c r="DP34" s="58">
        <f t="shared" si="25"/>
        <v>0</v>
      </c>
      <c r="DQ34" s="58">
        <f t="shared" si="25"/>
        <v>0</v>
      </c>
      <c r="DR34" s="58">
        <f t="shared" si="25"/>
        <v>0</v>
      </c>
      <c r="DS34" s="58">
        <f t="shared" si="25"/>
        <v>0</v>
      </c>
      <c r="DT34" s="58">
        <f t="shared" si="25"/>
        <v>0</v>
      </c>
      <c r="DU34" s="58">
        <f t="shared" si="25"/>
        <v>0</v>
      </c>
      <c r="DV34" s="58">
        <f t="shared" si="25"/>
        <v>0</v>
      </c>
      <c r="DW34" s="58">
        <f t="shared" si="25"/>
        <v>0</v>
      </c>
      <c r="DX34" s="58">
        <f t="shared" si="25"/>
        <v>0</v>
      </c>
      <c r="DY34" s="58">
        <f t="shared" si="25"/>
        <v>0</v>
      </c>
    </row>
    <row r="35" spans="1:129" x14ac:dyDescent="0.45">
      <c r="A35" s="3"/>
      <c r="B35" s="2"/>
      <c r="C35" s="121" t="s">
        <v>265</v>
      </c>
      <c r="D35" s="17"/>
      <c r="E35" s="2"/>
      <c r="F35" s="2"/>
      <c r="G35" s="2"/>
      <c r="H35" s="2"/>
      <c r="I35" s="13"/>
      <c r="J35" s="58"/>
      <c r="K35" s="58"/>
      <c r="L35" s="58"/>
      <c r="M35" s="58"/>
      <c r="N35" s="58"/>
      <c r="O35" s="58"/>
      <c r="P35" s="58"/>
      <c r="Q35" s="58"/>
      <c r="R35" s="58"/>
      <c r="S35" s="58"/>
      <c r="T35" s="58"/>
      <c r="U35" s="97">
        <f>'Plan Moyen Terme (PMT)'!C13-U34</f>
        <v>0</v>
      </c>
      <c r="V35" s="127">
        <f>IF(AND($U1&lt;V$1, V$1&lt;$F$34),$U$35,0)</f>
        <v>0</v>
      </c>
      <c r="W35" s="127">
        <f>IF(AND($U1&lt;W$1, W$1&lt;$F$34),$U$35,0)</f>
        <v>0</v>
      </c>
      <c r="X35" s="127">
        <f t="shared" ref="X35:CI35" si="26">IF(AND($U1&lt;X$1, X$1&lt;$F$34),$U$35,0)</f>
        <v>0</v>
      </c>
      <c r="Y35" s="127">
        <f t="shared" si="26"/>
        <v>0</v>
      </c>
      <c r="Z35" s="127">
        <f t="shared" si="26"/>
        <v>0</v>
      </c>
      <c r="AA35" s="127">
        <f t="shared" si="26"/>
        <v>0</v>
      </c>
      <c r="AB35" s="127">
        <f t="shared" si="26"/>
        <v>0</v>
      </c>
      <c r="AC35" s="127">
        <f t="shared" si="26"/>
        <v>0</v>
      </c>
      <c r="AD35" s="127">
        <f t="shared" si="26"/>
        <v>0</v>
      </c>
      <c r="AE35" s="127">
        <f t="shared" si="26"/>
        <v>0</v>
      </c>
      <c r="AF35" s="127">
        <f t="shared" si="26"/>
        <v>0</v>
      </c>
      <c r="AG35" s="127">
        <f t="shared" si="26"/>
        <v>0</v>
      </c>
      <c r="AH35" s="127">
        <f t="shared" si="26"/>
        <v>0</v>
      </c>
      <c r="AI35" s="127">
        <f t="shared" si="26"/>
        <v>0</v>
      </c>
      <c r="AJ35" s="127">
        <f t="shared" si="26"/>
        <v>0</v>
      </c>
      <c r="AK35" s="127">
        <f t="shared" si="26"/>
        <v>0</v>
      </c>
      <c r="AL35" s="127">
        <f t="shared" si="26"/>
        <v>0</v>
      </c>
      <c r="AM35" s="127">
        <f t="shared" si="26"/>
        <v>0</v>
      </c>
      <c r="AN35" s="127">
        <f t="shared" si="26"/>
        <v>0</v>
      </c>
      <c r="AO35" s="127">
        <f t="shared" si="26"/>
        <v>0</v>
      </c>
      <c r="AP35" s="127">
        <f t="shared" si="26"/>
        <v>0</v>
      </c>
      <c r="AQ35" s="127">
        <f t="shared" si="26"/>
        <v>0</v>
      </c>
      <c r="AR35" s="127">
        <f t="shared" si="26"/>
        <v>0</v>
      </c>
      <c r="AS35" s="127">
        <f t="shared" si="26"/>
        <v>0</v>
      </c>
      <c r="AT35" s="127">
        <f t="shared" si="26"/>
        <v>0</v>
      </c>
      <c r="AU35" s="127">
        <f t="shared" si="26"/>
        <v>0</v>
      </c>
      <c r="AV35" s="127">
        <f t="shared" si="26"/>
        <v>0</v>
      </c>
      <c r="AW35" s="127">
        <f t="shared" si="26"/>
        <v>0</v>
      </c>
      <c r="AX35" s="127">
        <f t="shared" si="26"/>
        <v>0</v>
      </c>
      <c r="AY35" s="127">
        <f t="shared" si="26"/>
        <v>0</v>
      </c>
      <c r="AZ35" s="127">
        <f t="shared" si="26"/>
        <v>0</v>
      </c>
      <c r="BA35" s="127">
        <f t="shared" si="26"/>
        <v>0</v>
      </c>
      <c r="BB35" s="127">
        <f t="shared" si="26"/>
        <v>0</v>
      </c>
      <c r="BC35" s="127">
        <f t="shared" si="26"/>
        <v>0</v>
      </c>
      <c r="BD35" s="127">
        <f t="shared" si="26"/>
        <v>0</v>
      </c>
      <c r="BE35" s="127">
        <f t="shared" si="26"/>
        <v>0</v>
      </c>
      <c r="BF35" s="127">
        <f t="shared" si="26"/>
        <v>0</v>
      </c>
      <c r="BG35" s="127">
        <f t="shared" si="26"/>
        <v>0</v>
      </c>
      <c r="BH35" s="127">
        <f t="shared" si="26"/>
        <v>0</v>
      </c>
      <c r="BI35" s="127">
        <f t="shared" si="26"/>
        <v>0</v>
      </c>
      <c r="BJ35" s="127">
        <f t="shared" si="26"/>
        <v>0</v>
      </c>
      <c r="BK35" s="127">
        <f t="shared" si="26"/>
        <v>0</v>
      </c>
      <c r="BL35" s="127">
        <f t="shared" si="26"/>
        <v>0</v>
      </c>
      <c r="BM35" s="127">
        <f t="shared" si="26"/>
        <v>0</v>
      </c>
      <c r="BN35" s="127">
        <f t="shared" si="26"/>
        <v>0</v>
      </c>
      <c r="BO35" s="127">
        <f t="shared" si="26"/>
        <v>0</v>
      </c>
      <c r="BP35" s="127">
        <f t="shared" si="26"/>
        <v>0</v>
      </c>
      <c r="BQ35" s="127">
        <f t="shared" si="26"/>
        <v>0</v>
      </c>
      <c r="BR35" s="127">
        <f t="shared" si="26"/>
        <v>0</v>
      </c>
      <c r="BS35" s="127">
        <f t="shared" si="26"/>
        <v>0</v>
      </c>
      <c r="BT35" s="127">
        <f t="shared" si="26"/>
        <v>0</v>
      </c>
      <c r="BU35" s="127">
        <f t="shared" si="26"/>
        <v>0</v>
      </c>
      <c r="BV35" s="127">
        <f t="shared" si="26"/>
        <v>0</v>
      </c>
      <c r="BW35" s="127">
        <f t="shared" si="26"/>
        <v>0</v>
      </c>
      <c r="BX35" s="127">
        <f t="shared" si="26"/>
        <v>0</v>
      </c>
      <c r="BY35" s="127">
        <f t="shared" si="26"/>
        <v>0</v>
      </c>
      <c r="BZ35" s="127">
        <f t="shared" si="26"/>
        <v>0</v>
      </c>
      <c r="CA35" s="127">
        <f t="shared" si="26"/>
        <v>0</v>
      </c>
      <c r="CB35" s="127">
        <f t="shared" si="26"/>
        <v>0</v>
      </c>
      <c r="CC35" s="127">
        <f t="shared" si="26"/>
        <v>0</v>
      </c>
      <c r="CD35" s="127">
        <f t="shared" si="26"/>
        <v>0</v>
      </c>
      <c r="CE35" s="127">
        <f t="shared" si="26"/>
        <v>0</v>
      </c>
      <c r="CF35" s="127">
        <f t="shared" si="26"/>
        <v>0</v>
      </c>
      <c r="CG35" s="127">
        <f t="shared" si="26"/>
        <v>0</v>
      </c>
      <c r="CH35" s="127">
        <f t="shared" si="26"/>
        <v>0</v>
      </c>
      <c r="CI35" s="127">
        <f t="shared" si="26"/>
        <v>0</v>
      </c>
      <c r="CJ35" s="127">
        <f t="shared" ref="CJ35:CO35" si="27">IF(AND($U1&lt;CJ$1, CJ$1&lt;$F$34),$U$35,0)</f>
        <v>0</v>
      </c>
      <c r="CK35" s="127">
        <f t="shared" si="27"/>
        <v>0</v>
      </c>
      <c r="CL35" s="127">
        <f t="shared" si="27"/>
        <v>0</v>
      </c>
      <c r="CM35" s="127">
        <f t="shared" si="27"/>
        <v>0</v>
      </c>
      <c r="CN35" s="127">
        <f t="shared" si="27"/>
        <v>0</v>
      </c>
      <c r="CO35" s="127">
        <f t="shared" si="27"/>
        <v>0</v>
      </c>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row>
    <row r="36" spans="1:129" x14ac:dyDescent="0.45">
      <c r="A36" s="3"/>
      <c r="B36" s="2"/>
      <c r="C36" s="122" t="s">
        <v>266</v>
      </c>
      <c r="D36" s="17"/>
      <c r="E36" s="2"/>
      <c r="F36" s="2"/>
      <c r="G36" s="2"/>
      <c r="H36" s="2"/>
      <c r="I36" s="13"/>
      <c r="J36" s="58"/>
      <c r="K36" s="58"/>
      <c r="L36" s="58"/>
      <c r="M36" s="58"/>
      <c r="N36" s="58"/>
      <c r="O36" s="58"/>
      <c r="P36" s="58"/>
      <c r="Q36" s="58"/>
      <c r="R36" s="58"/>
      <c r="S36" s="58"/>
      <c r="T36" s="58"/>
      <c r="U36" s="97"/>
      <c r="V36" s="58"/>
      <c r="W36" s="58"/>
      <c r="X36" s="58"/>
      <c r="Y36" s="58"/>
      <c r="Z36" s="58"/>
      <c r="AA36" s="58"/>
      <c r="AB36" s="58"/>
      <c r="AC36" s="58"/>
      <c r="AD36" s="58"/>
      <c r="AE36" s="58"/>
      <c r="AF36" s="58"/>
      <c r="AG36" s="103">
        <f>'Plan Moyen Terme (PMT)'!D13-BAU_Liquidité_Dynamique!AG34</f>
        <v>9184</v>
      </c>
      <c r="AH36" s="123">
        <f>IF(AND($AG1&lt;AH$1, AH$1&lt;$F$34),$AG$36,0)</f>
        <v>9184</v>
      </c>
      <c r="AI36" s="123">
        <f>IF(AND($AG1&lt;AI$1, AI$1&lt;$F$34),$AG$36,0)</f>
        <v>9184</v>
      </c>
      <c r="AJ36" s="123">
        <f>IF(AND($AG1&lt;AJ$1, AJ$1&lt;$F$34),$AG$36,0)</f>
        <v>9184</v>
      </c>
      <c r="AK36" s="123">
        <f>IF(AND($AG1&lt;AK$1, AK$1&lt;$F$34),$AG$36,0)</f>
        <v>9184</v>
      </c>
      <c r="AL36" s="123">
        <f>IF(AND($AG1&lt;AL$1, AL$1&lt;$F$34),$AG$36,0)</f>
        <v>9184</v>
      </c>
      <c r="AM36" s="123">
        <f>IF(AND($AG1&lt;AM$1, AM$1&lt;$F$34),$AG$36,0)</f>
        <v>9184</v>
      </c>
      <c r="AN36" s="123">
        <f>IF(AND($AG1&lt;AN$1, AN$1&lt;$F$34),$AG$36,0)</f>
        <v>9184</v>
      </c>
      <c r="AO36" s="123">
        <f>IF(AND($AG1&lt;AO$1, AO$1&lt;$F$34),$AG$36,0)</f>
        <v>9184</v>
      </c>
      <c r="AP36" s="123">
        <f>IF(AND($AG1&lt;AP$1, AP$1&lt;$F$34),$AG$36,0)</f>
        <v>9184</v>
      </c>
      <c r="AQ36" s="123">
        <f>IF(AND($AG1&lt;AQ$1, AQ$1&lt;$F$34),$AG$36,0)</f>
        <v>9184</v>
      </c>
      <c r="AR36" s="123">
        <f>IF(AND($AG1&lt;AR$1, AR$1&lt;$F$34),$AG$36,0)</f>
        <v>9184</v>
      </c>
      <c r="AS36" s="123">
        <f>IF(AND($AG1&lt;AS$1, AS$1&lt;$F$34),$AG$36,0)</f>
        <v>9184</v>
      </c>
      <c r="AT36" s="123">
        <f>IF(AND($AG1&lt;AT$1, AT$1&lt;$F$34),$AG$36,0)</f>
        <v>9184</v>
      </c>
      <c r="AU36" s="123">
        <f>IF(AND($AG1&lt;AU$1, AU$1&lt;$F$34),$AG$36,0)</f>
        <v>9184</v>
      </c>
      <c r="AV36" s="123">
        <f>IF(AND($AG1&lt;AV$1, AV$1&lt;$F$34),$AG$36,0)</f>
        <v>9184</v>
      </c>
      <c r="AW36" s="123">
        <f>IF(AND($AG1&lt;AW$1, AW$1&lt;$F$34),$AG$36,0)</f>
        <v>9184</v>
      </c>
      <c r="AX36" s="123">
        <f>IF(AND($AG1&lt;AX$1, AX$1&lt;$F$34),$AG$36,0)</f>
        <v>9184</v>
      </c>
      <c r="AY36" s="123">
        <f>IF(AND($AG1&lt;AY$1, AY$1&lt;$F$34),$AG$36,0)</f>
        <v>9184</v>
      </c>
      <c r="AZ36" s="123">
        <f>IF(AND($AG1&lt;AZ$1, AZ$1&lt;$F$34),$AG$36,0)</f>
        <v>9184</v>
      </c>
      <c r="BA36" s="123">
        <f>IF(AND($AG1&lt;BA$1, BA$1&lt;$F$34),$AG$36,0)</f>
        <v>9184</v>
      </c>
      <c r="BB36" s="123">
        <f>IF(AND($AG1&lt;BB$1, BB$1&lt;$F$34),$AG$36,0)</f>
        <v>9184</v>
      </c>
      <c r="BC36" s="123">
        <f>IF(AND($AG1&lt;BC$1, BC$1&lt;$F$34),$AG$36,0)</f>
        <v>9184</v>
      </c>
      <c r="BD36" s="123">
        <f>IF(AND($AG1&lt;BD$1, BD$1&lt;$F$34),$AG$36,0)</f>
        <v>9184</v>
      </c>
      <c r="BE36" s="123">
        <f>IF(AND($AG1&lt;BE$1, BE$1&lt;$F$34),$AG$36,0)</f>
        <v>9184</v>
      </c>
      <c r="BF36" s="123">
        <f>IF(AND($AG1&lt;BF$1, BF$1&lt;$F$34),$AG$36,0)</f>
        <v>9184</v>
      </c>
      <c r="BG36" s="123">
        <f>IF(AND($AG1&lt;BG$1, BG$1&lt;$F$34),$AG$36,0)</f>
        <v>9184</v>
      </c>
      <c r="BH36" s="123">
        <f>IF(AND($AG1&lt;BH$1, BH$1&lt;$F$34),$AG$36,0)</f>
        <v>9184</v>
      </c>
      <c r="BI36" s="123">
        <f>IF(AND($AG1&lt;BI$1, BI$1&lt;$F$34),$AG$36,0)</f>
        <v>9184</v>
      </c>
      <c r="BJ36" s="123">
        <f>IF(AND($AG1&lt;BJ$1, BJ$1&lt;$F$34),$AG$36,0)</f>
        <v>9184</v>
      </c>
      <c r="BK36" s="123">
        <f>IF(AND($AG1&lt;BK$1, BK$1&lt;$F$34),$AG$36,0)</f>
        <v>9184</v>
      </c>
      <c r="BL36" s="123">
        <f>IF(AND($AG1&lt;BL$1, BL$1&lt;$F$34),$AG$36,0)</f>
        <v>9184</v>
      </c>
      <c r="BM36" s="123">
        <f>IF(AND($AG1&lt;BM$1, BM$1&lt;$F$34),$AG$36,0)</f>
        <v>9184</v>
      </c>
      <c r="BN36" s="123">
        <f>IF(AND($AG1&lt;BN$1, BN$1&lt;$F$34),$AG$36,0)</f>
        <v>9184</v>
      </c>
      <c r="BO36" s="123">
        <f>IF(AND($AG1&lt;BO$1, BO$1&lt;$F$34),$AG$36,0)</f>
        <v>9184</v>
      </c>
      <c r="BP36" s="123">
        <f>IF(AND($AG1&lt;BP$1, BP$1&lt;$F$34),$AG$36,0)</f>
        <v>9184</v>
      </c>
      <c r="BQ36" s="123">
        <f>IF(AND($AG1&lt;BQ$1, BQ$1&lt;$F$34),$AG$36,0)</f>
        <v>9184</v>
      </c>
      <c r="BR36" s="123">
        <f>IF(AND($AG1&lt;BR$1, BR$1&lt;$F$34),$AG$36,0)</f>
        <v>9184</v>
      </c>
      <c r="BS36" s="123">
        <f>IF(AND($AG1&lt;BS$1, BS$1&lt;$F$34),$AG$36,0)</f>
        <v>9184</v>
      </c>
      <c r="BT36" s="123">
        <f>IF(AND($AG1&lt;BT$1, BT$1&lt;$F$34),$AG$36,0)</f>
        <v>9184</v>
      </c>
      <c r="BU36" s="123">
        <f>IF(AND($AG1&lt;BU$1, BU$1&lt;$F$34),$AG$36,0)</f>
        <v>9184</v>
      </c>
      <c r="BV36" s="123">
        <f>IF(AND($AG1&lt;BV$1, BV$1&lt;$F$34),$AG$36,0)</f>
        <v>9184</v>
      </c>
      <c r="BW36" s="123">
        <f>IF(AND($AG1&lt;BW$1, BW$1&lt;$F$34),$AG$36,0)</f>
        <v>9184</v>
      </c>
      <c r="BX36" s="123">
        <f>IF(AND($AG1&lt;BX$1, BX$1&lt;$F$34),$AG$36,0)</f>
        <v>9184</v>
      </c>
      <c r="BY36" s="123">
        <f>IF(AND($AG1&lt;BY$1, BY$1&lt;$F$34),$AG$36,0)</f>
        <v>9184</v>
      </c>
      <c r="BZ36" s="123">
        <f>IF(AND($AG1&lt;BZ$1, BZ$1&lt;$F$34),$AG$36,0)</f>
        <v>9184</v>
      </c>
      <c r="CA36" s="123">
        <f>IF(AND($AG1&lt;CA$1, CA$1&lt;$F$34),$AG$36,0)</f>
        <v>9184</v>
      </c>
      <c r="CB36" s="123">
        <f>IF(AND($AG1&lt;CB$1, CB$1&lt;$F$34),$AG$36,0)</f>
        <v>9184</v>
      </c>
      <c r="CC36" s="123">
        <f>IF(AND($AG1&lt;CC$1, CC$1&lt;$F$34),$AG$36,0)</f>
        <v>9184</v>
      </c>
      <c r="CD36" s="123">
        <f>IF(AND($AG1&lt;CD$1, CD$1&lt;$F$34),$AG$36,0)</f>
        <v>9184</v>
      </c>
      <c r="CE36" s="123">
        <f>IF(AND($AG1&lt;CE$1, CE$1&lt;$F$34),$AG$36,0)</f>
        <v>9184</v>
      </c>
      <c r="CF36" s="123">
        <f>IF(AND($AG1&lt;CF$1, CF$1&lt;$F$34),$AG$36,0)</f>
        <v>9184</v>
      </c>
      <c r="CG36" s="123">
        <f>IF(AND($AG1&lt;CG$1, CG$1&lt;$F$34),$AG$36,0)</f>
        <v>9184</v>
      </c>
      <c r="CH36" s="123">
        <f>IF(AND($AG1&lt;CH$1, CH$1&lt;$F$34),$AG$36,0)</f>
        <v>9184</v>
      </c>
      <c r="CI36" s="123">
        <f>IF(AND($AG1&lt;CI$1, CI$1&lt;$F$34),$AG$36,0)</f>
        <v>9184</v>
      </c>
      <c r="CJ36" s="123">
        <f>IF(AND($AG1&lt;CJ$1, CJ$1&lt;$F$34),$AG$36,0)</f>
        <v>9184</v>
      </c>
      <c r="CK36" s="123">
        <f>IF(AND($AG1&lt;CK$1, CK$1&lt;$F$34),$AG$36,0)</f>
        <v>9184</v>
      </c>
      <c r="CL36" s="123">
        <f>IF(AND($AG1&lt;CL$1, CL$1&lt;$F$34),$AG$36,0)</f>
        <v>9184</v>
      </c>
      <c r="CM36" s="123">
        <f>IF(AND($AG1&lt;CM$1, CM$1&lt;$F$34),$AG$36,0)</f>
        <v>9184</v>
      </c>
      <c r="CN36" s="123">
        <f>IF(AND($AG1&lt;CN$1, CN$1&lt;$F$34),$AG$36,0)</f>
        <v>9184</v>
      </c>
      <c r="CO36" s="123">
        <f>IF(AND($AG1&lt;CO$1, CO$1&lt;$F$34),$AG$36,0)</f>
        <v>0</v>
      </c>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row>
    <row r="37" spans="1:129" x14ac:dyDescent="0.45">
      <c r="A37" s="3"/>
      <c r="B37" s="2"/>
      <c r="C37" s="125" t="s">
        <v>267</v>
      </c>
      <c r="D37" s="17"/>
      <c r="E37" s="2"/>
      <c r="F37" s="2"/>
      <c r="G37" s="2"/>
      <c r="H37" s="2"/>
      <c r="I37" s="13"/>
      <c r="J37" s="58"/>
      <c r="K37" s="58"/>
      <c r="L37" s="58"/>
      <c r="M37" s="58"/>
      <c r="N37" s="58"/>
      <c r="O37" s="58"/>
      <c r="P37" s="58"/>
      <c r="Q37" s="58"/>
      <c r="R37" s="58"/>
      <c r="S37" s="58"/>
      <c r="T37" s="58"/>
      <c r="U37" s="97"/>
      <c r="V37" s="58"/>
      <c r="W37" s="58"/>
      <c r="X37" s="58"/>
      <c r="Y37" s="58"/>
      <c r="Z37" s="58"/>
      <c r="AA37" s="58"/>
      <c r="AB37" s="58"/>
      <c r="AC37" s="58"/>
      <c r="AD37" s="58"/>
      <c r="AE37" s="58"/>
      <c r="AF37" s="58"/>
      <c r="AG37" s="103"/>
      <c r="AH37" s="58"/>
      <c r="AI37" s="58"/>
      <c r="AJ37" s="58"/>
      <c r="AK37" s="58"/>
      <c r="AL37" s="58"/>
      <c r="AM37" s="58"/>
      <c r="AN37" s="58"/>
      <c r="AO37" s="58"/>
      <c r="AP37" s="58"/>
      <c r="AQ37" s="58"/>
      <c r="AR37" s="58"/>
      <c r="AS37" s="109">
        <f>'Plan Moyen Terme (PMT)'!E13-BAU_Liquidité_Dynamique!AS34</f>
        <v>9478</v>
      </c>
      <c r="AT37" s="128">
        <f>IF(AND($AS1&lt;AT$1, AT$1&lt;$F$34),$AS$37,0)</f>
        <v>9478</v>
      </c>
      <c r="AU37" s="128">
        <f t="shared" ref="AU37:CO37" si="28">IF(AND($AS1&lt;AU$1, AU$1&lt;$F$34),$AS$37,0)</f>
        <v>9478</v>
      </c>
      <c r="AV37" s="128">
        <f t="shared" si="28"/>
        <v>9478</v>
      </c>
      <c r="AW37" s="128">
        <f t="shared" si="28"/>
        <v>9478</v>
      </c>
      <c r="AX37" s="128">
        <f t="shared" si="28"/>
        <v>9478</v>
      </c>
      <c r="AY37" s="128">
        <f t="shared" si="28"/>
        <v>9478</v>
      </c>
      <c r="AZ37" s="128">
        <f t="shared" si="28"/>
        <v>9478</v>
      </c>
      <c r="BA37" s="128">
        <f t="shared" si="28"/>
        <v>9478</v>
      </c>
      <c r="BB37" s="128">
        <f t="shared" si="28"/>
        <v>9478</v>
      </c>
      <c r="BC37" s="128">
        <f t="shared" si="28"/>
        <v>9478</v>
      </c>
      <c r="BD37" s="128">
        <f t="shared" si="28"/>
        <v>9478</v>
      </c>
      <c r="BE37" s="128">
        <f t="shared" si="28"/>
        <v>9478</v>
      </c>
      <c r="BF37" s="128">
        <f t="shared" si="28"/>
        <v>9478</v>
      </c>
      <c r="BG37" s="128">
        <f t="shared" si="28"/>
        <v>9478</v>
      </c>
      <c r="BH37" s="128">
        <f t="shared" si="28"/>
        <v>9478</v>
      </c>
      <c r="BI37" s="128">
        <f t="shared" si="28"/>
        <v>9478</v>
      </c>
      <c r="BJ37" s="128">
        <f t="shared" si="28"/>
        <v>9478</v>
      </c>
      <c r="BK37" s="128">
        <f t="shared" si="28"/>
        <v>9478</v>
      </c>
      <c r="BL37" s="128">
        <f t="shared" si="28"/>
        <v>9478</v>
      </c>
      <c r="BM37" s="128">
        <f t="shared" si="28"/>
        <v>9478</v>
      </c>
      <c r="BN37" s="128">
        <f t="shared" si="28"/>
        <v>9478</v>
      </c>
      <c r="BO37" s="128">
        <f t="shared" si="28"/>
        <v>9478</v>
      </c>
      <c r="BP37" s="128">
        <f t="shared" si="28"/>
        <v>9478</v>
      </c>
      <c r="BQ37" s="128">
        <f t="shared" si="28"/>
        <v>9478</v>
      </c>
      <c r="BR37" s="128">
        <f t="shared" si="28"/>
        <v>9478</v>
      </c>
      <c r="BS37" s="128">
        <f t="shared" si="28"/>
        <v>9478</v>
      </c>
      <c r="BT37" s="128">
        <f t="shared" si="28"/>
        <v>9478</v>
      </c>
      <c r="BU37" s="128">
        <f t="shared" si="28"/>
        <v>9478</v>
      </c>
      <c r="BV37" s="128">
        <f t="shared" si="28"/>
        <v>9478</v>
      </c>
      <c r="BW37" s="128">
        <f t="shared" si="28"/>
        <v>9478</v>
      </c>
      <c r="BX37" s="128">
        <f t="shared" si="28"/>
        <v>9478</v>
      </c>
      <c r="BY37" s="128">
        <f t="shared" si="28"/>
        <v>9478</v>
      </c>
      <c r="BZ37" s="128">
        <f t="shared" si="28"/>
        <v>9478</v>
      </c>
      <c r="CA37" s="128">
        <f t="shared" si="28"/>
        <v>9478</v>
      </c>
      <c r="CB37" s="128">
        <f t="shared" si="28"/>
        <v>9478</v>
      </c>
      <c r="CC37" s="128">
        <f t="shared" si="28"/>
        <v>9478</v>
      </c>
      <c r="CD37" s="128">
        <f t="shared" si="28"/>
        <v>9478</v>
      </c>
      <c r="CE37" s="128">
        <f t="shared" si="28"/>
        <v>9478</v>
      </c>
      <c r="CF37" s="128">
        <f t="shared" si="28"/>
        <v>9478</v>
      </c>
      <c r="CG37" s="128">
        <f t="shared" si="28"/>
        <v>9478</v>
      </c>
      <c r="CH37" s="128">
        <f t="shared" si="28"/>
        <v>9478</v>
      </c>
      <c r="CI37" s="128">
        <f t="shared" si="28"/>
        <v>9478</v>
      </c>
      <c r="CJ37" s="128">
        <f t="shared" si="28"/>
        <v>9478</v>
      </c>
      <c r="CK37" s="128">
        <f t="shared" si="28"/>
        <v>9478</v>
      </c>
      <c r="CL37" s="128">
        <f t="shared" si="28"/>
        <v>9478</v>
      </c>
      <c r="CM37" s="128">
        <f t="shared" si="28"/>
        <v>9478</v>
      </c>
      <c r="CN37" s="128">
        <f t="shared" si="28"/>
        <v>9478</v>
      </c>
      <c r="CO37" s="128">
        <f t="shared" si="28"/>
        <v>0</v>
      </c>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row>
    <row r="38" spans="1:129" x14ac:dyDescent="0.45">
      <c r="A38" s="3">
        <v>46022</v>
      </c>
      <c r="B38" s="2" t="s">
        <v>0</v>
      </c>
      <c r="C38" s="4" t="s">
        <v>12</v>
      </c>
      <c r="D38" s="17"/>
      <c r="E38" s="2" t="s">
        <v>43</v>
      </c>
      <c r="F38" s="2">
        <v>120</v>
      </c>
      <c r="G38" s="2" t="s">
        <v>43</v>
      </c>
      <c r="H38" s="2">
        <v>120</v>
      </c>
      <c r="I38" s="13">
        <v>82</v>
      </c>
      <c r="J38" s="58">
        <f t="shared" ref="J38:Y42" si="29">IF(J$1&lt;$F38,$I38*(($F38-J$1)/$F38),0)</f>
        <v>81.316666666666663</v>
      </c>
      <c r="K38" s="58">
        <f t="shared" si="29"/>
        <v>80.633333333333326</v>
      </c>
      <c r="L38" s="58">
        <f t="shared" si="29"/>
        <v>79.95</v>
      </c>
      <c r="M38" s="58">
        <f t="shared" si="29"/>
        <v>79.266666666666666</v>
      </c>
      <c r="N38" s="58">
        <f t="shared" si="29"/>
        <v>78.583333333333343</v>
      </c>
      <c r="O38" s="58">
        <f t="shared" si="29"/>
        <v>77.899999999999991</v>
      </c>
      <c r="P38" s="58">
        <f t="shared" si="29"/>
        <v>77.216666666666669</v>
      </c>
      <c r="Q38" s="58">
        <f t="shared" si="29"/>
        <v>76.533333333333331</v>
      </c>
      <c r="R38" s="58">
        <f t="shared" si="29"/>
        <v>75.850000000000009</v>
      </c>
      <c r="S38" s="58">
        <f t="shared" si="29"/>
        <v>75.166666666666657</v>
      </c>
      <c r="T38" s="58">
        <f t="shared" si="29"/>
        <v>74.483333333333334</v>
      </c>
      <c r="U38" s="97">
        <f t="shared" si="29"/>
        <v>73.8</v>
      </c>
      <c r="V38" s="58">
        <f t="shared" si="29"/>
        <v>73.116666666666674</v>
      </c>
      <c r="W38" s="58">
        <f t="shared" si="29"/>
        <v>72.433333333333337</v>
      </c>
      <c r="X38" s="58">
        <f t="shared" si="29"/>
        <v>71.75</v>
      </c>
      <c r="Y38" s="58">
        <f t="shared" si="29"/>
        <v>71.066666666666663</v>
      </c>
      <c r="Z38" s="58">
        <f t="shared" ref="Z38:CK42" si="30">IF(Z$1&lt;$F38,$I38*(($F38-Z$1)/$F38),0)</f>
        <v>70.383333333333326</v>
      </c>
      <c r="AA38" s="58">
        <f t="shared" si="30"/>
        <v>69.7</v>
      </c>
      <c r="AB38" s="58">
        <f t="shared" si="30"/>
        <v>69.016666666666666</v>
      </c>
      <c r="AC38" s="58">
        <f t="shared" si="30"/>
        <v>68.333333333333343</v>
      </c>
      <c r="AD38" s="58">
        <f t="shared" si="30"/>
        <v>67.649999999999991</v>
      </c>
      <c r="AE38" s="58">
        <f t="shared" si="30"/>
        <v>66.966666666666669</v>
      </c>
      <c r="AF38" s="58">
        <f t="shared" si="30"/>
        <v>66.283333333333331</v>
      </c>
      <c r="AG38" s="103">
        <f t="shared" si="30"/>
        <v>65.600000000000009</v>
      </c>
      <c r="AH38" s="58">
        <f t="shared" si="30"/>
        <v>64.916666666666657</v>
      </c>
      <c r="AI38" s="58">
        <f t="shared" si="30"/>
        <v>64.233333333333334</v>
      </c>
      <c r="AJ38" s="58">
        <f t="shared" si="30"/>
        <v>63.550000000000004</v>
      </c>
      <c r="AK38" s="58">
        <f t="shared" si="30"/>
        <v>62.866666666666674</v>
      </c>
      <c r="AL38" s="58">
        <f t="shared" si="30"/>
        <v>62.18333333333333</v>
      </c>
      <c r="AM38" s="58">
        <f t="shared" si="30"/>
        <v>61.5</v>
      </c>
      <c r="AN38" s="58">
        <f t="shared" si="30"/>
        <v>60.81666666666667</v>
      </c>
      <c r="AO38" s="58">
        <f t="shared" si="30"/>
        <v>60.133333333333326</v>
      </c>
      <c r="AP38" s="58">
        <f t="shared" si="30"/>
        <v>59.449999999999996</v>
      </c>
      <c r="AQ38" s="58">
        <f t="shared" si="30"/>
        <v>58.766666666666666</v>
      </c>
      <c r="AR38" s="58">
        <f t="shared" si="30"/>
        <v>58.083333333333336</v>
      </c>
      <c r="AS38" s="109">
        <f t="shared" si="30"/>
        <v>57.4</v>
      </c>
      <c r="AT38" s="58">
        <f t="shared" si="30"/>
        <v>56.716666666666669</v>
      </c>
      <c r="AU38" s="58">
        <f t="shared" si="30"/>
        <v>56.033333333333331</v>
      </c>
      <c r="AV38" s="58">
        <f t="shared" si="30"/>
        <v>55.35</v>
      </c>
      <c r="AW38" s="58">
        <f t="shared" si="30"/>
        <v>54.666666666666664</v>
      </c>
      <c r="AX38" s="58">
        <f t="shared" si="30"/>
        <v>53.983333333333334</v>
      </c>
      <c r="AY38" s="58">
        <f t="shared" si="30"/>
        <v>53.300000000000004</v>
      </c>
      <c r="AZ38" s="58">
        <f t="shared" si="30"/>
        <v>52.616666666666674</v>
      </c>
      <c r="BA38" s="58">
        <f t="shared" si="30"/>
        <v>51.93333333333333</v>
      </c>
      <c r="BB38" s="58">
        <f t="shared" si="30"/>
        <v>51.25</v>
      </c>
      <c r="BC38" s="58">
        <f t="shared" si="30"/>
        <v>50.56666666666667</v>
      </c>
      <c r="BD38" s="58">
        <f t="shared" si="30"/>
        <v>49.883333333333326</v>
      </c>
      <c r="BE38" s="58">
        <f t="shared" si="30"/>
        <v>49.199999999999996</v>
      </c>
      <c r="BF38" s="58">
        <f t="shared" si="30"/>
        <v>48.516666666666666</v>
      </c>
      <c r="BG38" s="58">
        <f t="shared" si="30"/>
        <v>47.833333333333336</v>
      </c>
      <c r="BH38" s="58">
        <f t="shared" si="30"/>
        <v>47.15</v>
      </c>
      <c r="BI38" s="58">
        <f t="shared" si="30"/>
        <v>46.466666666666669</v>
      </c>
      <c r="BJ38" s="58">
        <f t="shared" si="30"/>
        <v>45.783333333333331</v>
      </c>
      <c r="BK38" s="58">
        <f t="shared" si="30"/>
        <v>45.1</v>
      </c>
      <c r="BL38" s="58">
        <f t="shared" si="30"/>
        <v>44.416666666666664</v>
      </c>
      <c r="BM38" s="58">
        <f t="shared" si="30"/>
        <v>43.733333333333334</v>
      </c>
      <c r="BN38" s="58">
        <f t="shared" si="30"/>
        <v>43.050000000000004</v>
      </c>
      <c r="BO38" s="58">
        <f t="shared" si="30"/>
        <v>42.366666666666674</v>
      </c>
      <c r="BP38" s="58">
        <f t="shared" si="30"/>
        <v>41.68333333333333</v>
      </c>
      <c r="BQ38" s="58">
        <f t="shared" si="30"/>
        <v>41</v>
      </c>
      <c r="BR38" s="58">
        <f t="shared" si="30"/>
        <v>40.316666666666663</v>
      </c>
      <c r="BS38" s="58">
        <f t="shared" si="30"/>
        <v>39.633333333333333</v>
      </c>
      <c r="BT38" s="58">
        <f t="shared" si="30"/>
        <v>38.949999999999996</v>
      </c>
      <c r="BU38" s="58">
        <f t="shared" si="30"/>
        <v>38.266666666666666</v>
      </c>
      <c r="BV38" s="58">
        <f t="shared" si="30"/>
        <v>37.583333333333329</v>
      </c>
      <c r="BW38" s="58">
        <f t="shared" si="30"/>
        <v>36.9</v>
      </c>
      <c r="BX38" s="58">
        <f t="shared" si="30"/>
        <v>36.216666666666669</v>
      </c>
      <c r="BY38" s="58">
        <f t="shared" si="30"/>
        <v>35.533333333333331</v>
      </c>
      <c r="BZ38" s="58">
        <f t="shared" si="30"/>
        <v>34.85</v>
      </c>
      <c r="CA38" s="58">
        <f t="shared" si="30"/>
        <v>34.166666666666671</v>
      </c>
      <c r="CB38" s="58">
        <f t="shared" si="30"/>
        <v>33.483333333333334</v>
      </c>
      <c r="CC38" s="58">
        <f t="shared" si="30"/>
        <v>32.800000000000004</v>
      </c>
      <c r="CD38" s="58">
        <f t="shared" si="30"/>
        <v>32.116666666666667</v>
      </c>
      <c r="CE38" s="58">
        <f t="shared" si="30"/>
        <v>31.433333333333337</v>
      </c>
      <c r="CF38" s="58">
        <f t="shared" si="30"/>
        <v>30.75</v>
      </c>
      <c r="CG38" s="58">
        <f t="shared" si="30"/>
        <v>30.066666666666663</v>
      </c>
      <c r="CH38" s="58">
        <f t="shared" si="30"/>
        <v>29.383333333333333</v>
      </c>
      <c r="CI38" s="58">
        <f t="shared" si="30"/>
        <v>28.7</v>
      </c>
      <c r="CJ38" s="58">
        <f t="shared" si="30"/>
        <v>28.016666666666666</v>
      </c>
      <c r="CK38" s="58">
        <f t="shared" si="30"/>
        <v>27.333333333333332</v>
      </c>
      <c r="CL38" s="58">
        <f t="shared" ref="CL38:DY42" si="31">IF(CL$1&lt;$F38,$I38*(($F38-CL$1)/$F38),0)</f>
        <v>26.650000000000002</v>
      </c>
      <c r="CM38" s="58">
        <f t="shared" si="31"/>
        <v>25.966666666666665</v>
      </c>
      <c r="CN38" s="58">
        <f t="shared" si="31"/>
        <v>25.283333333333335</v>
      </c>
      <c r="CO38" s="58">
        <f t="shared" si="31"/>
        <v>24.599999999999998</v>
      </c>
      <c r="CP38" s="58">
        <f t="shared" si="31"/>
        <v>23.916666666666668</v>
      </c>
      <c r="CQ38" s="58">
        <f t="shared" si="31"/>
        <v>23.233333333333334</v>
      </c>
      <c r="CR38" s="58">
        <f t="shared" si="31"/>
        <v>22.55</v>
      </c>
      <c r="CS38" s="58">
        <f t="shared" si="31"/>
        <v>21.866666666666667</v>
      </c>
      <c r="CT38" s="58">
        <f t="shared" si="31"/>
        <v>21.183333333333337</v>
      </c>
      <c r="CU38" s="58">
        <f t="shared" si="31"/>
        <v>20.5</v>
      </c>
      <c r="CV38" s="58">
        <f t="shared" si="31"/>
        <v>19.816666666666666</v>
      </c>
      <c r="CW38" s="58">
        <f t="shared" si="31"/>
        <v>19.133333333333333</v>
      </c>
      <c r="CX38" s="58">
        <f t="shared" si="31"/>
        <v>18.45</v>
      </c>
      <c r="CY38" s="58">
        <f t="shared" si="31"/>
        <v>17.766666666666666</v>
      </c>
      <c r="CZ38" s="58">
        <f t="shared" si="31"/>
        <v>17.083333333333336</v>
      </c>
      <c r="DA38" s="58">
        <f t="shared" si="31"/>
        <v>16.400000000000002</v>
      </c>
      <c r="DB38" s="58">
        <f t="shared" si="31"/>
        <v>15.716666666666669</v>
      </c>
      <c r="DC38" s="58">
        <f t="shared" si="31"/>
        <v>15.033333333333331</v>
      </c>
      <c r="DD38" s="58">
        <f t="shared" si="31"/>
        <v>14.35</v>
      </c>
      <c r="DE38" s="58">
        <f t="shared" si="31"/>
        <v>13.666666666666666</v>
      </c>
      <c r="DF38" s="58">
        <f t="shared" si="31"/>
        <v>12.983333333333333</v>
      </c>
      <c r="DG38" s="58">
        <f t="shared" si="31"/>
        <v>12.299999999999999</v>
      </c>
      <c r="DH38" s="58">
        <f t="shared" si="31"/>
        <v>11.616666666666667</v>
      </c>
      <c r="DI38" s="58">
        <f t="shared" si="31"/>
        <v>10.933333333333334</v>
      </c>
      <c r="DJ38" s="58">
        <f t="shared" si="31"/>
        <v>10.25</v>
      </c>
      <c r="DK38" s="58">
        <f t="shared" si="31"/>
        <v>9.5666666666666664</v>
      </c>
      <c r="DL38" s="58">
        <f t="shared" si="31"/>
        <v>8.8833333333333329</v>
      </c>
      <c r="DM38" s="58">
        <f t="shared" si="31"/>
        <v>8.2000000000000011</v>
      </c>
      <c r="DN38" s="58">
        <f t="shared" si="31"/>
        <v>7.5166666666666657</v>
      </c>
      <c r="DO38" s="58">
        <f t="shared" si="31"/>
        <v>6.833333333333333</v>
      </c>
      <c r="DP38" s="58">
        <f t="shared" si="31"/>
        <v>6.1499999999999995</v>
      </c>
      <c r="DQ38" s="58">
        <f t="shared" si="31"/>
        <v>5.4666666666666668</v>
      </c>
      <c r="DR38" s="58">
        <f t="shared" si="31"/>
        <v>4.7833333333333332</v>
      </c>
      <c r="DS38" s="58">
        <f t="shared" si="31"/>
        <v>4.1000000000000005</v>
      </c>
      <c r="DT38" s="58">
        <f t="shared" si="31"/>
        <v>3.4166666666666665</v>
      </c>
      <c r="DU38" s="58">
        <f t="shared" si="31"/>
        <v>2.7333333333333334</v>
      </c>
      <c r="DV38" s="58">
        <f t="shared" si="31"/>
        <v>2.0500000000000003</v>
      </c>
      <c r="DW38" s="58">
        <f t="shared" si="31"/>
        <v>1.3666666666666667</v>
      </c>
      <c r="DX38" s="58">
        <f t="shared" si="31"/>
        <v>0.68333333333333335</v>
      </c>
      <c r="DY38" s="58">
        <f t="shared" si="31"/>
        <v>0</v>
      </c>
    </row>
    <row r="39" spans="1:129" x14ac:dyDescent="0.45">
      <c r="A39" s="3"/>
      <c r="B39" s="2"/>
      <c r="C39" s="121" t="s">
        <v>265</v>
      </c>
      <c r="D39" s="17"/>
      <c r="E39" s="2"/>
      <c r="F39" s="2"/>
      <c r="G39" s="2"/>
      <c r="H39" s="2"/>
      <c r="I39" s="13"/>
      <c r="J39" s="58"/>
      <c r="K39" s="58"/>
      <c r="L39" s="58"/>
      <c r="M39" s="58"/>
      <c r="N39" s="58"/>
      <c r="O39" s="58"/>
      <c r="P39" s="58"/>
      <c r="Q39" s="58"/>
      <c r="R39" s="58"/>
      <c r="S39" s="58"/>
      <c r="T39" s="58"/>
      <c r="U39" s="119">
        <f>'Plan Moyen Terme (PMT)'!C14-BAU_Liquidité_Dynamique!U38</f>
        <v>-13.799999999999997</v>
      </c>
      <c r="V39" s="120">
        <f>IF(AND(U$1&lt;V$1, V$1&lt;=$F38),$U39*($F38-V$1)/($F38-$U$1),0)</f>
        <v>-13.672222222222219</v>
      </c>
      <c r="W39" s="120">
        <f t="shared" ref="W39:CH39" si="32">IF(AND(V$1&lt;W$1, W$1&lt;=$F38),$U39*($F38-W$1)/($F38-$U$1),0)</f>
        <v>-13.544444444444443</v>
      </c>
      <c r="X39" s="120">
        <f t="shared" si="32"/>
        <v>-13.416666666666664</v>
      </c>
      <c r="Y39" s="120">
        <f t="shared" si="32"/>
        <v>-13.288888888888888</v>
      </c>
      <c r="Z39" s="120">
        <f t="shared" si="32"/>
        <v>-13.161111111111108</v>
      </c>
      <c r="AA39" s="120">
        <f t="shared" si="32"/>
        <v>-13.03333333333333</v>
      </c>
      <c r="AB39" s="120">
        <f t="shared" si="32"/>
        <v>-12.905555555555553</v>
      </c>
      <c r="AC39" s="120">
        <f t="shared" si="32"/>
        <v>-12.777777777777775</v>
      </c>
      <c r="AD39" s="120">
        <f t="shared" si="32"/>
        <v>-12.649999999999999</v>
      </c>
      <c r="AE39" s="120">
        <f t="shared" si="32"/>
        <v>-12.522222222222219</v>
      </c>
      <c r="AF39" s="120">
        <f t="shared" si="32"/>
        <v>-12.394444444444442</v>
      </c>
      <c r="AG39" s="120">
        <f t="shared" si="32"/>
        <v>-12.266666666666664</v>
      </c>
      <c r="AH39" s="120">
        <f t="shared" si="32"/>
        <v>-12.138888888888888</v>
      </c>
      <c r="AI39" s="120">
        <f t="shared" si="32"/>
        <v>-12.011111111111109</v>
      </c>
      <c r="AJ39" s="120">
        <f t="shared" si="32"/>
        <v>-11.883333333333329</v>
      </c>
      <c r="AK39" s="120">
        <f t="shared" si="32"/>
        <v>-11.755555555555553</v>
      </c>
      <c r="AL39" s="120">
        <f t="shared" si="32"/>
        <v>-11.627777777777775</v>
      </c>
      <c r="AM39" s="120">
        <f t="shared" si="32"/>
        <v>-11.499999999999998</v>
      </c>
      <c r="AN39" s="120">
        <f t="shared" si="32"/>
        <v>-11.37222222222222</v>
      </c>
      <c r="AO39" s="120">
        <f t="shared" si="32"/>
        <v>-11.244444444444442</v>
      </c>
      <c r="AP39" s="120">
        <f t="shared" si="32"/>
        <v>-11.116666666666664</v>
      </c>
      <c r="AQ39" s="120">
        <f t="shared" si="32"/>
        <v>-10.988888888888887</v>
      </c>
      <c r="AR39" s="120">
        <f t="shared" si="32"/>
        <v>-10.861111111111109</v>
      </c>
      <c r="AS39" s="120">
        <f t="shared" si="32"/>
        <v>-10.733333333333333</v>
      </c>
      <c r="AT39" s="120">
        <f t="shared" si="32"/>
        <v>-10.605555555555554</v>
      </c>
      <c r="AU39" s="120">
        <f t="shared" si="32"/>
        <v>-10.477777777777774</v>
      </c>
      <c r="AV39" s="120">
        <f t="shared" si="32"/>
        <v>-10.349999999999998</v>
      </c>
      <c r="AW39" s="120">
        <f t="shared" si="32"/>
        <v>-10.22222222222222</v>
      </c>
      <c r="AX39" s="120">
        <f t="shared" si="32"/>
        <v>-10.094444444444443</v>
      </c>
      <c r="AY39" s="120">
        <f t="shared" si="32"/>
        <v>-9.966666666666665</v>
      </c>
      <c r="AZ39" s="120">
        <f t="shared" si="32"/>
        <v>-9.8388888888888868</v>
      </c>
      <c r="BA39" s="120">
        <f t="shared" si="32"/>
        <v>-9.7111111111111086</v>
      </c>
      <c r="BB39" s="120">
        <f t="shared" si="32"/>
        <v>-9.5833333333333304</v>
      </c>
      <c r="BC39" s="120">
        <f t="shared" si="32"/>
        <v>-9.4555555555555539</v>
      </c>
      <c r="BD39" s="120">
        <f t="shared" si="32"/>
        <v>-9.3277777777777757</v>
      </c>
      <c r="BE39" s="120">
        <f t="shared" si="32"/>
        <v>-9.1999999999999975</v>
      </c>
      <c r="BF39" s="120">
        <f t="shared" si="32"/>
        <v>-9.0722222222222211</v>
      </c>
      <c r="BG39" s="120">
        <f t="shared" si="32"/>
        <v>-8.9444444444444429</v>
      </c>
      <c r="BH39" s="120">
        <f t="shared" si="32"/>
        <v>-8.8166666666666647</v>
      </c>
      <c r="BI39" s="120">
        <f t="shared" si="32"/>
        <v>-8.6888888888888882</v>
      </c>
      <c r="BJ39" s="120">
        <f t="shared" si="32"/>
        <v>-8.56111111111111</v>
      </c>
      <c r="BK39" s="120">
        <f t="shared" si="32"/>
        <v>-8.4333333333333318</v>
      </c>
      <c r="BL39" s="120">
        <f t="shared" si="32"/>
        <v>-8.3055555555555536</v>
      </c>
      <c r="BM39" s="120">
        <f t="shared" si="32"/>
        <v>-8.1777777777777754</v>
      </c>
      <c r="BN39" s="120">
        <f t="shared" si="32"/>
        <v>-8.0499999999999989</v>
      </c>
      <c r="BO39" s="120">
        <f t="shared" si="32"/>
        <v>-7.9222222222222207</v>
      </c>
      <c r="BP39" s="120">
        <f t="shared" si="32"/>
        <v>-7.7944444444444434</v>
      </c>
      <c r="BQ39" s="120">
        <f t="shared" si="32"/>
        <v>-7.6666666666666643</v>
      </c>
      <c r="BR39" s="120">
        <f t="shared" si="32"/>
        <v>-7.538888888888887</v>
      </c>
      <c r="BS39" s="120">
        <f t="shared" si="32"/>
        <v>-7.4111111111111097</v>
      </c>
      <c r="BT39" s="120">
        <f t="shared" si="32"/>
        <v>-7.2833333333333314</v>
      </c>
      <c r="BU39" s="120">
        <f t="shared" si="32"/>
        <v>-7.1555555555555541</v>
      </c>
      <c r="BV39" s="120">
        <f t="shared" si="32"/>
        <v>-7.0277777777777768</v>
      </c>
      <c r="BW39" s="120">
        <f t="shared" si="32"/>
        <v>-6.8999999999999986</v>
      </c>
      <c r="BX39" s="120">
        <f t="shared" si="32"/>
        <v>-6.7722222222222213</v>
      </c>
      <c r="BY39" s="120">
        <f t="shared" si="32"/>
        <v>-6.6444444444444439</v>
      </c>
      <c r="BZ39" s="120">
        <f t="shared" si="32"/>
        <v>-6.5166666666666648</v>
      </c>
      <c r="CA39" s="120">
        <f t="shared" si="32"/>
        <v>-6.3888888888888875</v>
      </c>
      <c r="CB39" s="120">
        <f t="shared" si="32"/>
        <v>-6.2611111111111093</v>
      </c>
      <c r="CC39" s="120">
        <f t="shared" si="32"/>
        <v>-6.133333333333332</v>
      </c>
      <c r="CD39" s="120">
        <f t="shared" si="32"/>
        <v>-6.0055555555555546</v>
      </c>
      <c r="CE39" s="120">
        <f t="shared" si="32"/>
        <v>-5.8777777777777764</v>
      </c>
      <c r="CF39" s="120">
        <f t="shared" si="32"/>
        <v>-5.7499999999999991</v>
      </c>
      <c r="CG39" s="120">
        <f t="shared" si="32"/>
        <v>-5.6222222222222209</v>
      </c>
      <c r="CH39" s="120">
        <f t="shared" si="32"/>
        <v>-5.4944444444444436</v>
      </c>
      <c r="CI39" s="120">
        <f t="shared" ref="CI39:DY39" si="33">IF(AND(CH$1&lt;CI$1, CI$1&lt;=$F38),$U39*($F38-CI$1)/($F38-$U$1),0)</f>
        <v>-5.3666666666666663</v>
      </c>
      <c r="CJ39" s="120">
        <f t="shared" si="33"/>
        <v>-5.2388888888888872</v>
      </c>
      <c r="CK39" s="120">
        <f t="shared" si="33"/>
        <v>-5.1111111111111098</v>
      </c>
      <c r="CL39" s="120">
        <f t="shared" si="33"/>
        <v>-4.9833333333333325</v>
      </c>
      <c r="CM39" s="120">
        <f t="shared" si="33"/>
        <v>-4.8555555555555543</v>
      </c>
      <c r="CN39" s="120">
        <f t="shared" si="33"/>
        <v>-4.727777777777777</v>
      </c>
      <c r="CO39" s="120">
        <f t="shared" si="33"/>
        <v>-4.5999999999999988</v>
      </c>
      <c r="CP39" s="120">
        <f t="shared" si="33"/>
        <v>-4.4722222222222214</v>
      </c>
      <c r="CQ39" s="120">
        <f t="shared" si="33"/>
        <v>-4.3444444444444441</v>
      </c>
      <c r="CR39" s="120">
        <f t="shared" si="33"/>
        <v>-4.2166666666666659</v>
      </c>
      <c r="CS39" s="120">
        <f t="shared" si="33"/>
        <v>-4.0888888888888877</v>
      </c>
      <c r="CT39" s="120">
        <f t="shared" si="33"/>
        <v>-3.9611111111111104</v>
      </c>
      <c r="CU39" s="120">
        <f t="shared" si="33"/>
        <v>-3.8333333333333321</v>
      </c>
      <c r="CV39" s="120">
        <f t="shared" si="33"/>
        <v>-3.7055555555555548</v>
      </c>
      <c r="CW39" s="120">
        <f t="shared" si="33"/>
        <v>-3.5777777777777771</v>
      </c>
      <c r="CX39" s="120">
        <f t="shared" si="33"/>
        <v>-3.4499999999999993</v>
      </c>
      <c r="CY39" s="120">
        <f t="shared" si="33"/>
        <v>-3.322222222222222</v>
      </c>
      <c r="CZ39" s="120">
        <f t="shared" si="33"/>
        <v>-3.1944444444444438</v>
      </c>
      <c r="DA39" s="120">
        <f t="shared" si="33"/>
        <v>-3.066666666666666</v>
      </c>
      <c r="DB39" s="120">
        <f t="shared" si="33"/>
        <v>-2.9388888888888882</v>
      </c>
      <c r="DC39" s="120">
        <f t="shared" si="33"/>
        <v>-2.8111111111111104</v>
      </c>
      <c r="DD39" s="120">
        <f t="shared" si="33"/>
        <v>-2.6833333333333331</v>
      </c>
      <c r="DE39" s="120">
        <f t="shared" si="33"/>
        <v>-2.5555555555555549</v>
      </c>
      <c r="DF39" s="120">
        <f t="shared" si="33"/>
        <v>-2.4277777777777771</v>
      </c>
      <c r="DG39" s="120">
        <f t="shared" si="33"/>
        <v>-2.2999999999999994</v>
      </c>
      <c r="DH39" s="120">
        <f t="shared" si="33"/>
        <v>-2.1722222222222221</v>
      </c>
      <c r="DI39" s="120">
        <f t="shared" si="33"/>
        <v>-2.0444444444444438</v>
      </c>
      <c r="DJ39" s="120">
        <f t="shared" si="33"/>
        <v>-1.9166666666666661</v>
      </c>
      <c r="DK39" s="120">
        <f t="shared" si="33"/>
        <v>-1.7888888888888885</v>
      </c>
      <c r="DL39" s="120">
        <f t="shared" si="33"/>
        <v>-1.661111111111111</v>
      </c>
      <c r="DM39" s="120">
        <f t="shared" si="33"/>
        <v>-1.533333333333333</v>
      </c>
      <c r="DN39" s="120">
        <f t="shared" si="33"/>
        <v>-1.4055555555555552</v>
      </c>
      <c r="DO39" s="120">
        <f t="shared" si="33"/>
        <v>-1.2777777777777775</v>
      </c>
      <c r="DP39" s="120">
        <f t="shared" si="33"/>
        <v>-1.1499999999999997</v>
      </c>
      <c r="DQ39" s="120">
        <f t="shared" si="33"/>
        <v>-1.0222222222222219</v>
      </c>
      <c r="DR39" s="120">
        <f t="shared" si="33"/>
        <v>-0.89444444444444426</v>
      </c>
      <c r="DS39" s="120">
        <f t="shared" si="33"/>
        <v>-0.7666666666666665</v>
      </c>
      <c r="DT39" s="120">
        <f t="shared" si="33"/>
        <v>-0.63888888888888873</v>
      </c>
      <c r="DU39" s="120">
        <f t="shared" si="33"/>
        <v>-0.51111111111111096</v>
      </c>
      <c r="DV39" s="120">
        <f t="shared" si="33"/>
        <v>-0.38333333333333325</v>
      </c>
      <c r="DW39" s="120">
        <f t="shared" si="33"/>
        <v>-0.25555555555555548</v>
      </c>
      <c r="DX39" s="120">
        <f t="shared" si="33"/>
        <v>-0.12777777777777774</v>
      </c>
      <c r="DY39" s="120">
        <f t="shared" si="33"/>
        <v>0</v>
      </c>
    </row>
    <row r="40" spans="1:129" x14ac:dyDescent="0.45">
      <c r="A40" s="3"/>
      <c r="B40" s="2"/>
      <c r="C40" s="122" t="s">
        <v>266</v>
      </c>
      <c r="D40" s="17"/>
      <c r="E40" s="2"/>
      <c r="F40" s="2"/>
      <c r="G40" s="2"/>
      <c r="H40" s="2"/>
      <c r="I40" s="13"/>
      <c r="J40" s="58"/>
      <c r="K40" s="58"/>
      <c r="L40" s="58"/>
      <c r="M40" s="58"/>
      <c r="N40" s="58"/>
      <c r="O40" s="58"/>
      <c r="P40" s="58"/>
      <c r="Q40" s="58"/>
      <c r="R40" s="58"/>
      <c r="S40" s="58"/>
      <c r="T40" s="58"/>
      <c r="U40" s="95"/>
      <c r="V40" s="91"/>
      <c r="W40" s="91"/>
      <c r="X40" s="91"/>
      <c r="Y40" s="91"/>
      <c r="Z40" s="55"/>
      <c r="AA40" s="55"/>
      <c r="AB40" s="55"/>
      <c r="AC40" s="55"/>
      <c r="AD40" s="55"/>
      <c r="AE40" s="55"/>
      <c r="AF40" s="55"/>
      <c r="AG40" s="129">
        <f>'Plan Moyen Terme (PMT)'!D14-BAU_Liquidité_Dynamique!AG38</f>
        <v>1.3999999999999915</v>
      </c>
      <c r="AH40" s="124">
        <f>IF(AND(AG$1&lt;AH$1, AH$1&lt;=$F38),$AG40*($F38-AH$1)/($F38-$AG$1),0)</f>
        <v>1.3854166666666583</v>
      </c>
      <c r="AI40" s="124">
        <f t="shared" ref="AI40:CT40" si="34">IF(AND(AH$1&lt;AI$1, AI$1&lt;=$F38),$AG40*($F38-AI$1)/($F38-$AG$1),0)</f>
        <v>1.3708333333333249</v>
      </c>
      <c r="AJ40" s="124">
        <f t="shared" si="34"/>
        <v>1.3562499999999915</v>
      </c>
      <c r="AK40" s="124">
        <f t="shared" si="34"/>
        <v>1.3416666666666586</v>
      </c>
      <c r="AL40" s="124">
        <f t="shared" si="34"/>
        <v>1.3270833333333252</v>
      </c>
      <c r="AM40" s="124">
        <f t="shared" si="34"/>
        <v>1.312499999999992</v>
      </c>
      <c r="AN40" s="124">
        <f t="shared" si="34"/>
        <v>1.2979166666666588</v>
      </c>
      <c r="AO40" s="124">
        <f t="shared" si="34"/>
        <v>1.2833333333333254</v>
      </c>
      <c r="AP40" s="124">
        <f t="shared" si="34"/>
        <v>1.2687499999999923</v>
      </c>
      <c r="AQ40" s="124">
        <f t="shared" si="34"/>
        <v>1.2541666666666591</v>
      </c>
      <c r="AR40" s="124">
        <f t="shared" si="34"/>
        <v>1.2395833333333257</v>
      </c>
      <c r="AS40" s="124">
        <f t="shared" si="34"/>
        <v>1.2249999999999925</v>
      </c>
      <c r="AT40" s="124">
        <f t="shared" si="34"/>
        <v>1.2104166666666594</v>
      </c>
      <c r="AU40" s="124">
        <f t="shared" si="34"/>
        <v>1.195833333333326</v>
      </c>
      <c r="AV40" s="124">
        <f t="shared" si="34"/>
        <v>1.1812499999999928</v>
      </c>
      <c r="AW40" s="124">
        <f t="shared" si="34"/>
        <v>1.1666666666666596</v>
      </c>
      <c r="AX40" s="124">
        <f t="shared" si="34"/>
        <v>1.1520833333333262</v>
      </c>
      <c r="AY40" s="124">
        <f t="shared" si="34"/>
        <v>1.1374999999999931</v>
      </c>
      <c r="AZ40" s="124">
        <f t="shared" si="34"/>
        <v>1.1229166666666599</v>
      </c>
      <c r="BA40" s="124">
        <f t="shared" si="34"/>
        <v>1.1083333333333265</v>
      </c>
      <c r="BB40" s="124">
        <f t="shared" si="34"/>
        <v>1.0937499999999933</v>
      </c>
      <c r="BC40" s="124">
        <f t="shared" si="34"/>
        <v>1.0791666666666602</v>
      </c>
      <c r="BD40" s="124">
        <f t="shared" si="34"/>
        <v>1.0645833333333268</v>
      </c>
      <c r="BE40" s="124">
        <f t="shared" si="34"/>
        <v>1.0499999999999936</v>
      </c>
      <c r="BF40" s="124">
        <f t="shared" si="34"/>
        <v>1.0354166666666604</v>
      </c>
      <c r="BG40" s="124">
        <f t="shared" si="34"/>
        <v>1.020833333333327</v>
      </c>
      <c r="BH40" s="124">
        <f t="shared" si="34"/>
        <v>1.0062499999999939</v>
      </c>
      <c r="BI40" s="124">
        <f t="shared" si="34"/>
        <v>0.99166666666666059</v>
      </c>
      <c r="BJ40" s="124">
        <f t="shared" si="34"/>
        <v>0.97708333333332742</v>
      </c>
      <c r="BK40" s="124">
        <f t="shared" si="34"/>
        <v>0.96249999999999414</v>
      </c>
      <c r="BL40" s="124">
        <f t="shared" si="34"/>
        <v>0.94791666666666086</v>
      </c>
      <c r="BM40" s="124">
        <f t="shared" si="34"/>
        <v>0.93333333333332769</v>
      </c>
      <c r="BN40" s="124">
        <f t="shared" si="34"/>
        <v>0.9187499999999944</v>
      </c>
      <c r="BO40" s="124">
        <f t="shared" si="34"/>
        <v>0.90416666666666112</v>
      </c>
      <c r="BP40" s="124">
        <f t="shared" si="34"/>
        <v>0.88958333333332795</v>
      </c>
      <c r="BQ40" s="124">
        <f t="shared" si="34"/>
        <v>0.87499999999999467</v>
      </c>
      <c r="BR40" s="124">
        <f t="shared" si="34"/>
        <v>0.86041666666666139</v>
      </c>
      <c r="BS40" s="124">
        <f t="shared" si="34"/>
        <v>0.84583333333332822</v>
      </c>
      <c r="BT40" s="124">
        <f t="shared" si="34"/>
        <v>0.83124999999999494</v>
      </c>
      <c r="BU40" s="124">
        <f t="shared" si="34"/>
        <v>0.81666666666666166</v>
      </c>
      <c r="BV40" s="124">
        <f t="shared" si="34"/>
        <v>0.80208333333332849</v>
      </c>
      <c r="BW40" s="124">
        <f t="shared" si="34"/>
        <v>0.7874999999999952</v>
      </c>
      <c r="BX40" s="124">
        <f t="shared" si="34"/>
        <v>0.77291666666666192</v>
      </c>
      <c r="BY40" s="124">
        <f t="shared" si="34"/>
        <v>0.75833333333332875</v>
      </c>
      <c r="BZ40" s="124">
        <f t="shared" si="34"/>
        <v>0.74374999999999547</v>
      </c>
      <c r="CA40" s="124">
        <f t="shared" si="34"/>
        <v>0.72916666666666219</v>
      </c>
      <c r="CB40" s="124">
        <f t="shared" si="34"/>
        <v>0.71458333333332902</v>
      </c>
      <c r="CC40" s="124">
        <f t="shared" si="34"/>
        <v>0.69999999999999574</v>
      </c>
      <c r="CD40" s="124">
        <f t="shared" si="34"/>
        <v>0.68541666666666246</v>
      </c>
      <c r="CE40" s="124">
        <f t="shared" si="34"/>
        <v>0.67083333333332928</v>
      </c>
      <c r="CF40" s="124">
        <f t="shared" si="34"/>
        <v>0.656249999999996</v>
      </c>
      <c r="CG40" s="124">
        <f t="shared" si="34"/>
        <v>0.64166666666666272</v>
      </c>
      <c r="CH40" s="124">
        <f t="shared" si="34"/>
        <v>0.62708333333332955</v>
      </c>
      <c r="CI40" s="124">
        <f t="shared" si="34"/>
        <v>0.61249999999999627</v>
      </c>
      <c r="CJ40" s="124">
        <f t="shared" si="34"/>
        <v>0.59791666666666299</v>
      </c>
      <c r="CK40" s="124">
        <f t="shared" si="34"/>
        <v>0.58333333333332982</v>
      </c>
      <c r="CL40" s="124">
        <f t="shared" si="34"/>
        <v>0.56874999999999654</v>
      </c>
      <c r="CM40" s="124">
        <f t="shared" si="34"/>
        <v>0.55416666666666325</v>
      </c>
      <c r="CN40" s="124">
        <f t="shared" si="34"/>
        <v>0.53958333333333008</v>
      </c>
      <c r="CO40" s="124">
        <f t="shared" si="34"/>
        <v>0.5249999999999968</v>
      </c>
      <c r="CP40" s="124">
        <f t="shared" si="34"/>
        <v>0.51041666666666352</v>
      </c>
      <c r="CQ40" s="124">
        <f t="shared" si="34"/>
        <v>0.4958333333333303</v>
      </c>
      <c r="CR40" s="124">
        <f t="shared" si="34"/>
        <v>0.48124999999999707</v>
      </c>
      <c r="CS40" s="124">
        <f t="shared" si="34"/>
        <v>0.46666666666666384</v>
      </c>
      <c r="CT40" s="124">
        <f t="shared" si="34"/>
        <v>0.45208333333333056</v>
      </c>
      <c r="CU40" s="124">
        <f t="shared" ref="CU40:DY40" si="35">IF(AND(CT$1&lt;CU$1, CU$1&lt;=$F38),$AG40*($F38-CU$1)/($F38-$AG$1),0)</f>
        <v>0.43749999999999734</v>
      </c>
      <c r="CV40" s="124">
        <f t="shared" si="35"/>
        <v>0.42291666666666411</v>
      </c>
      <c r="CW40" s="124">
        <f t="shared" si="35"/>
        <v>0.40833333333333083</v>
      </c>
      <c r="CX40" s="124">
        <f t="shared" si="35"/>
        <v>0.3937499999999976</v>
      </c>
      <c r="CY40" s="124">
        <f t="shared" si="35"/>
        <v>0.37916666666666438</v>
      </c>
      <c r="CZ40" s="124">
        <f t="shared" si="35"/>
        <v>0.36458333333333109</v>
      </c>
      <c r="DA40" s="124">
        <f t="shared" si="35"/>
        <v>0.34999999999999787</v>
      </c>
      <c r="DB40" s="124">
        <f t="shared" si="35"/>
        <v>0.33541666666666464</v>
      </c>
      <c r="DC40" s="124">
        <f t="shared" si="35"/>
        <v>0.32083333333333136</v>
      </c>
      <c r="DD40" s="124">
        <f t="shared" si="35"/>
        <v>0.30624999999999813</v>
      </c>
      <c r="DE40" s="124">
        <f t="shared" si="35"/>
        <v>0.29166666666666491</v>
      </c>
      <c r="DF40" s="124">
        <f t="shared" si="35"/>
        <v>0.27708333333333163</v>
      </c>
      <c r="DG40" s="124">
        <f t="shared" si="35"/>
        <v>0.2624999999999984</v>
      </c>
      <c r="DH40" s="124">
        <f t="shared" si="35"/>
        <v>0.24791666666666515</v>
      </c>
      <c r="DI40" s="124">
        <f t="shared" si="35"/>
        <v>0.23333333333333192</v>
      </c>
      <c r="DJ40" s="124">
        <f t="shared" si="35"/>
        <v>0.21874999999999867</v>
      </c>
      <c r="DK40" s="124">
        <f t="shared" si="35"/>
        <v>0.20416666666666541</v>
      </c>
      <c r="DL40" s="124">
        <f t="shared" si="35"/>
        <v>0.18958333333333219</v>
      </c>
      <c r="DM40" s="124">
        <f t="shared" si="35"/>
        <v>0.17499999999999893</v>
      </c>
      <c r="DN40" s="124">
        <f t="shared" si="35"/>
        <v>0.16041666666666568</v>
      </c>
      <c r="DO40" s="124">
        <f t="shared" si="35"/>
        <v>0.14583333333333245</v>
      </c>
      <c r="DP40" s="124">
        <f t="shared" si="35"/>
        <v>0.1312499999999992</v>
      </c>
      <c r="DQ40" s="124">
        <f t="shared" si="35"/>
        <v>0.11666666666666596</v>
      </c>
      <c r="DR40" s="124">
        <f t="shared" si="35"/>
        <v>0.10208333333333271</v>
      </c>
      <c r="DS40" s="124">
        <f t="shared" si="35"/>
        <v>8.7499999999999467E-2</v>
      </c>
      <c r="DT40" s="124">
        <f t="shared" si="35"/>
        <v>7.2916666666666227E-2</v>
      </c>
      <c r="DU40" s="124">
        <f t="shared" si="35"/>
        <v>5.833333333333298E-2</v>
      </c>
      <c r="DV40" s="124">
        <f t="shared" si="35"/>
        <v>4.3749999999999734E-2</v>
      </c>
      <c r="DW40" s="124">
        <f t="shared" si="35"/>
        <v>2.916666666666649E-2</v>
      </c>
      <c r="DX40" s="124">
        <f t="shared" si="35"/>
        <v>1.4583333333333245E-2</v>
      </c>
      <c r="DY40" s="124">
        <f t="shared" si="35"/>
        <v>0</v>
      </c>
    </row>
    <row r="41" spans="1:129" x14ac:dyDescent="0.45">
      <c r="A41" s="3"/>
      <c r="B41" s="2"/>
      <c r="C41" s="125" t="s">
        <v>267</v>
      </c>
      <c r="D41" s="17"/>
      <c r="E41" s="2"/>
      <c r="F41" s="2"/>
      <c r="G41" s="2"/>
      <c r="H41" s="2"/>
      <c r="I41" s="13"/>
      <c r="J41" s="58"/>
      <c r="K41" s="58"/>
      <c r="L41" s="58"/>
      <c r="M41" s="58"/>
      <c r="N41" s="58"/>
      <c r="O41" s="58"/>
      <c r="P41" s="58"/>
      <c r="Q41" s="58"/>
      <c r="R41" s="58"/>
      <c r="S41" s="58"/>
      <c r="T41" s="58"/>
      <c r="U41" s="96"/>
      <c r="V41" s="55"/>
      <c r="W41" s="55"/>
      <c r="X41" s="55"/>
      <c r="Y41" s="55"/>
      <c r="Z41" s="55"/>
      <c r="AA41" s="55"/>
      <c r="AB41" s="55"/>
      <c r="AC41" s="55"/>
      <c r="AD41" s="55"/>
      <c r="AE41" s="55"/>
      <c r="AF41" s="55"/>
      <c r="AG41" s="102"/>
      <c r="AH41" s="91"/>
      <c r="AI41" s="91"/>
      <c r="AJ41" s="91"/>
      <c r="AK41" s="55"/>
      <c r="AL41" s="55"/>
      <c r="AM41" s="55"/>
      <c r="AN41" s="55"/>
      <c r="AO41" s="55"/>
      <c r="AP41" s="55"/>
      <c r="AQ41" s="55"/>
      <c r="AR41" s="55"/>
      <c r="AS41" s="130">
        <f>'Plan Moyen Terme (PMT)'!E14-BAU_Liquidité_Dynamique!AS38</f>
        <v>-4.3999999999999986</v>
      </c>
      <c r="AT41" s="126">
        <f>IF(AND(AS$1&lt;AT$1, AT$1&lt;=$F38),$AS41*($F38-AT$1)/($F38-$AS$1),0)</f>
        <v>-4.3476190476190464</v>
      </c>
      <c r="AU41" s="126">
        <f t="shared" ref="AU41:DF41" si="36">IF(AND(AT$1&lt;AU$1, AU$1&lt;=$F38),$AS41*($F38-AU$1)/($F38-$AS$1),0)</f>
        <v>-4.2952380952380942</v>
      </c>
      <c r="AV41" s="126">
        <f t="shared" si="36"/>
        <v>-4.2428571428571411</v>
      </c>
      <c r="AW41" s="126">
        <f t="shared" si="36"/>
        <v>-4.1904761904761889</v>
      </c>
      <c r="AX41" s="126">
        <f t="shared" si="36"/>
        <v>-4.1380952380952367</v>
      </c>
      <c r="AY41" s="126">
        <f t="shared" si="36"/>
        <v>-4.0857142857142845</v>
      </c>
      <c r="AZ41" s="126">
        <f t="shared" si="36"/>
        <v>-4.0333333333333323</v>
      </c>
      <c r="BA41" s="126">
        <f t="shared" si="36"/>
        <v>-3.9809523809523792</v>
      </c>
      <c r="BB41" s="126">
        <f t="shared" si="36"/>
        <v>-3.928571428571427</v>
      </c>
      <c r="BC41" s="126">
        <f t="shared" si="36"/>
        <v>-3.8761904761904753</v>
      </c>
      <c r="BD41" s="126">
        <f t="shared" si="36"/>
        <v>-3.8238095238095222</v>
      </c>
      <c r="BE41" s="126">
        <f t="shared" si="36"/>
        <v>-3.77142857142857</v>
      </c>
      <c r="BF41" s="126">
        <f t="shared" si="36"/>
        <v>-3.7190476190476183</v>
      </c>
      <c r="BG41" s="126">
        <f t="shared" si="36"/>
        <v>-3.6666666666666652</v>
      </c>
      <c r="BH41" s="126">
        <f t="shared" si="36"/>
        <v>-3.614285714285713</v>
      </c>
      <c r="BI41" s="126">
        <f t="shared" si="36"/>
        <v>-3.5619047619047612</v>
      </c>
      <c r="BJ41" s="126">
        <f t="shared" si="36"/>
        <v>-3.5095238095238082</v>
      </c>
      <c r="BK41" s="126">
        <f t="shared" si="36"/>
        <v>-3.4571428571428564</v>
      </c>
      <c r="BL41" s="126">
        <f t="shared" si="36"/>
        <v>-3.4047619047619033</v>
      </c>
      <c r="BM41" s="126">
        <f t="shared" si="36"/>
        <v>-3.3523809523809511</v>
      </c>
      <c r="BN41" s="126">
        <f t="shared" si="36"/>
        <v>-3.2999999999999994</v>
      </c>
      <c r="BO41" s="126">
        <f t="shared" si="36"/>
        <v>-3.2476190476190463</v>
      </c>
      <c r="BP41" s="126">
        <f t="shared" si="36"/>
        <v>-3.1952380952380941</v>
      </c>
      <c r="BQ41" s="126">
        <f t="shared" si="36"/>
        <v>-3.1428571428571415</v>
      </c>
      <c r="BR41" s="126">
        <f t="shared" si="36"/>
        <v>-3.0904761904761893</v>
      </c>
      <c r="BS41" s="126">
        <f t="shared" si="36"/>
        <v>-3.0380952380952371</v>
      </c>
      <c r="BT41" s="126">
        <f t="shared" si="36"/>
        <v>-2.9857142857142849</v>
      </c>
      <c r="BU41" s="126">
        <f t="shared" si="36"/>
        <v>-2.9333333333333322</v>
      </c>
      <c r="BV41" s="126">
        <f t="shared" si="36"/>
        <v>-2.88095238095238</v>
      </c>
      <c r="BW41" s="126">
        <f t="shared" si="36"/>
        <v>-2.8285714285714274</v>
      </c>
      <c r="BX41" s="126">
        <f t="shared" si="36"/>
        <v>-2.7761904761904752</v>
      </c>
      <c r="BY41" s="126">
        <f t="shared" si="36"/>
        <v>-2.723809523809523</v>
      </c>
      <c r="BZ41" s="126">
        <f t="shared" si="36"/>
        <v>-2.6714285714285704</v>
      </c>
      <c r="CA41" s="126">
        <f t="shared" si="36"/>
        <v>-2.6190476190476182</v>
      </c>
      <c r="CB41" s="126">
        <f t="shared" si="36"/>
        <v>-2.566666666666666</v>
      </c>
      <c r="CC41" s="126">
        <f t="shared" si="36"/>
        <v>-2.5142857142857133</v>
      </c>
      <c r="CD41" s="126">
        <f t="shared" si="36"/>
        <v>-2.4619047619047612</v>
      </c>
      <c r="CE41" s="126">
        <f t="shared" si="36"/>
        <v>-2.4095238095238085</v>
      </c>
      <c r="CF41" s="126">
        <f t="shared" si="36"/>
        <v>-2.3571428571428563</v>
      </c>
      <c r="CG41" s="126">
        <f t="shared" si="36"/>
        <v>-2.3047619047619041</v>
      </c>
      <c r="CH41" s="126">
        <f t="shared" si="36"/>
        <v>-2.2523809523809515</v>
      </c>
      <c r="CI41" s="126">
        <f t="shared" si="36"/>
        <v>-2.1999999999999993</v>
      </c>
      <c r="CJ41" s="126">
        <f t="shared" si="36"/>
        <v>-2.1476190476190471</v>
      </c>
      <c r="CK41" s="126">
        <f t="shared" si="36"/>
        <v>-2.0952380952380945</v>
      </c>
      <c r="CL41" s="126">
        <f t="shared" si="36"/>
        <v>-2.0428571428571423</v>
      </c>
      <c r="CM41" s="126">
        <f t="shared" si="36"/>
        <v>-1.9904761904761896</v>
      </c>
      <c r="CN41" s="126">
        <f t="shared" si="36"/>
        <v>-1.9380952380952376</v>
      </c>
      <c r="CO41" s="126">
        <f t="shared" si="36"/>
        <v>-1.885714285714285</v>
      </c>
      <c r="CP41" s="126">
        <f t="shared" si="36"/>
        <v>-1.8333333333333326</v>
      </c>
      <c r="CQ41" s="126">
        <f t="shared" si="36"/>
        <v>-1.7809523809523806</v>
      </c>
      <c r="CR41" s="126">
        <f t="shared" si="36"/>
        <v>-1.7285714285714282</v>
      </c>
      <c r="CS41" s="126">
        <f t="shared" si="36"/>
        <v>-1.6761904761904756</v>
      </c>
      <c r="CT41" s="126">
        <f t="shared" si="36"/>
        <v>-1.6238095238095231</v>
      </c>
      <c r="CU41" s="126">
        <f t="shared" si="36"/>
        <v>-1.5714285714285707</v>
      </c>
      <c r="CV41" s="126">
        <f t="shared" si="36"/>
        <v>-1.5190476190476185</v>
      </c>
      <c r="CW41" s="126">
        <f t="shared" si="36"/>
        <v>-1.4666666666666661</v>
      </c>
      <c r="CX41" s="126">
        <f t="shared" si="36"/>
        <v>-1.4142857142857137</v>
      </c>
      <c r="CY41" s="126">
        <f t="shared" si="36"/>
        <v>-1.3619047619047615</v>
      </c>
      <c r="CZ41" s="126">
        <f t="shared" si="36"/>
        <v>-1.3095238095238091</v>
      </c>
      <c r="DA41" s="126">
        <f t="shared" si="36"/>
        <v>-1.2571428571428567</v>
      </c>
      <c r="DB41" s="126">
        <f t="shared" si="36"/>
        <v>-1.2047619047619043</v>
      </c>
      <c r="DC41" s="126">
        <f t="shared" si="36"/>
        <v>-1.1523809523809521</v>
      </c>
      <c r="DD41" s="126">
        <f t="shared" si="36"/>
        <v>-1.0999999999999996</v>
      </c>
      <c r="DE41" s="126">
        <f t="shared" si="36"/>
        <v>-1.0476190476190472</v>
      </c>
      <c r="DF41" s="126">
        <f t="shared" si="36"/>
        <v>-0.99523809523809481</v>
      </c>
      <c r="DG41" s="126">
        <f t="shared" ref="DG41:DY41" si="37">IF(AND(DF$1&lt;DG$1, DG$1&lt;=$F38),$AS41*($F38-DG$1)/($F38-$AS$1),0)</f>
        <v>-0.94285714285714251</v>
      </c>
      <c r="DH41" s="126">
        <f t="shared" si="37"/>
        <v>-0.89047619047619031</v>
      </c>
      <c r="DI41" s="126">
        <f t="shared" si="37"/>
        <v>-0.83809523809523778</v>
      </c>
      <c r="DJ41" s="126">
        <f t="shared" si="37"/>
        <v>-0.78571428571428537</v>
      </c>
      <c r="DK41" s="126">
        <f t="shared" si="37"/>
        <v>-0.73333333333333306</v>
      </c>
      <c r="DL41" s="126">
        <f t="shared" si="37"/>
        <v>-0.68095238095238075</v>
      </c>
      <c r="DM41" s="126">
        <f t="shared" si="37"/>
        <v>-0.62857142857142834</v>
      </c>
      <c r="DN41" s="126">
        <f t="shared" si="37"/>
        <v>-0.57619047619047603</v>
      </c>
      <c r="DO41" s="126">
        <f t="shared" si="37"/>
        <v>-0.52380952380952361</v>
      </c>
      <c r="DP41" s="126">
        <f t="shared" si="37"/>
        <v>-0.47142857142857125</v>
      </c>
      <c r="DQ41" s="126">
        <f t="shared" si="37"/>
        <v>-0.41904761904761889</v>
      </c>
      <c r="DR41" s="126">
        <f t="shared" si="37"/>
        <v>-0.36666666666666653</v>
      </c>
      <c r="DS41" s="126">
        <f t="shared" si="37"/>
        <v>-0.31428571428571417</v>
      </c>
      <c r="DT41" s="126">
        <f t="shared" si="37"/>
        <v>-0.26190476190476181</v>
      </c>
      <c r="DU41" s="126">
        <f t="shared" si="37"/>
        <v>-0.20952380952380945</v>
      </c>
      <c r="DV41" s="126">
        <f t="shared" si="37"/>
        <v>-0.15714285714285708</v>
      </c>
      <c r="DW41" s="126">
        <f t="shared" si="37"/>
        <v>-0.10476190476190472</v>
      </c>
      <c r="DX41" s="126">
        <f t="shared" si="37"/>
        <v>-5.2380952380952361E-2</v>
      </c>
      <c r="DY41" s="126">
        <f t="shared" si="37"/>
        <v>0</v>
      </c>
    </row>
    <row r="42" spans="1:129" x14ac:dyDescent="0.45">
      <c r="A42" s="3">
        <v>46022</v>
      </c>
      <c r="B42" s="2" t="s">
        <v>0</v>
      </c>
      <c r="C42" s="4" t="s">
        <v>13</v>
      </c>
      <c r="D42" s="17"/>
      <c r="E42" s="2" t="s">
        <v>43</v>
      </c>
      <c r="F42" s="2">
        <v>120</v>
      </c>
      <c r="G42" s="2" t="s">
        <v>43</v>
      </c>
      <c r="H42" s="2">
        <v>120</v>
      </c>
      <c r="I42" s="13">
        <v>570</v>
      </c>
      <c r="J42" s="58">
        <f t="shared" si="29"/>
        <v>565.25</v>
      </c>
      <c r="K42" s="58">
        <f t="shared" si="29"/>
        <v>560.5</v>
      </c>
      <c r="L42" s="58">
        <f t="shared" si="29"/>
        <v>555.75</v>
      </c>
      <c r="M42" s="58">
        <f t="shared" si="29"/>
        <v>551</v>
      </c>
      <c r="N42" s="58">
        <f t="shared" si="29"/>
        <v>546.25</v>
      </c>
      <c r="O42" s="58">
        <f t="shared" si="29"/>
        <v>541.5</v>
      </c>
      <c r="P42" s="58">
        <f t="shared" si="29"/>
        <v>536.75</v>
      </c>
      <c r="Q42" s="58">
        <f t="shared" si="29"/>
        <v>532</v>
      </c>
      <c r="R42" s="58">
        <f t="shared" si="29"/>
        <v>527.25</v>
      </c>
      <c r="S42" s="58">
        <f t="shared" si="29"/>
        <v>522.5</v>
      </c>
      <c r="T42" s="58">
        <f t="shared" si="29"/>
        <v>517.75</v>
      </c>
      <c r="U42" s="97">
        <f t="shared" si="29"/>
        <v>513</v>
      </c>
      <c r="V42" s="58">
        <f t="shared" si="29"/>
        <v>508.25000000000006</v>
      </c>
      <c r="W42" s="58">
        <f t="shared" si="29"/>
        <v>503.5</v>
      </c>
      <c r="X42" s="58">
        <f t="shared" si="29"/>
        <v>498.75</v>
      </c>
      <c r="Y42" s="58">
        <f t="shared" si="29"/>
        <v>494</v>
      </c>
      <c r="Z42" s="58">
        <f t="shared" si="30"/>
        <v>489.24999999999994</v>
      </c>
      <c r="AA42" s="58">
        <f t="shared" si="30"/>
        <v>484.5</v>
      </c>
      <c r="AB42" s="58">
        <f t="shared" si="30"/>
        <v>479.75</v>
      </c>
      <c r="AC42" s="58">
        <f t="shared" si="30"/>
        <v>475</v>
      </c>
      <c r="AD42" s="58">
        <f t="shared" si="30"/>
        <v>470.25</v>
      </c>
      <c r="AE42" s="58">
        <f t="shared" si="30"/>
        <v>465.5</v>
      </c>
      <c r="AF42" s="58">
        <f t="shared" si="30"/>
        <v>460.75</v>
      </c>
      <c r="AG42" s="103">
        <f t="shared" si="30"/>
        <v>456</v>
      </c>
      <c r="AH42" s="58">
        <f t="shared" si="30"/>
        <v>451.25</v>
      </c>
      <c r="AI42" s="58">
        <f t="shared" si="30"/>
        <v>446.5</v>
      </c>
      <c r="AJ42" s="58">
        <f t="shared" si="30"/>
        <v>441.75</v>
      </c>
      <c r="AK42" s="58">
        <f t="shared" si="30"/>
        <v>437.00000000000006</v>
      </c>
      <c r="AL42" s="58">
        <f t="shared" si="30"/>
        <v>432.25</v>
      </c>
      <c r="AM42" s="58">
        <f t="shared" si="30"/>
        <v>427.5</v>
      </c>
      <c r="AN42" s="58">
        <f t="shared" si="30"/>
        <v>422.75</v>
      </c>
      <c r="AO42" s="58">
        <f t="shared" si="30"/>
        <v>417.99999999999994</v>
      </c>
      <c r="AP42" s="58">
        <f t="shared" si="30"/>
        <v>413.25</v>
      </c>
      <c r="AQ42" s="58">
        <f t="shared" si="30"/>
        <v>408.5</v>
      </c>
      <c r="AR42" s="58">
        <f t="shared" si="30"/>
        <v>403.75</v>
      </c>
      <c r="AS42" s="109">
        <f t="shared" si="30"/>
        <v>399</v>
      </c>
      <c r="AT42" s="58">
        <f t="shared" si="30"/>
        <v>394.25</v>
      </c>
      <c r="AU42" s="58">
        <f t="shared" si="30"/>
        <v>389.5</v>
      </c>
      <c r="AV42" s="58">
        <f t="shared" si="30"/>
        <v>384.75</v>
      </c>
      <c r="AW42" s="58">
        <f t="shared" si="30"/>
        <v>380</v>
      </c>
      <c r="AX42" s="58">
        <f t="shared" si="30"/>
        <v>375.25</v>
      </c>
      <c r="AY42" s="58">
        <f t="shared" si="30"/>
        <v>370.5</v>
      </c>
      <c r="AZ42" s="58">
        <f t="shared" si="30"/>
        <v>365.75000000000006</v>
      </c>
      <c r="BA42" s="58">
        <f t="shared" si="30"/>
        <v>361</v>
      </c>
      <c r="BB42" s="58">
        <f t="shared" si="30"/>
        <v>356.25</v>
      </c>
      <c r="BC42" s="58">
        <f t="shared" si="30"/>
        <v>351.5</v>
      </c>
      <c r="BD42" s="58">
        <f t="shared" si="30"/>
        <v>346.74999999999994</v>
      </c>
      <c r="BE42" s="58">
        <f t="shared" si="30"/>
        <v>342</v>
      </c>
      <c r="BF42" s="58">
        <f t="shared" si="30"/>
        <v>337.25</v>
      </c>
      <c r="BG42" s="58">
        <f t="shared" si="30"/>
        <v>332.5</v>
      </c>
      <c r="BH42" s="58">
        <f t="shared" si="30"/>
        <v>327.75</v>
      </c>
      <c r="BI42" s="58">
        <f t="shared" si="30"/>
        <v>323</v>
      </c>
      <c r="BJ42" s="58">
        <f t="shared" si="30"/>
        <v>318.25</v>
      </c>
      <c r="BK42" s="58">
        <f t="shared" si="30"/>
        <v>313.5</v>
      </c>
      <c r="BL42" s="58">
        <f t="shared" si="30"/>
        <v>308.75</v>
      </c>
      <c r="BM42" s="58">
        <f t="shared" si="30"/>
        <v>304</v>
      </c>
      <c r="BN42" s="58">
        <f t="shared" si="30"/>
        <v>299.25</v>
      </c>
      <c r="BO42" s="58">
        <f t="shared" si="30"/>
        <v>294.50000000000006</v>
      </c>
      <c r="BP42" s="58">
        <f t="shared" si="30"/>
        <v>289.75</v>
      </c>
      <c r="BQ42" s="58">
        <f t="shared" si="30"/>
        <v>285</v>
      </c>
      <c r="BR42" s="58">
        <f t="shared" si="30"/>
        <v>280.25</v>
      </c>
      <c r="BS42" s="58">
        <f t="shared" si="30"/>
        <v>275.5</v>
      </c>
      <c r="BT42" s="58">
        <f t="shared" si="30"/>
        <v>270.75</v>
      </c>
      <c r="BU42" s="58">
        <f t="shared" si="30"/>
        <v>266</v>
      </c>
      <c r="BV42" s="58">
        <f t="shared" si="30"/>
        <v>261.25</v>
      </c>
      <c r="BW42" s="58">
        <f t="shared" si="30"/>
        <v>256.5</v>
      </c>
      <c r="BX42" s="58">
        <f t="shared" si="30"/>
        <v>251.75</v>
      </c>
      <c r="BY42" s="58">
        <f t="shared" si="30"/>
        <v>247</v>
      </c>
      <c r="BZ42" s="58">
        <f t="shared" si="30"/>
        <v>242.25</v>
      </c>
      <c r="CA42" s="58">
        <f t="shared" si="30"/>
        <v>237.5</v>
      </c>
      <c r="CB42" s="58">
        <f t="shared" si="30"/>
        <v>232.75</v>
      </c>
      <c r="CC42" s="58">
        <f t="shared" si="30"/>
        <v>228</v>
      </c>
      <c r="CD42" s="58">
        <f t="shared" si="30"/>
        <v>223.25</v>
      </c>
      <c r="CE42" s="58">
        <f t="shared" si="30"/>
        <v>218.50000000000003</v>
      </c>
      <c r="CF42" s="58">
        <f t="shared" si="30"/>
        <v>213.75</v>
      </c>
      <c r="CG42" s="58">
        <f t="shared" si="30"/>
        <v>208.99999999999997</v>
      </c>
      <c r="CH42" s="58">
        <f t="shared" si="30"/>
        <v>204.25</v>
      </c>
      <c r="CI42" s="58">
        <f t="shared" si="30"/>
        <v>199.5</v>
      </c>
      <c r="CJ42" s="58">
        <f t="shared" si="30"/>
        <v>194.75</v>
      </c>
      <c r="CK42" s="58">
        <f t="shared" si="30"/>
        <v>190</v>
      </c>
      <c r="CL42" s="58">
        <f t="shared" si="31"/>
        <v>185.25</v>
      </c>
      <c r="CM42" s="58">
        <f t="shared" si="31"/>
        <v>180.5</v>
      </c>
      <c r="CN42" s="58">
        <f t="shared" si="31"/>
        <v>175.75</v>
      </c>
      <c r="CO42" s="58">
        <f t="shared" si="31"/>
        <v>171</v>
      </c>
      <c r="CP42" s="58">
        <f t="shared" si="31"/>
        <v>166.25</v>
      </c>
      <c r="CQ42" s="58">
        <f t="shared" si="31"/>
        <v>161.5</v>
      </c>
      <c r="CR42" s="58">
        <f t="shared" si="31"/>
        <v>156.75</v>
      </c>
      <c r="CS42" s="58">
        <f t="shared" si="31"/>
        <v>152</v>
      </c>
      <c r="CT42" s="58">
        <f t="shared" si="31"/>
        <v>147.25000000000003</v>
      </c>
      <c r="CU42" s="58">
        <f t="shared" si="31"/>
        <v>142.5</v>
      </c>
      <c r="CV42" s="58">
        <f t="shared" si="31"/>
        <v>137.75</v>
      </c>
      <c r="CW42" s="58">
        <f t="shared" si="31"/>
        <v>133</v>
      </c>
      <c r="CX42" s="58">
        <f t="shared" si="31"/>
        <v>128.25</v>
      </c>
      <c r="CY42" s="58">
        <f t="shared" si="31"/>
        <v>123.5</v>
      </c>
      <c r="CZ42" s="58">
        <f t="shared" si="31"/>
        <v>118.75</v>
      </c>
      <c r="DA42" s="58">
        <f t="shared" si="31"/>
        <v>114</v>
      </c>
      <c r="DB42" s="58">
        <f t="shared" si="31"/>
        <v>109.25000000000001</v>
      </c>
      <c r="DC42" s="58">
        <f t="shared" si="31"/>
        <v>104.49999999999999</v>
      </c>
      <c r="DD42" s="58">
        <f t="shared" si="31"/>
        <v>99.75</v>
      </c>
      <c r="DE42" s="58">
        <f t="shared" si="31"/>
        <v>95</v>
      </c>
      <c r="DF42" s="58">
        <f t="shared" si="31"/>
        <v>90.25</v>
      </c>
      <c r="DG42" s="58">
        <f t="shared" si="31"/>
        <v>85.5</v>
      </c>
      <c r="DH42" s="58">
        <f t="shared" si="31"/>
        <v>80.75</v>
      </c>
      <c r="DI42" s="58">
        <f t="shared" si="31"/>
        <v>76</v>
      </c>
      <c r="DJ42" s="58">
        <f t="shared" si="31"/>
        <v>71.25</v>
      </c>
      <c r="DK42" s="58">
        <f t="shared" si="31"/>
        <v>66.5</v>
      </c>
      <c r="DL42" s="58">
        <f t="shared" si="31"/>
        <v>61.75</v>
      </c>
      <c r="DM42" s="58">
        <f t="shared" si="31"/>
        <v>57</v>
      </c>
      <c r="DN42" s="58">
        <f t="shared" si="31"/>
        <v>52.249999999999993</v>
      </c>
      <c r="DO42" s="58">
        <f t="shared" si="31"/>
        <v>47.5</v>
      </c>
      <c r="DP42" s="58">
        <f t="shared" si="31"/>
        <v>42.75</v>
      </c>
      <c r="DQ42" s="58">
        <f t="shared" si="31"/>
        <v>38</v>
      </c>
      <c r="DR42" s="58">
        <f t="shared" si="31"/>
        <v>33.25</v>
      </c>
      <c r="DS42" s="58">
        <f t="shared" si="31"/>
        <v>28.5</v>
      </c>
      <c r="DT42" s="58">
        <f t="shared" si="31"/>
        <v>23.75</v>
      </c>
      <c r="DU42" s="58">
        <f t="shared" si="31"/>
        <v>19</v>
      </c>
      <c r="DV42" s="58">
        <f t="shared" si="31"/>
        <v>14.25</v>
      </c>
      <c r="DW42" s="58">
        <f t="shared" si="31"/>
        <v>9.5</v>
      </c>
      <c r="DX42" s="58">
        <f t="shared" si="31"/>
        <v>4.75</v>
      </c>
      <c r="DY42" s="58">
        <f t="shared" si="31"/>
        <v>0</v>
      </c>
    </row>
    <row r="43" spans="1:129" x14ac:dyDescent="0.45">
      <c r="A43" s="3"/>
      <c r="B43" s="2"/>
      <c r="C43" s="121" t="s">
        <v>265</v>
      </c>
      <c r="D43" s="17"/>
      <c r="E43" s="2"/>
      <c r="F43" s="2"/>
      <c r="G43" s="2"/>
      <c r="H43" s="2"/>
      <c r="I43" s="13"/>
      <c r="J43" s="58"/>
      <c r="K43" s="58"/>
      <c r="L43" s="58"/>
      <c r="M43" s="58"/>
      <c r="N43" s="58"/>
      <c r="O43" s="58"/>
      <c r="P43" s="58"/>
      <c r="Q43" s="58"/>
      <c r="R43" s="58"/>
      <c r="S43" s="58"/>
      <c r="T43" s="58"/>
      <c r="U43" s="119">
        <f>'Plan Moyen Terme (PMT)'!C15-BAU_Liquidité_Dynamique!U42</f>
        <v>-3</v>
      </c>
      <c r="V43" s="120">
        <f>IF(AND(U$1&lt;V$1, V$1&lt;=$F42),$U43*($F42-V$1)/($F42-$U$1),0)</f>
        <v>-2.9722222222222223</v>
      </c>
      <c r="W43" s="120">
        <f>IF(AND(V$1&lt;W$1, W$1&lt;=$F42),$U43*($F42-W$1)/($F42-$U$1),0)</f>
        <v>-2.9444444444444446</v>
      </c>
      <c r="X43" s="120">
        <f t="shared" ref="X43" si="38">IF(AND(W$1&lt;X$1, X$1&lt;=$F42),$U43*($F42-X$1)/($F42-$U$1),0)</f>
        <v>-2.9166666666666665</v>
      </c>
      <c r="Y43" s="120">
        <f t="shared" ref="Y43" si="39">IF(AND(X$1&lt;Y$1, Y$1&lt;=$F42),$U43*($F42-Y$1)/($F42-$U$1),0)</f>
        <v>-2.8888888888888888</v>
      </c>
      <c r="Z43" s="120">
        <f t="shared" ref="Z43" si="40">IF(AND(Y$1&lt;Z$1, Z$1&lt;=$F42),$U43*($F42-Z$1)/($F42-$U$1),0)</f>
        <v>-2.8611111111111112</v>
      </c>
      <c r="AA43" s="120">
        <f t="shared" ref="AA43" si="41">IF(AND(Z$1&lt;AA$1, AA$1&lt;=$F42),$U43*($F42-AA$1)/($F42-$U$1),0)</f>
        <v>-2.8333333333333335</v>
      </c>
      <c r="AB43" s="120">
        <f t="shared" ref="AB43" si="42">IF(AND(AA$1&lt;AB$1, AB$1&lt;=$F42),$U43*($F42-AB$1)/($F42-$U$1),0)</f>
        <v>-2.8055555555555554</v>
      </c>
      <c r="AC43" s="120">
        <f t="shared" ref="AC43" si="43">IF(AND(AB$1&lt;AC$1, AC$1&lt;=$F42),$U43*($F42-AC$1)/($F42-$U$1),0)</f>
        <v>-2.7777777777777777</v>
      </c>
      <c r="AD43" s="120">
        <f t="shared" ref="AD43" si="44">IF(AND(AC$1&lt;AD$1, AD$1&lt;=$F42),$U43*($F42-AD$1)/($F42-$U$1),0)</f>
        <v>-2.75</v>
      </c>
      <c r="AE43" s="120">
        <f t="shared" ref="AE43" si="45">IF(AND(AD$1&lt;AE$1, AE$1&lt;=$F42),$U43*($F42-AE$1)/($F42-$U$1),0)</f>
        <v>-2.7222222222222223</v>
      </c>
      <c r="AF43" s="120">
        <f t="shared" ref="AF43" si="46">IF(AND(AE$1&lt;AF$1, AF$1&lt;=$F42),$U43*($F42-AF$1)/($F42-$U$1),0)</f>
        <v>-2.6944444444444446</v>
      </c>
      <c r="AG43" s="120">
        <f t="shared" ref="AG43" si="47">IF(AND(AF$1&lt;AG$1, AG$1&lt;=$F42),$U43*($F42-AG$1)/($F42-$U$1),0)</f>
        <v>-2.6666666666666665</v>
      </c>
      <c r="AH43" s="120">
        <f t="shared" ref="AH43" si="48">IF(AND(AG$1&lt;AH$1, AH$1&lt;=$F42),$U43*($F42-AH$1)/($F42-$U$1),0)</f>
        <v>-2.6388888888888888</v>
      </c>
      <c r="AI43" s="120">
        <f t="shared" ref="AI43" si="49">IF(AND(AH$1&lt;AI$1, AI$1&lt;=$F42),$U43*($F42-AI$1)/($F42-$U$1),0)</f>
        <v>-2.6111111111111112</v>
      </c>
      <c r="AJ43" s="120">
        <f t="shared" ref="AJ43" si="50">IF(AND(AI$1&lt;AJ$1, AJ$1&lt;=$F42),$U43*($F42-AJ$1)/($F42-$U$1),0)</f>
        <v>-2.5833333333333335</v>
      </c>
      <c r="AK43" s="120">
        <f t="shared" ref="AK43" si="51">IF(AND(AJ$1&lt;AK$1, AK$1&lt;=$F42),$U43*($F42-AK$1)/($F42-$U$1),0)</f>
        <v>-2.5555555555555554</v>
      </c>
      <c r="AL43" s="120">
        <f t="shared" ref="AL43" si="52">IF(AND(AK$1&lt;AL$1, AL$1&lt;=$F42),$U43*($F42-AL$1)/($F42-$U$1),0)</f>
        <v>-2.5277777777777777</v>
      </c>
      <c r="AM43" s="120">
        <f t="shared" ref="AM43" si="53">IF(AND(AL$1&lt;AM$1, AM$1&lt;=$F42),$U43*($F42-AM$1)/($F42-$U$1),0)</f>
        <v>-2.5</v>
      </c>
      <c r="AN43" s="120">
        <f t="shared" ref="AN43" si="54">IF(AND(AM$1&lt;AN$1, AN$1&lt;=$F42),$U43*($F42-AN$1)/($F42-$U$1),0)</f>
        <v>-2.4722222222222223</v>
      </c>
      <c r="AO43" s="120">
        <f t="shared" ref="AO43" si="55">IF(AND(AN$1&lt;AO$1, AO$1&lt;=$F42),$U43*($F42-AO$1)/($F42-$U$1),0)</f>
        <v>-2.4444444444444446</v>
      </c>
      <c r="AP43" s="120">
        <f t="shared" ref="AP43" si="56">IF(AND(AO$1&lt;AP$1, AP$1&lt;=$F42),$U43*($F42-AP$1)/($F42-$U$1),0)</f>
        <v>-2.4166666666666665</v>
      </c>
      <c r="AQ43" s="120">
        <f t="shared" ref="AQ43" si="57">IF(AND(AP$1&lt;AQ$1, AQ$1&lt;=$F42),$U43*($F42-AQ$1)/($F42-$U$1),0)</f>
        <v>-2.3888888888888888</v>
      </c>
      <c r="AR43" s="120">
        <f t="shared" ref="AR43" si="58">IF(AND(AQ$1&lt;AR$1, AR$1&lt;=$F42),$U43*($F42-AR$1)/($F42-$U$1),0)</f>
        <v>-2.3611111111111112</v>
      </c>
      <c r="AS43" s="120">
        <f t="shared" ref="AS43" si="59">IF(AND(AR$1&lt;AS$1, AS$1&lt;=$F42),$U43*($F42-AS$1)/($F42-$U$1),0)</f>
        <v>-2.3333333333333335</v>
      </c>
      <c r="AT43" s="120">
        <f t="shared" ref="AT43" si="60">IF(AND(AS$1&lt;AT$1, AT$1&lt;=$F42),$U43*($F42-AT$1)/($F42-$U$1),0)</f>
        <v>-2.3055555555555554</v>
      </c>
      <c r="AU43" s="120">
        <f t="shared" ref="AU43" si="61">IF(AND(AT$1&lt;AU$1, AU$1&lt;=$F42),$U43*($F42-AU$1)/($F42-$U$1),0)</f>
        <v>-2.2777777777777777</v>
      </c>
      <c r="AV43" s="120">
        <f t="shared" ref="AV43" si="62">IF(AND(AU$1&lt;AV$1, AV$1&lt;=$F42),$U43*($F42-AV$1)/($F42-$U$1),0)</f>
        <v>-2.25</v>
      </c>
      <c r="AW43" s="120">
        <f t="shared" ref="AW43" si="63">IF(AND(AV$1&lt;AW$1, AW$1&lt;=$F42),$U43*($F42-AW$1)/($F42-$U$1),0)</f>
        <v>-2.2222222222222223</v>
      </c>
      <c r="AX43" s="120">
        <f t="shared" ref="AX43" si="64">IF(AND(AW$1&lt;AX$1, AX$1&lt;=$F42),$U43*($F42-AX$1)/($F42-$U$1),0)</f>
        <v>-2.1944444444444446</v>
      </c>
      <c r="AY43" s="120">
        <f t="shared" ref="AY43" si="65">IF(AND(AX$1&lt;AY$1, AY$1&lt;=$F42),$U43*($F42-AY$1)/($F42-$U$1),0)</f>
        <v>-2.1666666666666665</v>
      </c>
      <c r="AZ43" s="120">
        <f t="shared" ref="AZ43" si="66">IF(AND(AY$1&lt;AZ$1, AZ$1&lt;=$F42),$U43*($F42-AZ$1)/($F42-$U$1),0)</f>
        <v>-2.1388888888888888</v>
      </c>
      <c r="BA43" s="120">
        <f t="shared" ref="BA43" si="67">IF(AND(AZ$1&lt;BA$1, BA$1&lt;=$F42),$U43*($F42-BA$1)/($F42-$U$1),0)</f>
        <v>-2.1111111111111112</v>
      </c>
      <c r="BB43" s="120">
        <f t="shared" ref="BB43" si="68">IF(AND(BA$1&lt;BB$1, BB$1&lt;=$F42),$U43*($F42-BB$1)/($F42-$U$1),0)</f>
        <v>-2.0833333333333335</v>
      </c>
      <c r="BC43" s="120">
        <f t="shared" ref="BC43" si="69">IF(AND(BB$1&lt;BC$1, BC$1&lt;=$F42),$U43*($F42-BC$1)/($F42-$U$1),0)</f>
        <v>-2.0555555555555554</v>
      </c>
      <c r="BD43" s="120">
        <f t="shared" ref="BD43" si="70">IF(AND(BC$1&lt;BD$1, BD$1&lt;=$F42),$U43*($F42-BD$1)/($F42-$U$1),0)</f>
        <v>-2.0277777777777777</v>
      </c>
      <c r="BE43" s="120">
        <f t="shared" ref="BE43" si="71">IF(AND(BD$1&lt;BE$1, BE$1&lt;=$F42),$U43*($F42-BE$1)/($F42-$U$1),0)</f>
        <v>-2</v>
      </c>
      <c r="BF43" s="120">
        <f t="shared" ref="BF43" si="72">IF(AND(BE$1&lt;BF$1, BF$1&lt;=$F42),$U43*($F42-BF$1)/($F42-$U$1),0)</f>
        <v>-1.9722222222222223</v>
      </c>
      <c r="BG43" s="120">
        <f t="shared" ref="BG43" si="73">IF(AND(BF$1&lt;BG$1, BG$1&lt;=$F42),$U43*($F42-BG$1)/($F42-$U$1),0)</f>
        <v>-1.9444444444444444</v>
      </c>
      <c r="BH43" s="120">
        <f t="shared" ref="BH43" si="74">IF(AND(BG$1&lt;BH$1, BH$1&lt;=$F42),$U43*($F42-BH$1)/($F42-$U$1),0)</f>
        <v>-1.9166666666666667</v>
      </c>
      <c r="BI43" s="120">
        <f t="shared" ref="BI43" si="75">IF(AND(BH$1&lt;BI$1, BI$1&lt;=$F42),$U43*($F42-BI$1)/($F42-$U$1),0)</f>
        <v>-1.8888888888888888</v>
      </c>
      <c r="BJ43" s="120">
        <f t="shared" ref="BJ43" si="76">IF(AND(BI$1&lt;BJ$1, BJ$1&lt;=$F42),$U43*($F42-BJ$1)/($F42-$U$1),0)</f>
        <v>-1.8611111111111112</v>
      </c>
      <c r="BK43" s="120">
        <f t="shared" ref="BK43" si="77">IF(AND(BJ$1&lt;BK$1, BK$1&lt;=$F42),$U43*($F42-BK$1)/($F42-$U$1),0)</f>
        <v>-1.8333333333333333</v>
      </c>
      <c r="BL43" s="120">
        <f t="shared" ref="BL43" si="78">IF(AND(BK$1&lt;BL$1, BL$1&lt;=$F42),$U43*($F42-BL$1)/($F42-$U$1),0)</f>
        <v>-1.8055555555555556</v>
      </c>
      <c r="BM43" s="120">
        <f t="shared" ref="BM43" si="79">IF(AND(BL$1&lt;BM$1, BM$1&lt;=$F42),$U43*($F42-BM$1)/($F42-$U$1),0)</f>
        <v>-1.7777777777777777</v>
      </c>
      <c r="BN43" s="120">
        <f t="shared" ref="BN43" si="80">IF(AND(BM$1&lt;BN$1, BN$1&lt;=$F42),$U43*($F42-BN$1)/($F42-$U$1),0)</f>
        <v>-1.75</v>
      </c>
      <c r="BO43" s="120">
        <f t="shared" ref="BO43" si="81">IF(AND(BN$1&lt;BO$1, BO$1&lt;=$F42),$U43*($F42-BO$1)/($F42-$U$1),0)</f>
        <v>-1.7222222222222223</v>
      </c>
      <c r="BP43" s="120">
        <f t="shared" ref="BP43" si="82">IF(AND(BO$1&lt;BP$1, BP$1&lt;=$F42),$U43*($F42-BP$1)/($F42-$U$1),0)</f>
        <v>-1.6944444444444444</v>
      </c>
      <c r="BQ43" s="120">
        <f t="shared" ref="BQ43" si="83">IF(AND(BP$1&lt;BQ$1, BQ$1&lt;=$F42),$U43*($F42-BQ$1)/($F42-$U$1),0)</f>
        <v>-1.6666666666666667</v>
      </c>
      <c r="BR43" s="120">
        <f t="shared" ref="BR43" si="84">IF(AND(BQ$1&lt;BR$1, BR$1&lt;=$F42),$U43*($F42-BR$1)/($F42-$U$1),0)</f>
        <v>-1.6388888888888888</v>
      </c>
      <c r="BS43" s="120">
        <f t="shared" ref="BS43" si="85">IF(AND(BR$1&lt;BS$1, BS$1&lt;=$F42),$U43*($F42-BS$1)/($F42-$U$1),0)</f>
        <v>-1.6111111111111112</v>
      </c>
      <c r="BT43" s="120">
        <f t="shared" ref="BT43" si="86">IF(AND(BS$1&lt;BT$1, BT$1&lt;=$F42),$U43*($F42-BT$1)/($F42-$U$1),0)</f>
        <v>-1.5833333333333333</v>
      </c>
      <c r="BU43" s="120">
        <f t="shared" ref="BU43" si="87">IF(AND(BT$1&lt;BU$1, BU$1&lt;=$F42),$U43*($F42-BU$1)/($F42-$U$1),0)</f>
        <v>-1.5555555555555556</v>
      </c>
      <c r="BV43" s="120">
        <f t="shared" ref="BV43" si="88">IF(AND(BU$1&lt;BV$1, BV$1&lt;=$F42),$U43*($F42-BV$1)/($F42-$U$1),0)</f>
        <v>-1.5277777777777777</v>
      </c>
      <c r="BW43" s="120">
        <f t="shared" ref="BW43" si="89">IF(AND(BV$1&lt;BW$1, BW$1&lt;=$F42),$U43*($F42-BW$1)/($F42-$U$1),0)</f>
        <v>-1.5</v>
      </c>
      <c r="BX43" s="120">
        <f t="shared" ref="BX43" si="90">IF(AND(BW$1&lt;BX$1, BX$1&lt;=$F42),$U43*($F42-BX$1)/($F42-$U$1),0)</f>
        <v>-1.4722222222222223</v>
      </c>
      <c r="BY43" s="120">
        <f t="shared" ref="BY43" si="91">IF(AND(BX$1&lt;BY$1, BY$1&lt;=$F42),$U43*($F42-BY$1)/($F42-$U$1),0)</f>
        <v>-1.4444444444444444</v>
      </c>
      <c r="BZ43" s="120">
        <f t="shared" ref="BZ43" si="92">IF(AND(BY$1&lt;BZ$1, BZ$1&lt;=$F42),$U43*($F42-BZ$1)/($F42-$U$1),0)</f>
        <v>-1.4166666666666667</v>
      </c>
      <c r="CA43" s="120">
        <f t="shared" ref="CA43" si="93">IF(AND(BZ$1&lt;CA$1, CA$1&lt;=$F42),$U43*($F42-CA$1)/($F42-$U$1),0)</f>
        <v>-1.3888888888888888</v>
      </c>
      <c r="CB43" s="120">
        <f t="shared" ref="CB43" si="94">IF(AND(CA$1&lt;CB$1, CB$1&lt;=$F42),$U43*($F42-CB$1)/($F42-$U$1),0)</f>
        <v>-1.3611111111111112</v>
      </c>
      <c r="CC43" s="120">
        <f t="shared" ref="CC43" si="95">IF(AND(CB$1&lt;CC$1, CC$1&lt;=$F42),$U43*($F42-CC$1)/($F42-$U$1),0)</f>
        <v>-1.3333333333333333</v>
      </c>
      <c r="CD43" s="120">
        <f t="shared" ref="CD43" si="96">IF(AND(CC$1&lt;CD$1, CD$1&lt;=$F42),$U43*($F42-CD$1)/($F42-$U$1),0)</f>
        <v>-1.3055555555555556</v>
      </c>
      <c r="CE43" s="120">
        <f t="shared" ref="CE43" si="97">IF(AND(CD$1&lt;CE$1, CE$1&lt;=$F42),$U43*($F42-CE$1)/($F42-$U$1),0)</f>
        <v>-1.2777777777777777</v>
      </c>
      <c r="CF43" s="120">
        <f t="shared" ref="CF43" si="98">IF(AND(CE$1&lt;CF$1, CF$1&lt;=$F42),$U43*($F42-CF$1)/($F42-$U$1),0)</f>
        <v>-1.25</v>
      </c>
      <c r="CG43" s="120">
        <f t="shared" ref="CG43" si="99">IF(AND(CF$1&lt;CG$1, CG$1&lt;=$F42),$U43*($F42-CG$1)/($F42-$U$1),0)</f>
        <v>-1.2222222222222223</v>
      </c>
      <c r="CH43" s="120">
        <f t="shared" ref="CH43" si="100">IF(AND(CG$1&lt;CH$1, CH$1&lt;=$F42),$U43*($F42-CH$1)/($F42-$U$1),0)</f>
        <v>-1.1944444444444444</v>
      </c>
      <c r="CI43" s="120">
        <f t="shared" ref="CI43" si="101">IF(AND(CH$1&lt;CI$1, CI$1&lt;=$F42),$U43*($F42-CI$1)/($F42-$U$1),0)</f>
        <v>-1.1666666666666667</v>
      </c>
      <c r="CJ43" s="120">
        <f t="shared" ref="CJ43" si="102">IF(AND(CI$1&lt;CJ$1, CJ$1&lt;=$F42),$U43*($F42-CJ$1)/($F42-$U$1),0)</f>
        <v>-1.1388888888888888</v>
      </c>
      <c r="CK43" s="120">
        <f t="shared" ref="CK43" si="103">IF(AND(CJ$1&lt;CK$1, CK$1&lt;=$F42),$U43*($F42-CK$1)/($F42-$U$1),0)</f>
        <v>-1.1111111111111112</v>
      </c>
      <c r="CL43" s="120">
        <f t="shared" ref="CL43" si="104">IF(AND(CK$1&lt;CL$1, CL$1&lt;=$F42),$U43*($F42-CL$1)/($F42-$U$1),0)</f>
        <v>-1.0833333333333333</v>
      </c>
      <c r="CM43" s="120">
        <f t="shared" ref="CM43" si="105">IF(AND(CL$1&lt;CM$1, CM$1&lt;=$F42),$U43*($F42-CM$1)/($F42-$U$1),0)</f>
        <v>-1.0555555555555556</v>
      </c>
      <c r="CN43" s="120">
        <f t="shared" ref="CN43" si="106">IF(AND(CM$1&lt;CN$1, CN$1&lt;=$F42),$U43*($F42-CN$1)/($F42-$U$1),0)</f>
        <v>-1.0277777777777777</v>
      </c>
      <c r="CO43" s="120">
        <f t="shared" ref="CO43" si="107">IF(AND(CN$1&lt;CO$1, CO$1&lt;=$F42),$U43*($F42-CO$1)/($F42-$U$1),0)</f>
        <v>-1</v>
      </c>
      <c r="CP43" s="120">
        <f t="shared" ref="CP43" si="108">IF(AND(CO$1&lt;CP$1, CP$1&lt;=$F42),$U43*($F42-CP$1)/($F42-$U$1),0)</f>
        <v>-0.97222222222222221</v>
      </c>
      <c r="CQ43" s="120">
        <f t="shared" ref="CQ43" si="109">IF(AND(CP$1&lt;CQ$1, CQ$1&lt;=$F42),$U43*($F42-CQ$1)/($F42-$U$1),0)</f>
        <v>-0.94444444444444442</v>
      </c>
      <c r="CR43" s="120">
        <f t="shared" ref="CR43" si="110">IF(AND(CQ$1&lt;CR$1, CR$1&lt;=$F42),$U43*($F42-CR$1)/($F42-$U$1),0)</f>
        <v>-0.91666666666666663</v>
      </c>
      <c r="CS43" s="120">
        <f t="shared" ref="CS43" si="111">IF(AND(CR$1&lt;CS$1, CS$1&lt;=$F42),$U43*($F42-CS$1)/($F42-$U$1),0)</f>
        <v>-0.88888888888888884</v>
      </c>
      <c r="CT43" s="120">
        <f t="shared" ref="CT43" si="112">IF(AND(CS$1&lt;CT$1, CT$1&lt;=$F42),$U43*($F42-CT$1)/($F42-$U$1),0)</f>
        <v>-0.86111111111111116</v>
      </c>
      <c r="CU43" s="120">
        <f t="shared" ref="CU43" si="113">IF(AND(CT$1&lt;CU$1, CU$1&lt;=$F42),$U43*($F42-CU$1)/($F42-$U$1),0)</f>
        <v>-0.83333333333333337</v>
      </c>
      <c r="CV43" s="120">
        <f t="shared" ref="CV43" si="114">IF(AND(CU$1&lt;CV$1, CV$1&lt;=$F42),$U43*($F42-CV$1)/($F42-$U$1),0)</f>
        <v>-0.80555555555555558</v>
      </c>
      <c r="CW43" s="120">
        <f t="shared" ref="CW43" si="115">IF(AND(CV$1&lt;CW$1, CW$1&lt;=$F42),$U43*($F42-CW$1)/($F42-$U$1),0)</f>
        <v>-0.77777777777777779</v>
      </c>
      <c r="CX43" s="120">
        <f t="shared" ref="CX43" si="116">IF(AND(CW$1&lt;CX$1, CX$1&lt;=$F42),$U43*($F42-CX$1)/($F42-$U$1),0)</f>
        <v>-0.75</v>
      </c>
      <c r="CY43" s="120">
        <f t="shared" ref="CY43" si="117">IF(AND(CX$1&lt;CY$1, CY$1&lt;=$F42),$U43*($F42-CY$1)/($F42-$U$1),0)</f>
        <v>-0.72222222222222221</v>
      </c>
      <c r="CZ43" s="120">
        <f t="shared" ref="CZ43" si="118">IF(AND(CY$1&lt;CZ$1, CZ$1&lt;=$F42),$U43*($F42-CZ$1)/($F42-$U$1),0)</f>
        <v>-0.69444444444444442</v>
      </c>
      <c r="DA43" s="120">
        <f t="shared" ref="DA43" si="119">IF(AND(CZ$1&lt;DA$1, DA$1&lt;=$F42),$U43*($F42-DA$1)/($F42-$U$1),0)</f>
        <v>-0.66666666666666663</v>
      </c>
      <c r="DB43" s="120">
        <f t="shared" ref="DB43" si="120">IF(AND(DA$1&lt;DB$1, DB$1&lt;=$F42),$U43*($F42-DB$1)/($F42-$U$1),0)</f>
        <v>-0.63888888888888884</v>
      </c>
      <c r="DC43" s="120">
        <f t="shared" ref="DC43" si="121">IF(AND(DB$1&lt;DC$1, DC$1&lt;=$F42),$U43*($F42-DC$1)/($F42-$U$1),0)</f>
        <v>-0.61111111111111116</v>
      </c>
      <c r="DD43" s="120">
        <f t="shared" ref="DD43" si="122">IF(AND(DC$1&lt;DD$1, DD$1&lt;=$F42),$U43*($F42-DD$1)/($F42-$U$1),0)</f>
        <v>-0.58333333333333337</v>
      </c>
      <c r="DE43" s="120">
        <f t="shared" ref="DE43" si="123">IF(AND(DD$1&lt;DE$1, DE$1&lt;=$F42),$U43*($F42-DE$1)/($F42-$U$1),0)</f>
        <v>-0.55555555555555558</v>
      </c>
      <c r="DF43" s="120">
        <f t="shared" ref="DF43" si="124">IF(AND(DE$1&lt;DF$1, DF$1&lt;=$F42),$U43*($F42-DF$1)/($F42-$U$1),0)</f>
        <v>-0.52777777777777779</v>
      </c>
      <c r="DG43" s="120">
        <f t="shared" ref="DG43" si="125">IF(AND(DF$1&lt;DG$1, DG$1&lt;=$F42),$U43*($F42-DG$1)/($F42-$U$1),0)</f>
        <v>-0.5</v>
      </c>
      <c r="DH43" s="120">
        <f t="shared" ref="DH43" si="126">IF(AND(DG$1&lt;DH$1, DH$1&lt;=$F42),$U43*($F42-DH$1)/($F42-$U$1),0)</f>
        <v>-0.47222222222222221</v>
      </c>
      <c r="DI43" s="120">
        <f t="shared" ref="DI43" si="127">IF(AND(DH$1&lt;DI$1, DI$1&lt;=$F42),$U43*($F42-DI$1)/($F42-$U$1),0)</f>
        <v>-0.44444444444444442</v>
      </c>
      <c r="DJ43" s="120">
        <f t="shared" ref="DJ43" si="128">IF(AND(DI$1&lt;DJ$1, DJ$1&lt;=$F42),$U43*($F42-DJ$1)/($F42-$U$1),0)</f>
        <v>-0.41666666666666669</v>
      </c>
      <c r="DK43" s="120">
        <f t="shared" ref="DK43" si="129">IF(AND(DJ$1&lt;DK$1, DK$1&lt;=$F42),$U43*($F42-DK$1)/($F42-$U$1),0)</f>
        <v>-0.3888888888888889</v>
      </c>
      <c r="DL43" s="120">
        <f t="shared" ref="DL43" si="130">IF(AND(DK$1&lt;DL$1, DL$1&lt;=$F42),$U43*($F42-DL$1)/($F42-$U$1),0)</f>
        <v>-0.3611111111111111</v>
      </c>
      <c r="DM43" s="120">
        <f t="shared" ref="DM43" si="131">IF(AND(DL$1&lt;DM$1, DM$1&lt;=$F42),$U43*($F42-DM$1)/($F42-$U$1),0)</f>
        <v>-0.33333333333333331</v>
      </c>
      <c r="DN43" s="120">
        <f t="shared" ref="DN43" si="132">IF(AND(DM$1&lt;DN$1, DN$1&lt;=$F42),$U43*($F42-DN$1)/($F42-$U$1),0)</f>
        <v>-0.30555555555555558</v>
      </c>
      <c r="DO43" s="120">
        <f t="shared" ref="DO43" si="133">IF(AND(DN$1&lt;DO$1, DO$1&lt;=$F42),$U43*($F42-DO$1)/($F42-$U$1),0)</f>
        <v>-0.27777777777777779</v>
      </c>
      <c r="DP43" s="120">
        <f t="shared" ref="DP43" si="134">IF(AND(DO$1&lt;DP$1, DP$1&lt;=$F42),$U43*($F42-DP$1)/($F42-$U$1),0)</f>
        <v>-0.25</v>
      </c>
      <c r="DQ43" s="120">
        <f t="shared" ref="DQ43" si="135">IF(AND(DP$1&lt;DQ$1, DQ$1&lt;=$F42),$U43*($F42-DQ$1)/($F42-$U$1),0)</f>
        <v>-0.22222222222222221</v>
      </c>
      <c r="DR43" s="120">
        <f t="shared" ref="DR43" si="136">IF(AND(DQ$1&lt;DR$1, DR$1&lt;=$F42),$U43*($F42-DR$1)/($F42-$U$1),0)</f>
        <v>-0.19444444444444445</v>
      </c>
      <c r="DS43" s="120">
        <f t="shared" ref="DS43" si="137">IF(AND(DR$1&lt;DS$1, DS$1&lt;=$F42),$U43*($F42-DS$1)/($F42-$U$1),0)</f>
        <v>-0.16666666666666666</v>
      </c>
      <c r="DT43" s="120">
        <f t="shared" ref="DT43" si="138">IF(AND(DS$1&lt;DT$1, DT$1&lt;=$F42),$U43*($F42-DT$1)/($F42-$U$1),0)</f>
        <v>-0.1388888888888889</v>
      </c>
      <c r="DU43" s="120">
        <f t="shared" ref="DU43" si="139">IF(AND(DT$1&lt;DU$1, DU$1&lt;=$F42),$U43*($F42-DU$1)/($F42-$U$1),0)</f>
        <v>-0.1111111111111111</v>
      </c>
      <c r="DV43" s="120">
        <f t="shared" ref="DV43" si="140">IF(AND(DU$1&lt;DV$1, DV$1&lt;=$F42),$U43*($F42-DV$1)/($F42-$U$1),0)</f>
        <v>-8.3333333333333329E-2</v>
      </c>
      <c r="DW43" s="120">
        <f t="shared" ref="DW43" si="141">IF(AND(DV$1&lt;DW$1, DW$1&lt;=$F42),$U43*($F42-DW$1)/($F42-$U$1),0)</f>
        <v>-5.5555555555555552E-2</v>
      </c>
      <c r="DX43" s="120">
        <f t="shared" ref="DX43" si="142">IF(AND(DW$1&lt;DX$1, DX$1&lt;=$F42),$U43*($F42-DX$1)/($F42-$U$1),0)</f>
        <v>-2.7777777777777776E-2</v>
      </c>
      <c r="DY43" s="120">
        <f t="shared" ref="DY43" si="143">IF(AND(DX$1&lt;DY$1, DY$1&lt;=$F42),$U43*($F42-DY$1)/($F42-$U$1),0)</f>
        <v>0</v>
      </c>
    </row>
    <row r="44" spans="1:129" x14ac:dyDescent="0.45">
      <c r="A44" s="3"/>
      <c r="B44" s="2"/>
      <c r="C44" s="122" t="s">
        <v>266</v>
      </c>
      <c r="D44" s="17"/>
      <c r="E44" s="2"/>
      <c r="F44" s="2"/>
      <c r="G44" s="2"/>
      <c r="H44" s="2"/>
      <c r="I44" s="13"/>
      <c r="J44" s="58"/>
      <c r="K44" s="58"/>
      <c r="L44" s="58"/>
      <c r="M44" s="58"/>
      <c r="N44" s="58"/>
      <c r="O44" s="58"/>
      <c r="P44" s="58"/>
      <c r="Q44" s="58"/>
      <c r="R44" s="58"/>
      <c r="S44" s="58"/>
      <c r="T44" s="58"/>
      <c r="U44" s="95"/>
      <c r="V44" s="91"/>
      <c r="W44" s="91"/>
      <c r="X44" s="91"/>
      <c r="Y44" s="91"/>
      <c r="Z44" s="55"/>
      <c r="AA44" s="55"/>
      <c r="AB44" s="55"/>
      <c r="AC44" s="55"/>
      <c r="AD44" s="55"/>
      <c r="AE44" s="55"/>
      <c r="AF44" s="55"/>
      <c r="AG44" s="129">
        <f>'Plan Moyen Terme (PMT)'!D15-BAU_Liquidité_Dynamique!AG42</f>
        <v>688</v>
      </c>
      <c r="AH44" s="124">
        <f>IF(AND(AG$1&lt;AH$1, AH$1&lt;=$F42),$AG44*($F42-AH$1)/($F42-$AG$1),0)</f>
        <v>680.83333333333337</v>
      </c>
      <c r="AI44" s="124">
        <f>IF(AND(AH$1&lt;AI$1, AI$1&lt;=$F42),$AG44*($F42-AI$1)/($F42-$AG$1),0)</f>
        <v>673.66666666666663</v>
      </c>
      <c r="AJ44" s="124">
        <f t="shared" ref="AI44:CT44" si="144">IF(AND(AI$1&lt;AJ$1, AJ$1&lt;=$F42),$AG44*($F42-AJ$1)/($F42-$AG$1),0)</f>
        <v>666.5</v>
      </c>
      <c r="AK44" s="124">
        <f t="shared" si="144"/>
        <v>659.33333333333337</v>
      </c>
      <c r="AL44" s="124">
        <f t="shared" si="144"/>
        <v>652.16666666666663</v>
      </c>
      <c r="AM44" s="124">
        <f t="shared" si="144"/>
        <v>645</v>
      </c>
      <c r="AN44" s="124">
        <f t="shared" si="144"/>
        <v>637.83333333333337</v>
      </c>
      <c r="AO44" s="124">
        <f t="shared" si="144"/>
        <v>630.66666666666663</v>
      </c>
      <c r="AP44" s="124">
        <f t="shared" si="144"/>
        <v>623.5</v>
      </c>
      <c r="AQ44" s="124">
        <f t="shared" si="144"/>
        <v>616.33333333333337</v>
      </c>
      <c r="AR44" s="124">
        <f t="shared" si="144"/>
        <v>609.16666666666663</v>
      </c>
      <c r="AS44" s="124">
        <f t="shared" si="144"/>
        <v>602</v>
      </c>
      <c r="AT44" s="124">
        <f t="shared" si="144"/>
        <v>594.83333333333337</v>
      </c>
      <c r="AU44" s="124">
        <f t="shared" si="144"/>
        <v>587.66666666666663</v>
      </c>
      <c r="AV44" s="124">
        <f t="shared" si="144"/>
        <v>580.5</v>
      </c>
      <c r="AW44" s="124">
        <f t="shared" si="144"/>
        <v>573.33333333333337</v>
      </c>
      <c r="AX44" s="124">
        <f t="shared" si="144"/>
        <v>566.16666666666663</v>
      </c>
      <c r="AY44" s="124">
        <f t="shared" si="144"/>
        <v>559</v>
      </c>
      <c r="AZ44" s="124">
        <f t="shared" si="144"/>
        <v>551.83333333333337</v>
      </c>
      <c r="BA44" s="124">
        <f t="shared" si="144"/>
        <v>544.66666666666663</v>
      </c>
      <c r="BB44" s="124">
        <f t="shared" si="144"/>
        <v>537.5</v>
      </c>
      <c r="BC44" s="124">
        <f t="shared" si="144"/>
        <v>530.33333333333337</v>
      </c>
      <c r="BD44" s="124">
        <f t="shared" si="144"/>
        <v>523.16666666666663</v>
      </c>
      <c r="BE44" s="124">
        <f t="shared" si="144"/>
        <v>516</v>
      </c>
      <c r="BF44" s="124">
        <f t="shared" si="144"/>
        <v>508.83333333333331</v>
      </c>
      <c r="BG44" s="124">
        <f t="shared" si="144"/>
        <v>501.66666666666669</v>
      </c>
      <c r="BH44" s="124">
        <f t="shared" si="144"/>
        <v>494.5</v>
      </c>
      <c r="BI44" s="124">
        <f t="shared" si="144"/>
        <v>487.33333333333331</v>
      </c>
      <c r="BJ44" s="124">
        <f t="shared" si="144"/>
        <v>480.16666666666669</v>
      </c>
      <c r="BK44" s="124">
        <f t="shared" si="144"/>
        <v>473</v>
      </c>
      <c r="BL44" s="124">
        <f t="shared" si="144"/>
        <v>465.83333333333331</v>
      </c>
      <c r="BM44" s="124">
        <f t="shared" si="144"/>
        <v>458.66666666666669</v>
      </c>
      <c r="BN44" s="124">
        <f t="shared" si="144"/>
        <v>451.5</v>
      </c>
      <c r="BO44" s="124">
        <f t="shared" si="144"/>
        <v>444.33333333333331</v>
      </c>
      <c r="BP44" s="124">
        <f t="shared" si="144"/>
        <v>437.16666666666669</v>
      </c>
      <c r="BQ44" s="124">
        <f t="shared" si="144"/>
        <v>430</v>
      </c>
      <c r="BR44" s="124">
        <f t="shared" si="144"/>
        <v>422.83333333333331</v>
      </c>
      <c r="BS44" s="124">
        <f t="shared" si="144"/>
        <v>415.66666666666669</v>
      </c>
      <c r="BT44" s="124">
        <f t="shared" si="144"/>
        <v>408.5</v>
      </c>
      <c r="BU44" s="124">
        <f t="shared" si="144"/>
        <v>401.33333333333331</v>
      </c>
      <c r="BV44" s="124">
        <f t="shared" si="144"/>
        <v>394.16666666666669</v>
      </c>
      <c r="BW44" s="124">
        <f t="shared" si="144"/>
        <v>387</v>
      </c>
      <c r="BX44" s="124">
        <f t="shared" si="144"/>
        <v>379.83333333333331</v>
      </c>
      <c r="BY44" s="124">
        <f t="shared" si="144"/>
        <v>372.66666666666669</v>
      </c>
      <c r="BZ44" s="124">
        <f t="shared" si="144"/>
        <v>365.5</v>
      </c>
      <c r="CA44" s="124">
        <f t="shared" si="144"/>
        <v>358.33333333333331</v>
      </c>
      <c r="CB44" s="124">
        <f t="shared" si="144"/>
        <v>351.16666666666669</v>
      </c>
      <c r="CC44" s="124">
        <f t="shared" si="144"/>
        <v>344</v>
      </c>
      <c r="CD44" s="124">
        <f t="shared" si="144"/>
        <v>336.83333333333331</v>
      </c>
      <c r="CE44" s="124">
        <f t="shared" si="144"/>
        <v>329.66666666666669</v>
      </c>
      <c r="CF44" s="124">
        <f t="shared" si="144"/>
        <v>322.5</v>
      </c>
      <c r="CG44" s="124">
        <f t="shared" si="144"/>
        <v>315.33333333333331</v>
      </c>
      <c r="CH44" s="124">
        <f t="shared" si="144"/>
        <v>308.16666666666669</v>
      </c>
      <c r="CI44" s="124">
        <f t="shared" si="144"/>
        <v>301</v>
      </c>
      <c r="CJ44" s="124">
        <f t="shared" si="144"/>
        <v>293.83333333333331</v>
      </c>
      <c r="CK44" s="124">
        <f t="shared" si="144"/>
        <v>286.66666666666669</v>
      </c>
      <c r="CL44" s="124">
        <f t="shared" si="144"/>
        <v>279.5</v>
      </c>
      <c r="CM44" s="124">
        <f t="shared" si="144"/>
        <v>272.33333333333331</v>
      </c>
      <c r="CN44" s="124">
        <f t="shared" si="144"/>
        <v>265.16666666666669</v>
      </c>
      <c r="CO44" s="124">
        <f t="shared" si="144"/>
        <v>258</v>
      </c>
      <c r="CP44" s="124">
        <f t="shared" si="144"/>
        <v>250.83333333333334</v>
      </c>
      <c r="CQ44" s="124">
        <f t="shared" si="144"/>
        <v>243.66666666666666</v>
      </c>
      <c r="CR44" s="124">
        <f t="shared" si="144"/>
        <v>236.5</v>
      </c>
      <c r="CS44" s="124">
        <f t="shared" si="144"/>
        <v>229.33333333333334</v>
      </c>
      <c r="CT44" s="124">
        <f t="shared" si="144"/>
        <v>222.16666666666666</v>
      </c>
      <c r="CU44" s="124">
        <f t="shared" ref="CU44:DY44" si="145">IF(AND(CT$1&lt;CU$1, CU$1&lt;=$F42),$AG44*($F42-CU$1)/($F42-$AG$1),0)</f>
        <v>215</v>
      </c>
      <c r="CV44" s="124">
        <f t="shared" si="145"/>
        <v>207.83333333333334</v>
      </c>
      <c r="CW44" s="124">
        <f t="shared" si="145"/>
        <v>200.66666666666666</v>
      </c>
      <c r="CX44" s="124">
        <f t="shared" si="145"/>
        <v>193.5</v>
      </c>
      <c r="CY44" s="124">
        <f t="shared" si="145"/>
        <v>186.33333333333334</v>
      </c>
      <c r="CZ44" s="124">
        <f t="shared" si="145"/>
        <v>179.16666666666666</v>
      </c>
      <c r="DA44" s="124">
        <f t="shared" si="145"/>
        <v>172</v>
      </c>
      <c r="DB44" s="124">
        <f t="shared" si="145"/>
        <v>164.83333333333334</v>
      </c>
      <c r="DC44" s="124">
        <f t="shared" si="145"/>
        <v>157.66666666666666</v>
      </c>
      <c r="DD44" s="124">
        <f t="shared" si="145"/>
        <v>150.5</v>
      </c>
      <c r="DE44" s="124">
        <f t="shared" si="145"/>
        <v>143.33333333333334</v>
      </c>
      <c r="DF44" s="124">
        <f t="shared" si="145"/>
        <v>136.16666666666666</v>
      </c>
      <c r="DG44" s="124">
        <f t="shared" si="145"/>
        <v>129</v>
      </c>
      <c r="DH44" s="124">
        <f t="shared" si="145"/>
        <v>121.83333333333333</v>
      </c>
      <c r="DI44" s="124">
        <f t="shared" si="145"/>
        <v>114.66666666666667</v>
      </c>
      <c r="DJ44" s="124">
        <f t="shared" si="145"/>
        <v>107.5</v>
      </c>
      <c r="DK44" s="124">
        <f t="shared" si="145"/>
        <v>100.33333333333333</v>
      </c>
      <c r="DL44" s="124">
        <f t="shared" si="145"/>
        <v>93.166666666666671</v>
      </c>
      <c r="DM44" s="124">
        <f t="shared" si="145"/>
        <v>86</v>
      </c>
      <c r="DN44" s="124">
        <f t="shared" si="145"/>
        <v>78.833333333333329</v>
      </c>
      <c r="DO44" s="124">
        <f t="shared" si="145"/>
        <v>71.666666666666671</v>
      </c>
      <c r="DP44" s="124">
        <f t="shared" si="145"/>
        <v>64.5</v>
      </c>
      <c r="DQ44" s="124">
        <f t="shared" si="145"/>
        <v>57.333333333333336</v>
      </c>
      <c r="DR44" s="124">
        <f t="shared" si="145"/>
        <v>50.166666666666664</v>
      </c>
      <c r="DS44" s="124">
        <f t="shared" si="145"/>
        <v>43</v>
      </c>
      <c r="DT44" s="124">
        <f t="shared" si="145"/>
        <v>35.833333333333336</v>
      </c>
      <c r="DU44" s="124">
        <f t="shared" si="145"/>
        <v>28.666666666666668</v>
      </c>
      <c r="DV44" s="124">
        <f t="shared" si="145"/>
        <v>21.5</v>
      </c>
      <c r="DW44" s="124">
        <f t="shared" si="145"/>
        <v>14.333333333333334</v>
      </c>
      <c r="DX44" s="124">
        <f t="shared" si="145"/>
        <v>7.166666666666667</v>
      </c>
      <c r="DY44" s="124">
        <f t="shared" si="145"/>
        <v>0</v>
      </c>
    </row>
    <row r="45" spans="1:129" x14ac:dyDescent="0.45">
      <c r="A45" s="3"/>
      <c r="B45" s="2"/>
      <c r="C45" s="125" t="s">
        <v>267</v>
      </c>
      <c r="D45" s="17"/>
      <c r="E45" s="2"/>
      <c r="F45" s="2"/>
      <c r="G45" s="2"/>
      <c r="H45" s="2"/>
      <c r="I45" s="13"/>
      <c r="J45" s="58"/>
      <c r="K45" s="58"/>
      <c r="L45" s="58"/>
      <c r="M45" s="58"/>
      <c r="N45" s="58"/>
      <c r="O45" s="58"/>
      <c r="P45" s="58"/>
      <c r="Q45" s="58"/>
      <c r="R45" s="58"/>
      <c r="S45" s="58"/>
      <c r="T45" s="58"/>
      <c r="U45" s="96"/>
      <c r="V45" s="55"/>
      <c r="W45" s="55"/>
      <c r="X45" s="55"/>
      <c r="Y45" s="55"/>
      <c r="Z45" s="55"/>
      <c r="AA45" s="55"/>
      <c r="AB45" s="55"/>
      <c r="AC45" s="55"/>
      <c r="AD45" s="55"/>
      <c r="AE45" s="55"/>
      <c r="AF45" s="55"/>
      <c r="AG45" s="102"/>
      <c r="AH45" s="91"/>
      <c r="AI45" s="91"/>
      <c r="AJ45" s="91"/>
      <c r="AK45" s="55"/>
      <c r="AL45" s="55"/>
      <c r="AM45" s="55"/>
      <c r="AN45" s="55"/>
      <c r="AO45" s="55"/>
      <c r="AP45" s="55"/>
      <c r="AQ45" s="55"/>
      <c r="AR45" s="55"/>
      <c r="AS45" s="130">
        <f>'Plan Moyen Terme (PMT)'!E15-BAU_Liquidité_Dynamique!AS42</f>
        <v>1628</v>
      </c>
      <c r="AT45" s="126">
        <f>IF(AND(AS$1&lt;AT$1, AT$1&lt;=$F42),$AS45*($F42-AT$1)/($F42-$AS$1),0)</f>
        <v>1608.6190476190477</v>
      </c>
      <c r="AU45" s="126">
        <f t="shared" ref="AU45:DF45" si="146">IF(AND(AT$1&lt;AU$1, AU$1&lt;=$F42),$AS45*($F42-AU$1)/($F42-$AS$1),0)</f>
        <v>1589.2380952380952</v>
      </c>
      <c r="AV45" s="126">
        <f t="shared" si="146"/>
        <v>1569.8571428571429</v>
      </c>
      <c r="AW45" s="126">
        <f t="shared" si="146"/>
        <v>1550.4761904761904</v>
      </c>
      <c r="AX45" s="126">
        <f t="shared" si="146"/>
        <v>1531.0952380952381</v>
      </c>
      <c r="AY45" s="126">
        <f t="shared" si="146"/>
        <v>1511.7142857142858</v>
      </c>
      <c r="AZ45" s="126">
        <f t="shared" si="146"/>
        <v>1492.3333333333333</v>
      </c>
      <c r="BA45" s="126">
        <f t="shared" si="146"/>
        <v>1472.952380952381</v>
      </c>
      <c r="BB45" s="126">
        <f t="shared" si="146"/>
        <v>1453.5714285714287</v>
      </c>
      <c r="BC45" s="126">
        <f t="shared" si="146"/>
        <v>1434.1904761904761</v>
      </c>
      <c r="BD45" s="126">
        <f t="shared" si="146"/>
        <v>1414.8095238095239</v>
      </c>
      <c r="BE45" s="126">
        <f t="shared" si="146"/>
        <v>1395.4285714285713</v>
      </c>
      <c r="BF45" s="126">
        <f t="shared" si="146"/>
        <v>1376.047619047619</v>
      </c>
      <c r="BG45" s="126">
        <f t="shared" si="146"/>
        <v>1356.6666666666667</v>
      </c>
      <c r="BH45" s="126">
        <f t="shared" si="146"/>
        <v>1337.2857142857142</v>
      </c>
      <c r="BI45" s="126">
        <f t="shared" si="146"/>
        <v>1317.9047619047619</v>
      </c>
      <c r="BJ45" s="126">
        <f t="shared" si="146"/>
        <v>1298.5238095238096</v>
      </c>
      <c r="BK45" s="126">
        <f t="shared" si="146"/>
        <v>1279.1428571428571</v>
      </c>
      <c r="BL45" s="126">
        <f t="shared" si="146"/>
        <v>1259.7619047619048</v>
      </c>
      <c r="BM45" s="126">
        <f t="shared" si="146"/>
        <v>1240.3809523809523</v>
      </c>
      <c r="BN45" s="126">
        <f t="shared" si="146"/>
        <v>1221</v>
      </c>
      <c r="BO45" s="126">
        <f t="shared" si="146"/>
        <v>1201.6190476190477</v>
      </c>
      <c r="BP45" s="126">
        <f t="shared" si="146"/>
        <v>1182.2380952380952</v>
      </c>
      <c r="BQ45" s="126">
        <f t="shared" si="146"/>
        <v>1162.8571428571429</v>
      </c>
      <c r="BR45" s="126">
        <f t="shared" si="146"/>
        <v>1143.4761904761904</v>
      </c>
      <c r="BS45" s="126">
        <f t="shared" si="146"/>
        <v>1124.0952380952381</v>
      </c>
      <c r="BT45" s="126">
        <f t="shared" si="146"/>
        <v>1104.7142857142858</v>
      </c>
      <c r="BU45" s="126">
        <f t="shared" si="146"/>
        <v>1085.3333333333333</v>
      </c>
      <c r="BV45" s="126">
        <f t="shared" si="146"/>
        <v>1065.952380952381</v>
      </c>
      <c r="BW45" s="126">
        <f t="shared" si="146"/>
        <v>1046.5714285714287</v>
      </c>
      <c r="BX45" s="126">
        <f t="shared" si="146"/>
        <v>1027.1904761904761</v>
      </c>
      <c r="BY45" s="126">
        <f t="shared" si="146"/>
        <v>1007.8095238095239</v>
      </c>
      <c r="BZ45" s="126">
        <f t="shared" si="146"/>
        <v>988.42857142857144</v>
      </c>
      <c r="CA45" s="126">
        <f t="shared" si="146"/>
        <v>969.04761904761904</v>
      </c>
      <c r="CB45" s="126">
        <f t="shared" si="146"/>
        <v>949.66666666666663</v>
      </c>
      <c r="CC45" s="126">
        <f t="shared" si="146"/>
        <v>930.28571428571433</v>
      </c>
      <c r="CD45" s="126">
        <f t="shared" si="146"/>
        <v>910.90476190476193</v>
      </c>
      <c r="CE45" s="126">
        <f t="shared" si="146"/>
        <v>891.52380952380952</v>
      </c>
      <c r="CF45" s="126">
        <f t="shared" si="146"/>
        <v>872.14285714285711</v>
      </c>
      <c r="CG45" s="126">
        <f t="shared" si="146"/>
        <v>852.76190476190482</v>
      </c>
      <c r="CH45" s="126">
        <f t="shared" si="146"/>
        <v>833.38095238095241</v>
      </c>
      <c r="CI45" s="126">
        <f t="shared" si="146"/>
        <v>814</v>
      </c>
      <c r="CJ45" s="126">
        <f t="shared" si="146"/>
        <v>794.61904761904759</v>
      </c>
      <c r="CK45" s="126">
        <f t="shared" si="146"/>
        <v>775.23809523809518</v>
      </c>
      <c r="CL45" s="126">
        <f t="shared" si="146"/>
        <v>755.85714285714289</v>
      </c>
      <c r="CM45" s="126">
        <f t="shared" si="146"/>
        <v>736.47619047619048</v>
      </c>
      <c r="CN45" s="126">
        <f t="shared" si="146"/>
        <v>717.09523809523807</v>
      </c>
      <c r="CO45" s="126">
        <f t="shared" si="146"/>
        <v>697.71428571428567</v>
      </c>
      <c r="CP45" s="126">
        <f t="shared" si="146"/>
        <v>678.33333333333337</v>
      </c>
      <c r="CQ45" s="126">
        <f t="shared" si="146"/>
        <v>658.95238095238096</v>
      </c>
      <c r="CR45" s="126">
        <f t="shared" si="146"/>
        <v>639.57142857142856</v>
      </c>
      <c r="CS45" s="126">
        <f t="shared" si="146"/>
        <v>620.19047619047615</v>
      </c>
      <c r="CT45" s="126">
        <f t="shared" si="146"/>
        <v>600.80952380952385</v>
      </c>
      <c r="CU45" s="126">
        <f t="shared" si="146"/>
        <v>581.42857142857144</v>
      </c>
      <c r="CV45" s="126">
        <f t="shared" si="146"/>
        <v>562.04761904761904</v>
      </c>
      <c r="CW45" s="126">
        <f t="shared" si="146"/>
        <v>542.66666666666663</v>
      </c>
      <c r="CX45" s="126">
        <f t="shared" si="146"/>
        <v>523.28571428571433</v>
      </c>
      <c r="CY45" s="126">
        <f t="shared" si="146"/>
        <v>503.90476190476193</v>
      </c>
      <c r="CZ45" s="126">
        <f t="shared" si="146"/>
        <v>484.52380952380952</v>
      </c>
      <c r="DA45" s="126">
        <f t="shared" si="146"/>
        <v>465.14285714285717</v>
      </c>
      <c r="DB45" s="126">
        <f t="shared" si="146"/>
        <v>445.76190476190476</v>
      </c>
      <c r="DC45" s="126">
        <f t="shared" si="146"/>
        <v>426.38095238095241</v>
      </c>
      <c r="DD45" s="126">
        <f t="shared" si="146"/>
        <v>407</v>
      </c>
      <c r="DE45" s="126">
        <f t="shared" si="146"/>
        <v>387.61904761904759</v>
      </c>
      <c r="DF45" s="126">
        <f t="shared" si="146"/>
        <v>368.23809523809524</v>
      </c>
      <c r="DG45" s="126">
        <f t="shared" ref="DG45:DY45" si="147">IF(AND(DF$1&lt;DG$1, DG$1&lt;=$F42),$AS45*($F42-DG$1)/($F42-$AS$1),0)</f>
        <v>348.85714285714283</v>
      </c>
      <c r="DH45" s="126">
        <f t="shared" si="147"/>
        <v>329.47619047619048</v>
      </c>
      <c r="DI45" s="126">
        <f t="shared" si="147"/>
        <v>310.09523809523807</v>
      </c>
      <c r="DJ45" s="126">
        <f t="shared" si="147"/>
        <v>290.71428571428572</v>
      </c>
      <c r="DK45" s="126">
        <f t="shared" si="147"/>
        <v>271.33333333333331</v>
      </c>
      <c r="DL45" s="126">
        <f t="shared" si="147"/>
        <v>251.95238095238096</v>
      </c>
      <c r="DM45" s="126">
        <f t="shared" si="147"/>
        <v>232.57142857142858</v>
      </c>
      <c r="DN45" s="126">
        <f t="shared" si="147"/>
        <v>213.1904761904762</v>
      </c>
      <c r="DO45" s="126">
        <f t="shared" si="147"/>
        <v>193.8095238095238</v>
      </c>
      <c r="DP45" s="126">
        <f t="shared" si="147"/>
        <v>174.42857142857142</v>
      </c>
      <c r="DQ45" s="126">
        <f t="shared" si="147"/>
        <v>155.04761904761904</v>
      </c>
      <c r="DR45" s="126">
        <f t="shared" si="147"/>
        <v>135.66666666666666</v>
      </c>
      <c r="DS45" s="126">
        <f t="shared" si="147"/>
        <v>116.28571428571429</v>
      </c>
      <c r="DT45" s="126">
        <f t="shared" si="147"/>
        <v>96.904761904761898</v>
      </c>
      <c r="DU45" s="126">
        <f t="shared" si="147"/>
        <v>77.523809523809518</v>
      </c>
      <c r="DV45" s="126">
        <f t="shared" si="147"/>
        <v>58.142857142857146</v>
      </c>
      <c r="DW45" s="126">
        <f t="shared" si="147"/>
        <v>38.761904761904759</v>
      </c>
      <c r="DX45" s="126">
        <f t="shared" si="147"/>
        <v>19.38095238095238</v>
      </c>
      <c r="DY45" s="126">
        <f t="shared" si="147"/>
        <v>0</v>
      </c>
    </row>
    <row r="46" spans="1:129" x14ac:dyDescent="0.45">
      <c r="A46" s="3"/>
      <c r="B46" s="2"/>
      <c r="C46" s="136" t="s">
        <v>271</v>
      </c>
      <c r="D46" s="17"/>
      <c r="E46" s="135"/>
      <c r="F46" s="135"/>
      <c r="G46" s="135"/>
      <c r="H46" s="135"/>
      <c r="I46" s="13">
        <f>SUM(I5+I9+I14+I18+I23+I27+I31+I35+I39+I43)</f>
        <v>0</v>
      </c>
      <c r="J46" s="13">
        <f t="shared" ref="J46:BU46" si="148">SUM(J5+J9+J14+J18+J23+J27+J31+J35+J39+J43)</f>
        <v>0</v>
      </c>
      <c r="K46" s="13">
        <f t="shared" si="148"/>
        <v>0</v>
      </c>
      <c r="L46" s="13">
        <f t="shared" si="148"/>
        <v>0</v>
      </c>
      <c r="M46" s="13">
        <f t="shared" si="148"/>
        <v>0</v>
      </c>
      <c r="N46" s="13">
        <f t="shared" si="148"/>
        <v>0</v>
      </c>
      <c r="O46" s="13">
        <f t="shared" si="148"/>
        <v>0</v>
      </c>
      <c r="P46" s="13">
        <f t="shared" si="148"/>
        <v>0</v>
      </c>
      <c r="Q46" s="13">
        <f t="shared" si="148"/>
        <v>0</v>
      </c>
      <c r="R46" s="13">
        <f t="shared" si="148"/>
        <v>0</v>
      </c>
      <c r="S46" s="13">
        <f t="shared" si="148"/>
        <v>0</v>
      </c>
      <c r="T46" s="13">
        <f t="shared" si="148"/>
        <v>0</v>
      </c>
      <c r="U46" s="13">
        <f t="shared" si="148"/>
        <v>5798.4007160870451</v>
      </c>
      <c r="V46" s="13">
        <f t="shared" si="148"/>
        <v>5690.2258085553322</v>
      </c>
      <c r="W46" s="13">
        <f t="shared" si="148"/>
        <v>5581.6196431839344</v>
      </c>
      <c r="X46" s="13">
        <f t="shared" si="148"/>
        <v>5472.5804790197571</v>
      </c>
      <c r="Y46" s="13">
        <f t="shared" si="148"/>
        <v>5363.1065680816164</v>
      </c>
      <c r="Z46" s="13">
        <f t="shared" si="148"/>
        <v>5253.1961553318706</v>
      </c>
      <c r="AA46" s="13">
        <f t="shared" si="148"/>
        <v>5142.8474786479337</v>
      </c>
      <c r="AB46" s="13">
        <f t="shared" si="148"/>
        <v>5032.0587687936695</v>
      </c>
      <c r="AC46" s="13">
        <f t="shared" si="148"/>
        <v>4920.8282493906827</v>
      </c>
      <c r="AD46" s="13">
        <f t="shared" si="148"/>
        <v>4809.1541368894768</v>
      </c>
      <c r="AE46" s="13">
        <f t="shared" si="148"/>
        <v>4697.0346405405153</v>
      </c>
      <c r="AF46" s="13">
        <f t="shared" si="148"/>
        <v>4584.4679623651464</v>
      </c>
      <c r="AG46" s="13">
        <f t="shared" si="148"/>
        <v>4471.4522971264259</v>
      </c>
      <c r="AH46" s="13">
        <f t="shared" si="148"/>
        <v>4357.9858322998125</v>
      </c>
      <c r="AI46" s="13">
        <f t="shared" si="148"/>
        <v>4244.0667480437478</v>
      </c>
      <c r="AJ46" s="13">
        <f t="shared" si="148"/>
        <v>4129.6932171701264</v>
      </c>
      <c r="AK46" s="13">
        <f t="shared" si="148"/>
        <v>4014.8634051146228</v>
      </c>
      <c r="AL46" s="13">
        <f t="shared" si="148"/>
        <v>3899.5754699069316</v>
      </c>
      <c r="AM46" s="13">
        <f t="shared" si="148"/>
        <v>3783.8275621408566</v>
      </c>
      <c r="AN46" s="13">
        <f t="shared" si="148"/>
        <v>3667.6178249443001</v>
      </c>
      <c r="AO46" s="13">
        <f t="shared" si="148"/>
        <v>3550.9443939491216</v>
      </c>
      <c r="AP46" s="13">
        <f t="shared" si="148"/>
        <v>3433.8053972608768</v>
      </c>
      <c r="AQ46" s="13">
        <f t="shared" si="148"/>
        <v>3316.1989554284341</v>
      </c>
      <c r="AR46" s="13">
        <f t="shared" si="148"/>
        <v>3198.1231814134699</v>
      </c>
      <c r="AS46" s="13">
        <f t="shared" si="148"/>
        <v>3079.5761805598395</v>
      </c>
      <c r="AT46" s="13">
        <f t="shared" si="148"/>
        <v>2960.5560505628232</v>
      </c>
      <c r="AU46" s="13">
        <f t="shared" si="148"/>
        <v>2841.0608814382504</v>
      </c>
      <c r="AV46" s="13">
        <f t="shared" si="148"/>
        <v>2721.0887554915003</v>
      </c>
      <c r="AW46" s="13">
        <f t="shared" si="148"/>
        <v>2600.6377472863724</v>
      </c>
      <c r="AX46" s="13">
        <f t="shared" si="148"/>
        <v>2479.7059236138357</v>
      </c>
      <c r="AY46" s="13">
        <f t="shared" si="148"/>
        <v>2358.2913434606508</v>
      </c>
      <c r="AZ46" s="13">
        <f t="shared" si="148"/>
        <v>2236.3920579778642</v>
      </c>
      <c r="BA46" s="13">
        <f t="shared" si="148"/>
        <v>2114.0061104491765</v>
      </c>
      <c r="BB46" s="13">
        <f t="shared" si="148"/>
        <v>1991.1315362591831</v>
      </c>
      <c r="BC46" s="13">
        <f t="shared" si="148"/>
        <v>1867.7663628614844</v>
      </c>
      <c r="BD46" s="13">
        <f t="shared" si="148"/>
        <v>1743.9086097466707</v>
      </c>
      <c r="BE46" s="13">
        <f t="shared" si="148"/>
        <v>1619.556288410176</v>
      </c>
      <c r="BF46" s="13">
        <f t="shared" si="148"/>
        <v>1494.7074023200014</v>
      </c>
      <c r="BG46" s="13">
        <f t="shared" si="148"/>
        <v>1369.3599468843101</v>
      </c>
      <c r="BH46" s="13">
        <f t="shared" si="148"/>
        <v>1243.5119094188881</v>
      </c>
      <c r="BI46" s="13">
        <f t="shared" si="148"/>
        <v>1117.1612691144799</v>
      </c>
      <c r="BJ46" s="13">
        <f t="shared" si="148"/>
        <v>990.30599700398488</v>
      </c>
      <c r="BK46" s="13">
        <f t="shared" si="148"/>
        <v>862.94405592952603</v>
      </c>
      <c r="BL46" s="13">
        <f t="shared" si="148"/>
        <v>735.07340050938467</v>
      </c>
      <c r="BM46" s="13">
        <f t="shared" si="148"/>
        <v>606.6919771048008</v>
      </c>
      <c r="BN46" s="13">
        <f t="shared" si="148"/>
        <v>477.79772378664126</v>
      </c>
      <c r="BO46" s="13">
        <f t="shared" si="148"/>
        <v>348.38857030193032</v>
      </c>
      <c r="BP46" s="13">
        <f t="shared" si="148"/>
        <v>218.46243804024883</v>
      </c>
      <c r="BQ46" s="13">
        <f t="shared" si="148"/>
        <v>88.017239999994914</v>
      </c>
      <c r="BR46" s="13">
        <f t="shared" si="148"/>
        <v>86.550286000000085</v>
      </c>
      <c r="BS46" s="13">
        <f t="shared" si="148"/>
        <v>85.08333200000007</v>
      </c>
      <c r="BT46" s="13">
        <f t="shared" si="148"/>
        <v>83.616378000000083</v>
      </c>
      <c r="BU46" s="13">
        <f t="shared" si="148"/>
        <v>82.149424000000081</v>
      </c>
      <c r="BV46" s="13">
        <f t="shared" ref="BV46:DY46" si="149">SUM(BV5+BV9+BV14+BV18+BV23+BV27+BV31+BV35+BV39+BV43)</f>
        <v>80.682470000000095</v>
      </c>
      <c r="BW46" s="13">
        <f t="shared" si="149"/>
        <v>79.215516000000093</v>
      </c>
      <c r="BX46" s="13">
        <f t="shared" si="149"/>
        <v>77.748562000000049</v>
      </c>
      <c r="BY46" s="13">
        <f t="shared" si="149"/>
        <v>76.281608000000062</v>
      </c>
      <c r="BZ46" s="13">
        <f t="shared" si="149"/>
        <v>74.814654000000061</v>
      </c>
      <c r="CA46" s="13">
        <f t="shared" si="149"/>
        <v>73.34770000000006</v>
      </c>
      <c r="CB46" s="13">
        <f t="shared" si="149"/>
        <v>71.880746000000059</v>
      </c>
      <c r="CC46" s="13">
        <f t="shared" si="149"/>
        <v>70.413792000000072</v>
      </c>
      <c r="CD46" s="13">
        <f t="shared" si="149"/>
        <v>68.946838000000056</v>
      </c>
      <c r="CE46" s="13">
        <f t="shared" si="149"/>
        <v>67.479884000000069</v>
      </c>
      <c r="CF46" s="13">
        <f t="shared" si="149"/>
        <v>66.012930000000054</v>
      </c>
      <c r="CG46" s="13">
        <f t="shared" si="149"/>
        <v>64.545976000000053</v>
      </c>
      <c r="CH46" s="13">
        <f t="shared" si="149"/>
        <v>63.079022000000066</v>
      </c>
      <c r="CI46" s="13">
        <f t="shared" si="149"/>
        <v>61.61206800000005</v>
      </c>
      <c r="CJ46" s="13">
        <f t="shared" si="149"/>
        <v>60.145114000000056</v>
      </c>
      <c r="CK46" s="13">
        <f t="shared" si="149"/>
        <v>58.678160000000055</v>
      </c>
      <c r="CL46" s="13">
        <f t="shared" si="149"/>
        <v>57.211206000000054</v>
      </c>
      <c r="CM46" s="13">
        <f t="shared" si="149"/>
        <v>55.744252000000053</v>
      </c>
      <c r="CN46" s="13">
        <f t="shared" si="149"/>
        <v>54.277298000000044</v>
      </c>
      <c r="CO46" s="13">
        <f t="shared" si="149"/>
        <v>52.810344000000043</v>
      </c>
      <c r="CP46" s="13">
        <f t="shared" si="149"/>
        <v>51.343390000000049</v>
      </c>
      <c r="CQ46" s="13">
        <f t="shared" si="149"/>
        <v>49.876436000000048</v>
      </c>
      <c r="CR46" s="13">
        <f t="shared" si="149"/>
        <v>48.40948200000004</v>
      </c>
      <c r="CS46" s="13">
        <f t="shared" si="149"/>
        <v>46.942528000000046</v>
      </c>
      <c r="CT46" s="13">
        <f t="shared" si="149"/>
        <v>45.475574000000044</v>
      </c>
      <c r="CU46" s="13">
        <f t="shared" si="149"/>
        <v>44.008620000000043</v>
      </c>
      <c r="CV46" s="13">
        <f t="shared" si="149"/>
        <v>42.541666000000035</v>
      </c>
      <c r="CW46" s="13">
        <f t="shared" si="149"/>
        <v>41.074712000000041</v>
      </c>
      <c r="CX46" s="13">
        <f t="shared" si="149"/>
        <v>39.607758000000047</v>
      </c>
      <c r="CY46" s="13">
        <f t="shared" si="149"/>
        <v>38.140804000000031</v>
      </c>
      <c r="CZ46" s="13">
        <f t="shared" si="149"/>
        <v>36.67385000000003</v>
      </c>
      <c r="DA46" s="13">
        <f t="shared" si="149"/>
        <v>35.206896000000036</v>
      </c>
      <c r="DB46" s="13">
        <f t="shared" si="149"/>
        <v>33.739942000000035</v>
      </c>
      <c r="DC46" s="13">
        <f t="shared" si="149"/>
        <v>32.272988000000026</v>
      </c>
      <c r="DD46" s="13">
        <f t="shared" si="149"/>
        <v>30.806034000000025</v>
      </c>
      <c r="DE46" s="13">
        <f t="shared" si="149"/>
        <v>29.339080000000028</v>
      </c>
      <c r="DF46" s="13">
        <f t="shared" si="149"/>
        <v>27.872126000000026</v>
      </c>
      <c r="DG46" s="13">
        <f t="shared" si="149"/>
        <v>26.405172000000022</v>
      </c>
      <c r="DH46" s="13">
        <f t="shared" si="149"/>
        <v>24.938218000000024</v>
      </c>
      <c r="DI46" s="13">
        <f t="shared" si="149"/>
        <v>23.471264000000023</v>
      </c>
      <c r="DJ46" s="13">
        <f t="shared" si="149"/>
        <v>22.004310000000022</v>
      </c>
      <c r="DK46" s="13">
        <f t="shared" si="149"/>
        <v>20.53735600000002</v>
      </c>
      <c r="DL46" s="13">
        <f t="shared" si="149"/>
        <v>19.070402000000016</v>
      </c>
      <c r="DM46" s="13">
        <f t="shared" si="149"/>
        <v>17.603448000000018</v>
      </c>
      <c r="DN46" s="13">
        <f t="shared" si="149"/>
        <v>16.136494000000013</v>
      </c>
      <c r="DO46" s="13">
        <f t="shared" si="149"/>
        <v>14.669540000000014</v>
      </c>
      <c r="DP46" s="13">
        <f t="shared" si="149"/>
        <v>13.202586000000011</v>
      </c>
      <c r="DQ46" s="13">
        <f t="shared" si="149"/>
        <v>11.735632000000011</v>
      </c>
      <c r="DR46" s="13">
        <f t="shared" si="149"/>
        <v>10.26867800000001</v>
      </c>
      <c r="DS46" s="13">
        <f t="shared" si="149"/>
        <v>8.801724000000009</v>
      </c>
      <c r="DT46" s="13">
        <f t="shared" si="149"/>
        <v>7.3347700000000069</v>
      </c>
      <c r="DU46" s="13">
        <f t="shared" si="149"/>
        <v>5.8678160000000057</v>
      </c>
      <c r="DV46" s="13">
        <f t="shared" si="149"/>
        <v>4.4008620000000045</v>
      </c>
      <c r="DW46" s="13">
        <f t="shared" si="149"/>
        <v>2.9339080000000028</v>
      </c>
      <c r="DX46" s="13">
        <f t="shared" si="149"/>
        <v>1.4669540000000014</v>
      </c>
      <c r="DY46" s="13">
        <f t="shared" si="149"/>
        <v>0</v>
      </c>
    </row>
    <row r="47" spans="1:129" x14ac:dyDescent="0.45">
      <c r="A47" s="3"/>
      <c r="B47" s="2"/>
      <c r="C47" s="136" t="s">
        <v>272</v>
      </c>
      <c r="D47" s="17"/>
      <c r="E47" s="135"/>
      <c r="F47" s="135"/>
      <c r="G47" s="135"/>
      <c r="H47" s="135"/>
      <c r="I47" s="13">
        <f>SUM(I6+I10+I15+I19+I24+I28+I32+I36+I40+I44)</f>
        <v>0</v>
      </c>
      <c r="J47" s="13">
        <f t="shared" ref="J47:BU47" si="150">SUM(J6+J10+J15+J19+J24+J28+J32+J36+J40+J44)</f>
        <v>-6.7325942977056608</v>
      </c>
      <c r="K47" s="13">
        <f t="shared" si="150"/>
        <v>1.4456894285834425</v>
      </c>
      <c r="L47" s="13">
        <f t="shared" si="150"/>
        <v>0</v>
      </c>
      <c r="M47" s="13">
        <f t="shared" si="150"/>
        <v>0</v>
      </c>
      <c r="N47" s="13">
        <f t="shared" si="150"/>
        <v>0</v>
      </c>
      <c r="O47" s="13">
        <f t="shared" si="150"/>
        <v>0</v>
      </c>
      <c r="P47" s="13">
        <f t="shared" si="150"/>
        <v>0</v>
      </c>
      <c r="Q47" s="13">
        <f t="shared" si="150"/>
        <v>0</v>
      </c>
      <c r="R47" s="13">
        <f t="shared" si="150"/>
        <v>0</v>
      </c>
      <c r="S47" s="13">
        <f t="shared" si="150"/>
        <v>0</v>
      </c>
      <c r="T47" s="13">
        <f t="shared" si="150"/>
        <v>0</v>
      </c>
      <c r="U47" s="13">
        <f t="shared" si="150"/>
        <v>0</v>
      </c>
      <c r="V47" s="13">
        <f t="shared" si="150"/>
        <v>0</v>
      </c>
      <c r="W47" s="13">
        <f t="shared" si="150"/>
        <v>0</v>
      </c>
      <c r="X47" s="13">
        <f t="shared" si="150"/>
        <v>0</v>
      </c>
      <c r="Y47" s="13">
        <f t="shared" si="150"/>
        <v>0</v>
      </c>
      <c r="Z47" s="13">
        <f t="shared" si="150"/>
        <v>0</v>
      </c>
      <c r="AA47" s="13">
        <f t="shared" si="150"/>
        <v>0</v>
      </c>
      <c r="AB47" s="13">
        <f t="shared" si="150"/>
        <v>0</v>
      </c>
      <c r="AC47" s="13">
        <f t="shared" si="150"/>
        <v>0</v>
      </c>
      <c r="AD47" s="13">
        <f t="shared" si="150"/>
        <v>0</v>
      </c>
      <c r="AE47" s="13">
        <f t="shared" si="150"/>
        <v>0</v>
      </c>
      <c r="AF47" s="13">
        <f t="shared" si="150"/>
        <v>0</v>
      </c>
      <c r="AG47" s="13">
        <f t="shared" si="150"/>
        <v>19940.107982521593</v>
      </c>
      <c r="AH47" s="13">
        <f t="shared" si="150"/>
        <v>19765.45134748175</v>
      </c>
      <c r="AI47" s="13">
        <f t="shared" si="150"/>
        <v>19607.90360321568</v>
      </c>
      <c r="AJ47" s="13">
        <f t="shared" si="150"/>
        <v>19414.963488016601</v>
      </c>
      <c r="AK47" s="13">
        <f t="shared" si="150"/>
        <v>19239.129100318893</v>
      </c>
      <c r="AL47" s="13">
        <f t="shared" si="150"/>
        <v>19062.898954483651</v>
      </c>
      <c r="AM47" s="13">
        <f t="shared" si="150"/>
        <v>18886.271452867208</v>
      </c>
      <c r="AN47" s="13">
        <f t="shared" si="150"/>
        <v>18709.244991376345</v>
      </c>
      <c r="AO47" s="13">
        <f t="shared" si="150"/>
        <v>18531.817959442251</v>
      </c>
      <c r="AP47" s="13">
        <f t="shared" si="150"/>
        <v>18353.988739994358</v>
      </c>
      <c r="AQ47" s="13">
        <f t="shared" si="150"/>
        <v>18175.755709434143</v>
      </c>
      <c r="AR47" s="13">
        <f t="shared" si="150"/>
        <v>17997.117237608727</v>
      </c>
      <c r="AS47" s="13">
        <f t="shared" si="150"/>
        <v>17818.071687784446</v>
      </c>
      <c r="AT47" s="13">
        <f t="shared" si="150"/>
        <v>17638.617416620265</v>
      </c>
      <c r="AU47" s="13">
        <f t="shared" si="150"/>
        <v>17458.752774141132</v>
      </c>
      <c r="AV47" s="13">
        <f t="shared" si="150"/>
        <v>17278.476103711149</v>
      </c>
      <c r="AW47" s="13">
        <f t="shared" si="150"/>
        <v>17097.785742006738</v>
      </c>
      <c r="AX47" s="13">
        <f t="shared" si="150"/>
        <v>16916.680018989606</v>
      </c>
      <c r="AY47" s="13">
        <f t="shared" si="150"/>
        <v>16735.157257879659</v>
      </c>
      <c r="AZ47" s="13">
        <f t="shared" si="150"/>
        <v>16553.215775127766</v>
      </c>
      <c r="BA47" s="13">
        <f t="shared" si="150"/>
        <v>16370.853880388455</v>
      </c>
      <c r="BB47" s="13">
        <f t="shared" si="150"/>
        <v>16188.069876492456</v>
      </c>
      <c r="BC47" s="13">
        <f t="shared" si="150"/>
        <v>16004.862059419173</v>
      </c>
      <c r="BD47" s="13">
        <f t="shared" si="150"/>
        <v>15821.228718269005</v>
      </c>
      <c r="BE47" s="13">
        <f t="shared" si="150"/>
        <v>15637.168135235599</v>
      </c>
      <c r="BF47" s="13">
        <f t="shared" si="150"/>
        <v>15452.678585577951</v>
      </c>
      <c r="BG47" s="13">
        <f t="shared" si="150"/>
        <v>15267.758337592411</v>
      </c>
      <c r="BH47" s="13">
        <f t="shared" si="150"/>
        <v>15082.405652584597</v>
      </c>
      <c r="BI47" s="13">
        <f t="shared" si="150"/>
        <v>14896.618784841139</v>
      </c>
      <c r="BJ47" s="13">
        <f t="shared" si="150"/>
        <v>14710.395981601376</v>
      </c>
      <c r="BK47" s="13">
        <f t="shared" si="150"/>
        <v>14523.735483028891</v>
      </c>
      <c r="BL47" s="13">
        <f t="shared" si="150"/>
        <v>14336.635522182947</v>
      </c>
      <c r="BM47" s="13">
        <f t="shared" si="150"/>
        <v>14149.094324989812</v>
      </c>
      <c r="BN47" s="13">
        <f t="shared" si="150"/>
        <v>13961.110110213962</v>
      </c>
      <c r="BO47" s="13">
        <f t="shared" si="150"/>
        <v>13772.681089429161</v>
      </c>
      <c r="BP47" s="13">
        <f t="shared" si="150"/>
        <v>13583.805466989454</v>
      </c>
      <c r="BQ47" s="13">
        <f t="shared" si="150"/>
        <v>13394.481439999998</v>
      </c>
      <c r="BR47" s="13">
        <f t="shared" si="150"/>
        <v>13324.306749333333</v>
      </c>
      <c r="BS47" s="13">
        <f t="shared" si="150"/>
        <v>13254.132058666666</v>
      </c>
      <c r="BT47" s="13">
        <f t="shared" si="150"/>
        <v>13183.957367999999</v>
      </c>
      <c r="BU47" s="13">
        <f t="shared" si="150"/>
        <v>13113.782677333335</v>
      </c>
      <c r="BV47" s="13">
        <f t="shared" ref="BV47:DY47" si="151">SUM(BV6+BV10+BV15+BV19+BV24+BV28+BV32+BV36+BV40+BV44)</f>
        <v>13043.607986666666</v>
      </c>
      <c r="BW47" s="13">
        <f t="shared" si="151"/>
        <v>12973.433296000001</v>
      </c>
      <c r="BX47" s="13">
        <f t="shared" si="151"/>
        <v>12903.258605333334</v>
      </c>
      <c r="BY47" s="13">
        <f t="shared" si="151"/>
        <v>12833.083914666666</v>
      </c>
      <c r="BZ47" s="13">
        <f t="shared" si="151"/>
        <v>12762.909223999999</v>
      </c>
      <c r="CA47" s="13">
        <f t="shared" si="151"/>
        <v>12692.734533333334</v>
      </c>
      <c r="CB47" s="13">
        <f t="shared" si="151"/>
        <v>12622.559842666666</v>
      </c>
      <c r="CC47" s="13">
        <f t="shared" si="151"/>
        <v>12552.385152000001</v>
      </c>
      <c r="CD47" s="13">
        <f t="shared" si="151"/>
        <v>12482.210461333334</v>
      </c>
      <c r="CE47" s="13">
        <f t="shared" si="151"/>
        <v>12412.035770666665</v>
      </c>
      <c r="CF47" s="13">
        <f t="shared" si="151"/>
        <v>12341.861080000001</v>
      </c>
      <c r="CG47" s="13">
        <f t="shared" si="151"/>
        <v>12271.686389333334</v>
      </c>
      <c r="CH47" s="13">
        <f t="shared" si="151"/>
        <v>12201.511698666665</v>
      </c>
      <c r="CI47" s="13">
        <f t="shared" si="151"/>
        <v>12131.337007999999</v>
      </c>
      <c r="CJ47" s="13">
        <f t="shared" si="151"/>
        <v>12061.162317333336</v>
      </c>
      <c r="CK47" s="13">
        <f t="shared" si="151"/>
        <v>11990.987626666667</v>
      </c>
      <c r="CL47" s="13">
        <f t="shared" si="151"/>
        <v>11920.812936</v>
      </c>
      <c r="CM47" s="13">
        <f t="shared" si="151"/>
        <v>11850.638245333334</v>
      </c>
      <c r="CN47" s="13">
        <f t="shared" si="151"/>
        <v>11780.463554666665</v>
      </c>
      <c r="CO47" s="13">
        <f t="shared" si="151"/>
        <v>2526.2888640000001</v>
      </c>
      <c r="CP47" s="13">
        <f t="shared" si="151"/>
        <v>2456.1141733333334</v>
      </c>
      <c r="CQ47" s="13">
        <f t="shared" si="151"/>
        <v>2385.9394826666667</v>
      </c>
      <c r="CR47" s="13">
        <f t="shared" si="151"/>
        <v>2315.7647919999999</v>
      </c>
      <c r="CS47" s="13">
        <f t="shared" si="151"/>
        <v>2245.5901013333332</v>
      </c>
      <c r="CT47" s="13">
        <f t="shared" si="151"/>
        <v>2175.4154106666665</v>
      </c>
      <c r="CU47" s="13">
        <f t="shared" si="151"/>
        <v>2105.2407199999998</v>
      </c>
      <c r="CV47" s="13">
        <f t="shared" si="151"/>
        <v>2035.0660293333333</v>
      </c>
      <c r="CW47" s="13">
        <f t="shared" si="151"/>
        <v>1964.8913386666668</v>
      </c>
      <c r="CX47" s="13">
        <f t="shared" si="151"/>
        <v>1894.7166480000001</v>
      </c>
      <c r="CY47" s="13">
        <f t="shared" si="151"/>
        <v>1824.5419573333331</v>
      </c>
      <c r="CZ47" s="13">
        <f t="shared" si="151"/>
        <v>1754.3672666666669</v>
      </c>
      <c r="DA47" s="13">
        <f t="shared" si="151"/>
        <v>1684.1925759999999</v>
      </c>
      <c r="DB47" s="13">
        <f t="shared" si="151"/>
        <v>1614.017885333333</v>
      </c>
      <c r="DC47" s="13">
        <f t="shared" si="151"/>
        <v>1543.8431946666669</v>
      </c>
      <c r="DD47" s="13">
        <f t="shared" si="151"/>
        <v>1473.668504</v>
      </c>
      <c r="DE47" s="13">
        <f t="shared" si="151"/>
        <v>1403.4938133333333</v>
      </c>
      <c r="DF47" s="13">
        <f t="shared" si="151"/>
        <v>1333.3191226666668</v>
      </c>
      <c r="DG47" s="13">
        <f t="shared" si="151"/>
        <v>1263.1444320000001</v>
      </c>
      <c r="DH47" s="13">
        <f t="shared" si="151"/>
        <v>1192.9697413333333</v>
      </c>
      <c r="DI47" s="13">
        <f t="shared" si="151"/>
        <v>1122.7950506666666</v>
      </c>
      <c r="DJ47" s="13">
        <f t="shared" si="151"/>
        <v>1052.6203599999999</v>
      </c>
      <c r="DK47" s="13">
        <f t="shared" si="151"/>
        <v>982.4456693333334</v>
      </c>
      <c r="DL47" s="13">
        <f t="shared" si="151"/>
        <v>912.27097866666657</v>
      </c>
      <c r="DM47" s="13">
        <f t="shared" si="151"/>
        <v>842.09628799999996</v>
      </c>
      <c r="DN47" s="13">
        <f t="shared" si="151"/>
        <v>771.92159733333347</v>
      </c>
      <c r="DO47" s="13">
        <f t="shared" si="151"/>
        <v>701.74690666666663</v>
      </c>
      <c r="DP47" s="13">
        <f t="shared" si="151"/>
        <v>631.57221600000003</v>
      </c>
      <c r="DQ47" s="13">
        <f t="shared" si="151"/>
        <v>561.39752533333331</v>
      </c>
      <c r="DR47" s="13">
        <f t="shared" si="151"/>
        <v>491.2228346666667</v>
      </c>
      <c r="DS47" s="13">
        <f t="shared" si="151"/>
        <v>421.04814399999998</v>
      </c>
      <c r="DT47" s="13">
        <f t="shared" si="151"/>
        <v>350.87345333333332</v>
      </c>
      <c r="DU47" s="13">
        <f t="shared" si="151"/>
        <v>280.69876266666665</v>
      </c>
      <c r="DV47" s="13">
        <f t="shared" si="151"/>
        <v>210.52407199999999</v>
      </c>
      <c r="DW47" s="13">
        <f t="shared" si="151"/>
        <v>140.34938133333333</v>
      </c>
      <c r="DX47" s="13">
        <f t="shared" si="151"/>
        <v>70.174690666666663</v>
      </c>
      <c r="DY47" s="13">
        <f t="shared" si="151"/>
        <v>0</v>
      </c>
    </row>
    <row r="48" spans="1:129" x14ac:dyDescent="0.45">
      <c r="A48" s="3"/>
      <c r="B48" s="2"/>
      <c r="C48" s="136" t="s">
        <v>273</v>
      </c>
      <c r="D48" s="17"/>
      <c r="E48" s="135"/>
      <c r="F48" s="135"/>
      <c r="G48" s="135"/>
      <c r="H48" s="135"/>
      <c r="I48" s="13">
        <f>SUM(I7+I11+I16+I20+I25+I29+I33+I37+I41+I45)</f>
        <v>0</v>
      </c>
      <c r="J48" s="13">
        <f t="shared" ref="J48:BU48" si="152">SUM(J7+J11+J16+J20+J25+J29+J33+J37+J41+J45)</f>
        <v>0</v>
      </c>
      <c r="K48" s="13">
        <f t="shared" si="152"/>
        <v>0</v>
      </c>
      <c r="L48" s="13">
        <f t="shared" si="152"/>
        <v>0</v>
      </c>
      <c r="M48" s="13">
        <f t="shared" si="152"/>
        <v>0</v>
      </c>
      <c r="N48" s="13">
        <f t="shared" si="152"/>
        <v>0</v>
      </c>
      <c r="O48" s="13">
        <f t="shared" si="152"/>
        <v>0</v>
      </c>
      <c r="P48" s="13">
        <f t="shared" si="152"/>
        <v>0</v>
      </c>
      <c r="Q48" s="13">
        <f t="shared" si="152"/>
        <v>0</v>
      </c>
      <c r="R48" s="13">
        <f t="shared" si="152"/>
        <v>0</v>
      </c>
      <c r="S48" s="13">
        <f t="shared" si="152"/>
        <v>0</v>
      </c>
      <c r="T48" s="13">
        <f t="shared" si="152"/>
        <v>0</v>
      </c>
      <c r="U48" s="13">
        <f t="shared" si="152"/>
        <v>0</v>
      </c>
      <c r="V48" s="13">
        <f t="shared" si="152"/>
        <v>0</v>
      </c>
      <c r="W48" s="13">
        <f t="shared" si="152"/>
        <v>0</v>
      </c>
      <c r="X48" s="13">
        <f t="shared" si="152"/>
        <v>0</v>
      </c>
      <c r="Y48" s="13">
        <f t="shared" si="152"/>
        <v>0</v>
      </c>
      <c r="Z48" s="13">
        <f t="shared" si="152"/>
        <v>0</v>
      </c>
      <c r="AA48" s="13">
        <f t="shared" si="152"/>
        <v>0</v>
      </c>
      <c r="AB48" s="13">
        <f t="shared" si="152"/>
        <v>0</v>
      </c>
      <c r="AC48" s="13">
        <f t="shared" si="152"/>
        <v>0</v>
      </c>
      <c r="AD48" s="13">
        <f t="shared" si="152"/>
        <v>0</v>
      </c>
      <c r="AE48" s="13">
        <f t="shared" si="152"/>
        <v>0</v>
      </c>
      <c r="AF48" s="13">
        <f t="shared" si="152"/>
        <v>0</v>
      </c>
      <c r="AG48" s="13">
        <f t="shared" si="152"/>
        <v>0</v>
      </c>
      <c r="AH48" s="13">
        <f t="shared" si="152"/>
        <v>0</v>
      </c>
      <c r="AI48" s="13">
        <f t="shared" si="152"/>
        <v>0</v>
      </c>
      <c r="AJ48" s="13">
        <f t="shared" si="152"/>
        <v>0</v>
      </c>
      <c r="AK48" s="13">
        <f t="shared" si="152"/>
        <v>0</v>
      </c>
      <c r="AL48" s="13">
        <f t="shared" si="152"/>
        <v>0</v>
      </c>
      <c r="AM48" s="13">
        <f t="shared" si="152"/>
        <v>0</v>
      </c>
      <c r="AN48" s="13">
        <f t="shared" si="152"/>
        <v>0</v>
      </c>
      <c r="AO48" s="13">
        <f t="shared" si="152"/>
        <v>0</v>
      </c>
      <c r="AP48" s="13">
        <f t="shared" si="152"/>
        <v>0</v>
      </c>
      <c r="AQ48" s="13">
        <f t="shared" si="152"/>
        <v>0</v>
      </c>
      <c r="AR48" s="13">
        <f t="shared" si="152"/>
        <v>0</v>
      </c>
      <c r="AS48" s="13">
        <f t="shared" si="152"/>
        <v>33654.579881942365</v>
      </c>
      <c r="AT48" s="13">
        <f t="shared" si="152"/>
        <v>32861.721368266408</v>
      </c>
      <c r="AU48" s="13">
        <f t="shared" si="152"/>
        <v>32065.992260209881</v>
      </c>
      <c r="AV48" s="13">
        <f t="shared" si="152"/>
        <v>31267.38096941495</v>
      </c>
      <c r="AW48" s="13">
        <f t="shared" si="152"/>
        <v>30465.875860742486</v>
      </c>
      <c r="AX48" s="13">
        <f t="shared" si="152"/>
        <v>29661.465252083253</v>
      </c>
      <c r="AY48" s="13">
        <f t="shared" si="152"/>
        <v>28854.13741416829</v>
      </c>
      <c r="AZ48" s="13">
        <f t="shared" si="152"/>
        <v>28043.880570378496</v>
      </c>
      <c r="BA48" s="13">
        <f t="shared" si="152"/>
        <v>27230.682896553542</v>
      </c>
      <c r="BB48" s="13">
        <f t="shared" si="152"/>
        <v>26414.532520799901</v>
      </c>
      <c r="BC48" s="13">
        <f t="shared" si="152"/>
        <v>25595.417523298172</v>
      </c>
      <c r="BD48" s="13">
        <f t="shared" si="152"/>
        <v>24773.325936109613</v>
      </c>
      <c r="BE48" s="13">
        <f t="shared" si="152"/>
        <v>23948.245742981861</v>
      </c>
      <c r="BF48" s="13">
        <f t="shared" si="152"/>
        <v>23120.164879153923</v>
      </c>
      <c r="BG48" s="13">
        <f t="shared" si="152"/>
        <v>22289.071231160353</v>
      </c>
      <c r="BH48" s="13">
        <f t="shared" si="152"/>
        <v>21454.9526366346</v>
      </c>
      <c r="BI48" s="13">
        <f t="shared" si="152"/>
        <v>20617.796884111631</v>
      </c>
      <c r="BJ48" s="13">
        <f t="shared" si="152"/>
        <v>19777.591712829708</v>
      </c>
      <c r="BK48" s="13">
        <f t="shared" si="152"/>
        <v>18934.324812531402</v>
      </c>
      <c r="BL48" s="13">
        <f t="shared" si="152"/>
        <v>18087.983823263748</v>
      </c>
      <c r="BM48" s="13">
        <f t="shared" si="152"/>
        <v>17238.556335177669</v>
      </c>
      <c r="BN48" s="13">
        <f t="shared" si="152"/>
        <v>16386.029888326517</v>
      </c>
      <c r="BO48" s="13">
        <f t="shared" si="152"/>
        <v>15530.39197246384</v>
      </c>
      <c r="BP48" s="13">
        <f t="shared" si="152"/>
        <v>14671.630026840343</v>
      </c>
      <c r="BQ48" s="13">
        <f t="shared" si="152"/>
        <v>13809.731439999994</v>
      </c>
      <c r="BR48" s="13">
        <f t="shared" si="152"/>
        <v>13737.535916000001</v>
      </c>
      <c r="BS48" s="13">
        <f t="shared" si="152"/>
        <v>13665.340392000002</v>
      </c>
      <c r="BT48" s="13">
        <f t="shared" si="152"/>
        <v>13593.144868000001</v>
      </c>
      <c r="BU48" s="13">
        <f t="shared" si="152"/>
        <v>13520.949344000002</v>
      </c>
      <c r="BV48" s="13">
        <f t="shared" ref="BV48:DY48" si="153">SUM(BV7+BV11+BV16+BV20+BV25+BV29+BV33+BV37+BV41+BV45)</f>
        <v>13448.75382</v>
      </c>
      <c r="BW48" s="13">
        <f t="shared" si="153"/>
        <v>13376.558295999999</v>
      </c>
      <c r="BX48" s="13">
        <f t="shared" si="153"/>
        <v>13304.362772</v>
      </c>
      <c r="BY48" s="13">
        <f t="shared" si="153"/>
        <v>13232.167247999998</v>
      </c>
      <c r="BZ48" s="13">
        <f t="shared" si="153"/>
        <v>13159.971723999999</v>
      </c>
      <c r="CA48" s="13">
        <f t="shared" si="153"/>
        <v>13087.776199999998</v>
      </c>
      <c r="CB48" s="13">
        <f t="shared" si="153"/>
        <v>13015.580675999998</v>
      </c>
      <c r="CC48" s="13">
        <f t="shared" si="153"/>
        <v>12943.385151999999</v>
      </c>
      <c r="CD48" s="13">
        <f t="shared" si="153"/>
        <v>12871.189627999998</v>
      </c>
      <c r="CE48" s="13">
        <f t="shared" si="153"/>
        <v>12798.994103999999</v>
      </c>
      <c r="CF48" s="13">
        <f t="shared" si="153"/>
        <v>12726.798579999999</v>
      </c>
      <c r="CG48" s="13">
        <f t="shared" si="153"/>
        <v>12654.603056</v>
      </c>
      <c r="CH48" s="13">
        <f t="shared" si="153"/>
        <v>12582.407531999999</v>
      </c>
      <c r="CI48" s="13">
        <f t="shared" si="153"/>
        <v>12510.212007999999</v>
      </c>
      <c r="CJ48" s="13">
        <f t="shared" si="153"/>
        <v>12438.016484</v>
      </c>
      <c r="CK48" s="13">
        <f t="shared" si="153"/>
        <v>12365.820959999999</v>
      </c>
      <c r="CL48" s="13">
        <f t="shared" si="153"/>
        <v>12293.625436</v>
      </c>
      <c r="CM48" s="13">
        <f t="shared" si="153"/>
        <v>12221.429912</v>
      </c>
      <c r="CN48" s="13">
        <f t="shared" si="153"/>
        <v>12149.234387999999</v>
      </c>
      <c r="CO48" s="13">
        <f t="shared" si="153"/>
        <v>2599.0388640000001</v>
      </c>
      <c r="CP48" s="13">
        <f t="shared" si="153"/>
        <v>2526.8433400000004</v>
      </c>
      <c r="CQ48" s="13">
        <f t="shared" si="153"/>
        <v>2454.6478160000001</v>
      </c>
      <c r="CR48" s="13">
        <f t="shared" si="153"/>
        <v>2382.4522919999999</v>
      </c>
      <c r="CS48" s="13">
        <f t="shared" si="153"/>
        <v>2310.2567680000002</v>
      </c>
      <c r="CT48" s="13">
        <f t="shared" si="153"/>
        <v>2238.0612440000004</v>
      </c>
      <c r="CU48" s="13">
        <f t="shared" si="153"/>
        <v>2165.8657200000002</v>
      </c>
      <c r="CV48" s="13">
        <f t="shared" si="153"/>
        <v>2093.670196</v>
      </c>
      <c r="CW48" s="13">
        <f t="shared" si="153"/>
        <v>2021.4746720000003</v>
      </c>
      <c r="CX48" s="13">
        <f t="shared" si="153"/>
        <v>1949.2791480000001</v>
      </c>
      <c r="CY48" s="13">
        <f t="shared" si="153"/>
        <v>1877.0836240000001</v>
      </c>
      <c r="CZ48" s="13">
        <f t="shared" si="153"/>
        <v>1804.8881000000001</v>
      </c>
      <c r="DA48" s="13">
        <f t="shared" si="153"/>
        <v>1732.6925760000001</v>
      </c>
      <c r="DB48" s="13">
        <f t="shared" si="153"/>
        <v>1660.4970520000002</v>
      </c>
      <c r="DC48" s="13">
        <f t="shared" si="153"/>
        <v>1588.301528</v>
      </c>
      <c r="DD48" s="13">
        <f t="shared" si="153"/>
        <v>1516.1060040000002</v>
      </c>
      <c r="DE48" s="13">
        <f t="shared" si="153"/>
        <v>1443.91048</v>
      </c>
      <c r="DF48" s="13">
        <f t="shared" si="153"/>
        <v>1371.714956</v>
      </c>
      <c r="DG48" s="13">
        <f t="shared" si="153"/>
        <v>1299.5194320000001</v>
      </c>
      <c r="DH48" s="13">
        <f t="shared" si="153"/>
        <v>1227.3239080000001</v>
      </c>
      <c r="DI48" s="13">
        <f t="shared" si="153"/>
        <v>1155.1283840000001</v>
      </c>
      <c r="DJ48" s="13">
        <f t="shared" si="153"/>
        <v>1082.9328600000001</v>
      </c>
      <c r="DK48" s="13">
        <f t="shared" si="153"/>
        <v>1010.7373360000001</v>
      </c>
      <c r="DL48" s="13">
        <f t="shared" si="153"/>
        <v>938.54181200000005</v>
      </c>
      <c r="DM48" s="13">
        <f t="shared" si="153"/>
        <v>866.34628800000007</v>
      </c>
      <c r="DN48" s="13">
        <f t="shared" si="153"/>
        <v>794.15076399999998</v>
      </c>
      <c r="DO48" s="13">
        <f t="shared" si="153"/>
        <v>721.95524</v>
      </c>
      <c r="DP48" s="13">
        <f t="shared" si="153"/>
        <v>649.75971600000003</v>
      </c>
      <c r="DQ48" s="13">
        <f t="shared" si="153"/>
        <v>577.56419200000005</v>
      </c>
      <c r="DR48" s="13">
        <f t="shared" si="153"/>
        <v>505.36866800000007</v>
      </c>
      <c r="DS48" s="13">
        <f t="shared" si="153"/>
        <v>433.17314400000004</v>
      </c>
      <c r="DT48" s="13">
        <f t="shared" si="153"/>
        <v>360.97762</v>
      </c>
      <c r="DU48" s="13">
        <f t="shared" si="153"/>
        <v>288.78209600000002</v>
      </c>
      <c r="DV48" s="13">
        <f t="shared" si="153"/>
        <v>216.58657200000002</v>
      </c>
      <c r="DW48" s="13">
        <f t="shared" si="153"/>
        <v>144.39104800000001</v>
      </c>
      <c r="DX48" s="13">
        <f t="shared" si="153"/>
        <v>72.195524000000006</v>
      </c>
      <c r="DY48" s="13">
        <f t="shared" si="153"/>
        <v>0</v>
      </c>
    </row>
    <row r="49" spans="1:129" x14ac:dyDescent="0.45">
      <c r="A49" s="3">
        <v>46022</v>
      </c>
      <c r="B49" s="2" t="s">
        <v>0</v>
      </c>
      <c r="C49" s="8" t="s">
        <v>14</v>
      </c>
      <c r="D49" s="16"/>
      <c r="E49" s="54"/>
      <c r="F49" s="54"/>
      <c r="G49" s="54"/>
      <c r="H49" s="54"/>
      <c r="I49" s="15">
        <f>I3+I12+I21+I34+I38+I42</f>
        <v>155592.38798</v>
      </c>
      <c r="J49" s="15">
        <f t="shared" ref="J49:BU49" si="154">J3+J12+J21+J34+J38+J42</f>
        <v>71811.301543997717</v>
      </c>
      <c r="K49" s="15">
        <f t="shared" si="154"/>
        <v>63693.664574238886</v>
      </c>
      <c r="L49" s="15">
        <f t="shared" si="154"/>
        <v>55562.805626292131</v>
      </c>
      <c r="M49" s="15">
        <f t="shared" si="154"/>
        <v>47418.689160415153</v>
      </c>
      <c r="N49" s="15">
        <f t="shared" si="154"/>
        <v>39261.27954129823</v>
      </c>
      <c r="O49" s="15">
        <f t="shared" si="154"/>
        <v>31090.541037807205</v>
      </c>
      <c r="P49" s="15">
        <f t="shared" si="154"/>
        <v>26087.483489392187</v>
      </c>
      <c r="Q49" s="15">
        <f t="shared" si="154"/>
        <v>21071.025305829091</v>
      </c>
      <c r="R49" s="15">
        <f t="shared" si="154"/>
        <v>16041.130466960398</v>
      </c>
      <c r="S49" s="15">
        <f t="shared" si="154"/>
        <v>10997.762855768591</v>
      </c>
      <c r="T49" s="15">
        <f t="shared" si="154"/>
        <v>10976.027679951638</v>
      </c>
      <c r="U49" s="15">
        <f t="shared" si="154"/>
        <v>7673.5689680000005</v>
      </c>
      <c r="V49" s="15">
        <f t="shared" si="154"/>
        <v>7545.0813085066293</v>
      </c>
      <c r="W49" s="15">
        <f t="shared" si="154"/>
        <v>7416.1399911872404</v>
      </c>
      <c r="X49" s="15">
        <f t="shared" si="154"/>
        <v>7286.7431846618038</v>
      </c>
      <c r="Y49" s="15">
        <f t="shared" si="154"/>
        <v>7156.8890501571505</v>
      </c>
      <c r="Z49" s="15">
        <f t="shared" si="154"/>
        <v>7026.575741477136</v>
      </c>
      <c r="AA49" s="15">
        <f t="shared" si="154"/>
        <v>6895.8014049726708</v>
      </c>
      <c r="AB49" s="15">
        <f t="shared" si="154"/>
        <v>6764.5641795116317</v>
      </c>
      <c r="AC49" s="15">
        <f t="shared" si="154"/>
        <v>6632.8621964486574</v>
      </c>
      <c r="AD49" s="15">
        <f t="shared" si="154"/>
        <v>6500.6935795948166</v>
      </c>
      <c r="AE49" s="15">
        <f t="shared" si="154"/>
        <v>6368.0564451871514</v>
      </c>
      <c r="AF49" s="15">
        <f t="shared" si="154"/>
        <v>6234.9489018581089</v>
      </c>
      <c r="AG49" s="15">
        <f t="shared" si="154"/>
        <v>10120.706729126427</v>
      </c>
      <c r="AH49" s="15">
        <f t="shared" si="154"/>
        <v>9882.1707189067674</v>
      </c>
      <c r="AI49" s="15">
        <f t="shared" si="154"/>
        <v>9642.7675760827606</v>
      </c>
      <c r="AJ49" s="15">
        <f t="shared" si="154"/>
        <v>9402.4938001100545</v>
      </c>
      <c r="AK49" s="15">
        <f t="shared" si="154"/>
        <v>9161.3458763128947</v>
      </c>
      <c r="AL49" s="15">
        <f t="shared" si="154"/>
        <v>8919.3202758270545</v>
      </c>
      <c r="AM49" s="15">
        <f t="shared" si="154"/>
        <v>8676.4134555425735</v>
      </c>
      <c r="AN49" s="15">
        <f t="shared" si="154"/>
        <v>8432.6218580462355</v>
      </c>
      <c r="AO49" s="15">
        <f t="shared" si="154"/>
        <v>8187.9419115638439</v>
      </c>
      <c r="AP49" s="15">
        <f t="shared" si="154"/>
        <v>7942.3700299022294</v>
      </c>
      <c r="AQ49" s="15">
        <f t="shared" si="154"/>
        <v>7695.9026123910562</v>
      </c>
      <c r="AR49" s="15">
        <f t="shared" si="154"/>
        <v>7448.5360438243679</v>
      </c>
      <c r="AS49" s="15">
        <f t="shared" si="154"/>
        <v>25312.422560344286</v>
      </c>
      <c r="AT49" s="15">
        <f t="shared" si="154"/>
        <v>24342.583795936647</v>
      </c>
      <c r="AU49" s="15">
        <f t="shared" si="154"/>
        <v>23368.964352673407</v>
      </c>
      <c r="AV49" s="15">
        <f t="shared" si="154"/>
        <v>22391.548968259129</v>
      </c>
      <c r="AW49" s="15">
        <f t="shared" si="154"/>
        <v>21410.322318785726</v>
      </c>
      <c r="AX49" s="15">
        <f t="shared" si="154"/>
        <v>20425.269018483719</v>
      </c>
      <c r="AY49" s="15">
        <f t="shared" si="154"/>
        <v>19436.373619472532</v>
      </c>
      <c r="AZ49" s="15">
        <f t="shared" si="154"/>
        <v>18443.620611509738</v>
      </c>
      <c r="BA49" s="15">
        <f t="shared" si="154"/>
        <v>17446.994421739317</v>
      </c>
      <c r="BB49" s="15">
        <f t="shared" si="154"/>
        <v>16446.479414438872</v>
      </c>
      <c r="BC49" s="15">
        <f t="shared" si="154"/>
        <v>15442.059890765875</v>
      </c>
      <c r="BD49" s="15">
        <f t="shared" si="154"/>
        <v>14433.72008850282</v>
      </c>
      <c r="BE49" s="15">
        <f t="shared" si="154"/>
        <v>13421.444181801415</v>
      </c>
      <c r="BF49" s="15">
        <f t="shared" si="154"/>
        <v>12405.216280925686</v>
      </c>
      <c r="BG49" s="15">
        <f t="shared" si="154"/>
        <v>11385.020431994086</v>
      </c>
      <c r="BH49" s="15">
        <f t="shared" si="154"/>
        <v>10360.840616720528</v>
      </c>
      <c r="BI49" s="15">
        <f t="shared" si="154"/>
        <v>9332.6607521544029</v>
      </c>
      <c r="BJ49" s="15">
        <f t="shared" si="154"/>
        <v>8300.4646904195215</v>
      </c>
      <c r="BK49" s="15">
        <f t="shared" si="154"/>
        <v>7264.2362184520252</v>
      </c>
      <c r="BL49" s="15">
        <f t="shared" si="154"/>
        <v>6223.9590577372255</v>
      </c>
      <c r="BM49" s="15">
        <f t="shared" si="154"/>
        <v>5179.6168640453834</v>
      </c>
      <c r="BN49" s="15">
        <f t="shared" si="154"/>
        <v>4131.1932271664227</v>
      </c>
      <c r="BO49" s="15">
        <f t="shared" si="154"/>
        <v>3078.6716706435727</v>
      </c>
      <c r="BP49" s="15">
        <f t="shared" si="154"/>
        <v>2022.0356515059389</v>
      </c>
      <c r="BQ49" s="15">
        <f t="shared" si="154"/>
        <v>961.26855999998611</v>
      </c>
      <c r="BR49" s="15">
        <f t="shared" si="154"/>
        <v>945.71408399999996</v>
      </c>
      <c r="BS49" s="15">
        <f t="shared" si="154"/>
        <v>930.15960799999993</v>
      </c>
      <c r="BT49" s="15">
        <f t="shared" si="154"/>
        <v>914.60513200000003</v>
      </c>
      <c r="BU49" s="15">
        <f t="shared" si="154"/>
        <v>899.050656</v>
      </c>
      <c r="BV49" s="15">
        <f t="shared" ref="BV49:DY49" si="155">BV3+BV12+BV21+BV34+BV38+BV42</f>
        <v>883.49617999999998</v>
      </c>
      <c r="BW49" s="15">
        <f t="shared" si="155"/>
        <v>867.94170399999996</v>
      </c>
      <c r="BX49" s="15">
        <f t="shared" si="155"/>
        <v>852.38722800000005</v>
      </c>
      <c r="BY49" s="15">
        <f t="shared" si="155"/>
        <v>836.83275199999991</v>
      </c>
      <c r="BZ49" s="15">
        <f t="shared" si="155"/>
        <v>821.27827600000001</v>
      </c>
      <c r="CA49" s="15">
        <f t="shared" si="155"/>
        <v>805.72379999999998</v>
      </c>
      <c r="CB49" s="15">
        <f t="shared" si="155"/>
        <v>790.16932399999996</v>
      </c>
      <c r="CC49" s="15">
        <f t="shared" si="155"/>
        <v>774.61484799999994</v>
      </c>
      <c r="CD49" s="15">
        <f t="shared" si="155"/>
        <v>759.06037199999992</v>
      </c>
      <c r="CE49" s="15">
        <f t="shared" si="155"/>
        <v>743.50589600000001</v>
      </c>
      <c r="CF49" s="15">
        <f t="shared" si="155"/>
        <v>727.95141999999998</v>
      </c>
      <c r="CG49" s="15">
        <f t="shared" si="155"/>
        <v>712.39694399999996</v>
      </c>
      <c r="CH49" s="15">
        <f t="shared" si="155"/>
        <v>696.84246800000005</v>
      </c>
      <c r="CI49" s="15">
        <f t="shared" si="155"/>
        <v>681.28799200000003</v>
      </c>
      <c r="CJ49" s="15">
        <f t="shared" si="155"/>
        <v>665.73351600000001</v>
      </c>
      <c r="CK49" s="15">
        <f t="shared" si="155"/>
        <v>650.17903999999999</v>
      </c>
      <c r="CL49" s="15">
        <f t="shared" si="155"/>
        <v>634.62456399999996</v>
      </c>
      <c r="CM49" s="15">
        <f t="shared" si="155"/>
        <v>619.07008799999994</v>
      </c>
      <c r="CN49" s="15">
        <f t="shared" si="155"/>
        <v>603.51561200000003</v>
      </c>
      <c r="CO49" s="15">
        <f t="shared" si="155"/>
        <v>559.96113600000001</v>
      </c>
      <c r="CP49" s="15">
        <f t="shared" si="155"/>
        <v>544.4066600000001</v>
      </c>
      <c r="CQ49" s="15">
        <f t="shared" si="155"/>
        <v>528.85218400000008</v>
      </c>
      <c r="CR49" s="15">
        <f t="shared" si="155"/>
        <v>513.29770800000006</v>
      </c>
      <c r="CS49" s="15">
        <f t="shared" si="155"/>
        <v>497.74323199999998</v>
      </c>
      <c r="CT49" s="15">
        <f t="shared" si="155"/>
        <v>482.18875600000001</v>
      </c>
      <c r="CU49" s="15">
        <f t="shared" si="155"/>
        <v>466.63427999999999</v>
      </c>
      <c r="CV49" s="15">
        <f t="shared" si="155"/>
        <v>451.07980399999997</v>
      </c>
      <c r="CW49" s="15">
        <f t="shared" si="155"/>
        <v>435.525328</v>
      </c>
      <c r="CX49" s="15">
        <f t="shared" si="155"/>
        <v>419.97085199999998</v>
      </c>
      <c r="CY49" s="15">
        <f t="shared" si="155"/>
        <v>404.41637599999996</v>
      </c>
      <c r="CZ49" s="15">
        <f t="shared" si="155"/>
        <v>388.86189999999999</v>
      </c>
      <c r="DA49" s="15">
        <f t="shared" si="155"/>
        <v>373.30742399999997</v>
      </c>
      <c r="DB49" s="15">
        <f t="shared" si="155"/>
        <v>357.752948</v>
      </c>
      <c r="DC49" s="15">
        <f t="shared" si="155"/>
        <v>342.19847199999998</v>
      </c>
      <c r="DD49" s="15">
        <f t="shared" si="155"/>
        <v>326.64399600000002</v>
      </c>
      <c r="DE49" s="15">
        <f t="shared" si="155"/>
        <v>311.08951999999999</v>
      </c>
      <c r="DF49" s="15">
        <f t="shared" si="155"/>
        <v>295.53504399999997</v>
      </c>
      <c r="DG49" s="15">
        <f t="shared" si="155"/>
        <v>279.98056800000001</v>
      </c>
      <c r="DH49" s="15">
        <f t="shared" si="155"/>
        <v>264.42609200000004</v>
      </c>
      <c r="DI49" s="15">
        <f t="shared" si="155"/>
        <v>248.87161599999999</v>
      </c>
      <c r="DJ49" s="15">
        <f t="shared" si="155"/>
        <v>233.31713999999999</v>
      </c>
      <c r="DK49" s="15">
        <f t="shared" si="155"/>
        <v>217.762664</v>
      </c>
      <c r="DL49" s="15">
        <f t="shared" si="155"/>
        <v>202.20818799999998</v>
      </c>
      <c r="DM49" s="15">
        <f t="shared" si="155"/>
        <v>186.65371199999998</v>
      </c>
      <c r="DN49" s="15">
        <f t="shared" si="155"/>
        <v>171.09923599999999</v>
      </c>
      <c r="DO49" s="15">
        <f t="shared" si="155"/>
        <v>155.54476</v>
      </c>
      <c r="DP49" s="15">
        <f t="shared" si="155"/>
        <v>139.990284</v>
      </c>
      <c r="DQ49" s="15">
        <f t="shared" si="155"/>
        <v>124.43580799999999</v>
      </c>
      <c r="DR49" s="15">
        <f t="shared" si="155"/>
        <v>108.881332</v>
      </c>
      <c r="DS49" s="15">
        <f t="shared" si="155"/>
        <v>93.326855999999992</v>
      </c>
      <c r="DT49" s="15">
        <f t="shared" si="155"/>
        <v>77.772379999999998</v>
      </c>
      <c r="DU49" s="15">
        <f t="shared" si="155"/>
        <v>62.217903999999997</v>
      </c>
      <c r="DV49" s="15">
        <f t="shared" si="155"/>
        <v>46.663427999999996</v>
      </c>
      <c r="DW49" s="15">
        <f t="shared" si="155"/>
        <v>31.108951999999999</v>
      </c>
      <c r="DX49" s="15">
        <f t="shared" si="155"/>
        <v>15.554475999999999</v>
      </c>
      <c r="DY49" s="15">
        <f t="shared" si="155"/>
        <v>0</v>
      </c>
    </row>
    <row r="50" spans="1:129" x14ac:dyDescent="0.45">
      <c r="A50" s="3">
        <v>46022</v>
      </c>
      <c r="B50" s="2" t="s">
        <v>19</v>
      </c>
      <c r="C50" s="4" t="s">
        <v>20</v>
      </c>
      <c r="D50" s="16"/>
      <c r="E50" s="54"/>
      <c r="F50" s="54"/>
      <c r="G50" s="54"/>
      <c r="H50" s="54"/>
      <c r="I50" s="13">
        <f>I51+I55</f>
        <v>74095.3</v>
      </c>
      <c r="J50" s="58">
        <f>SUM(J51:J55)</f>
        <v>73528.240000000005</v>
      </c>
      <c r="K50" s="58">
        <f t="shared" ref="K50:BV50" si="156">SUM(K51:K55)</f>
        <v>73150.200000000012</v>
      </c>
      <c r="L50" s="58">
        <f t="shared" si="156"/>
        <v>72772.160000000003</v>
      </c>
      <c r="M50" s="58">
        <f t="shared" si="156"/>
        <v>72394.12000000001</v>
      </c>
      <c r="N50" s="58">
        <f t="shared" si="156"/>
        <v>72205.100000000006</v>
      </c>
      <c r="O50" s="58">
        <f t="shared" si="156"/>
        <v>72205.100000000006</v>
      </c>
      <c r="P50" s="58">
        <f t="shared" si="156"/>
        <v>72205.100000000006</v>
      </c>
      <c r="Q50" s="58">
        <f t="shared" si="156"/>
        <v>72205.100000000006</v>
      </c>
      <c r="R50" s="58">
        <f t="shared" si="156"/>
        <v>72205.100000000006</v>
      </c>
      <c r="S50" s="58">
        <f t="shared" si="156"/>
        <v>72205.100000000006</v>
      </c>
      <c r="T50" s="58">
        <f t="shared" si="156"/>
        <v>72205.100000000006</v>
      </c>
      <c r="U50" s="97">
        <f t="shared" si="156"/>
        <v>72205.100000000006</v>
      </c>
      <c r="V50" s="58">
        <f t="shared" si="156"/>
        <v>72205.100000000006</v>
      </c>
      <c r="W50" s="58">
        <f t="shared" si="156"/>
        <v>72205.100000000006</v>
      </c>
      <c r="X50" s="58">
        <f t="shared" si="156"/>
        <v>72205.100000000006</v>
      </c>
      <c r="Y50" s="58">
        <f t="shared" si="156"/>
        <v>72205.100000000006</v>
      </c>
      <c r="Z50" s="58">
        <f t="shared" si="156"/>
        <v>72205.100000000006</v>
      </c>
      <c r="AA50" s="58">
        <f t="shared" si="156"/>
        <v>72205.100000000006</v>
      </c>
      <c r="AB50" s="58">
        <f t="shared" si="156"/>
        <v>72205.100000000006</v>
      </c>
      <c r="AC50" s="58">
        <f t="shared" si="156"/>
        <v>72205.100000000006</v>
      </c>
      <c r="AD50" s="58">
        <f t="shared" si="156"/>
        <v>72205.100000000006</v>
      </c>
      <c r="AE50" s="58">
        <f t="shared" si="156"/>
        <v>72205.100000000006</v>
      </c>
      <c r="AF50" s="58">
        <f t="shared" si="156"/>
        <v>72205.100000000006</v>
      </c>
      <c r="AG50" s="103">
        <f t="shared" si="156"/>
        <v>0</v>
      </c>
      <c r="AH50" s="58">
        <f t="shared" si="156"/>
        <v>0</v>
      </c>
      <c r="AI50" s="58">
        <f t="shared" si="156"/>
        <v>0</v>
      </c>
      <c r="AJ50" s="58">
        <f t="shared" si="156"/>
        <v>0</v>
      </c>
      <c r="AK50" s="58">
        <f t="shared" si="156"/>
        <v>0</v>
      </c>
      <c r="AL50" s="58">
        <f t="shared" si="156"/>
        <v>0</v>
      </c>
      <c r="AM50" s="58">
        <f t="shared" si="156"/>
        <v>0</v>
      </c>
      <c r="AN50" s="58">
        <f t="shared" si="156"/>
        <v>0</v>
      </c>
      <c r="AO50" s="58">
        <f t="shared" si="156"/>
        <v>0</v>
      </c>
      <c r="AP50" s="58">
        <f t="shared" si="156"/>
        <v>0</v>
      </c>
      <c r="AQ50" s="58">
        <f t="shared" si="156"/>
        <v>0</v>
      </c>
      <c r="AR50" s="58">
        <f t="shared" si="156"/>
        <v>0</v>
      </c>
      <c r="AS50" s="109">
        <f t="shared" si="156"/>
        <v>0</v>
      </c>
      <c r="AT50" s="58">
        <f t="shared" si="156"/>
        <v>0</v>
      </c>
      <c r="AU50" s="58">
        <f t="shared" si="156"/>
        <v>0</v>
      </c>
      <c r="AV50" s="58">
        <f t="shared" si="156"/>
        <v>0</v>
      </c>
      <c r="AW50" s="58">
        <f t="shared" si="156"/>
        <v>0</v>
      </c>
      <c r="AX50" s="58">
        <f t="shared" si="156"/>
        <v>0</v>
      </c>
      <c r="AY50" s="58">
        <f t="shared" si="156"/>
        <v>0</v>
      </c>
      <c r="AZ50" s="58">
        <f t="shared" si="156"/>
        <v>0</v>
      </c>
      <c r="BA50" s="58">
        <f t="shared" si="156"/>
        <v>0</v>
      </c>
      <c r="BB50" s="58">
        <f t="shared" si="156"/>
        <v>0</v>
      </c>
      <c r="BC50" s="58">
        <f t="shared" si="156"/>
        <v>0</v>
      </c>
      <c r="BD50" s="58">
        <f t="shared" si="156"/>
        <v>0</v>
      </c>
      <c r="BE50" s="58">
        <f t="shared" si="156"/>
        <v>0</v>
      </c>
      <c r="BF50" s="58">
        <f t="shared" si="156"/>
        <v>0</v>
      </c>
      <c r="BG50" s="58">
        <f t="shared" si="156"/>
        <v>0</v>
      </c>
      <c r="BH50" s="58">
        <f t="shared" si="156"/>
        <v>0</v>
      </c>
      <c r="BI50" s="58">
        <f t="shared" si="156"/>
        <v>0</v>
      </c>
      <c r="BJ50" s="58">
        <f t="shared" si="156"/>
        <v>0</v>
      </c>
      <c r="BK50" s="58">
        <f t="shared" si="156"/>
        <v>0</v>
      </c>
      <c r="BL50" s="58">
        <f t="shared" si="156"/>
        <v>0</v>
      </c>
      <c r="BM50" s="58">
        <f t="shared" si="156"/>
        <v>0</v>
      </c>
      <c r="BN50" s="58">
        <f t="shared" si="156"/>
        <v>0</v>
      </c>
      <c r="BO50" s="58">
        <f t="shared" si="156"/>
        <v>0</v>
      </c>
      <c r="BP50" s="58">
        <f t="shared" si="156"/>
        <v>0</v>
      </c>
      <c r="BQ50" s="58">
        <f t="shared" si="156"/>
        <v>0</v>
      </c>
      <c r="BR50" s="58">
        <f t="shared" si="156"/>
        <v>0</v>
      </c>
      <c r="BS50" s="58">
        <f t="shared" si="156"/>
        <v>0</v>
      </c>
      <c r="BT50" s="58">
        <f t="shared" si="156"/>
        <v>0</v>
      </c>
      <c r="BU50" s="58">
        <f t="shared" si="156"/>
        <v>0</v>
      </c>
      <c r="BV50" s="58">
        <f t="shared" si="156"/>
        <v>0</v>
      </c>
      <c r="BW50" s="58">
        <f t="shared" ref="BW50:DY50" si="157">SUM(BW51:BW55)</f>
        <v>0</v>
      </c>
      <c r="BX50" s="58">
        <f t="shared" si="157"/>
        <v>0</v>
      </c>
      <c r="BY50" s="58">
        <f t="shared" si="157"/>
        <v>0</v>
      </c>
      <c r="BZ50" s="58">
        <f t="shared" si="157"/>
        <v>0</v>
      </c>
      <c r="CA50" s="58">
        <f t="shared" si="157"/>
        <v>0</v>
      </c>
      <c r="CB50" s="58">
        <f t="shared" si="157"/>
        <v>0</v>
      </c>
      <c r="CC50" s="58">
        <f t="shared" si="157"/>
        <v>0</v>
      </c>
      <c r="CD50" s="58">
        <f t="shared" si="157"/>
        <v>0</v>
      </c>
      <c r="CE50" s="58">
        <f t="shared" si="157"/>
        <v>0</v>
      </c>
      <c r="CF50" s="58">
        <f t="shared" si="157"/>
        <v>0</v>
      </c>
      <c r="CG50" s="58">
        <f t="shared" si="157"/>
        <v>0</v>
      </c>
      <c r="CH50" s="58">
        <f t="shared" si="157"/>
        <v>0</v>
      </c>
      <c r="CI50" s="58">
        <f t="shared" si="157"/>
        <v>0</v>
      </c>
      <c r="CJ50" s="58">
        <f t="shared" si="157"/>
        <v>0</v>
      </c>
      <c r="CK50" s="58">
        <f t="shared" si="157"/>
        <v>0</v>
      </c>
      <c r="CL50" s="58">
        <f t="shared" si="157"/>
        <v>0</v>
      </c>
      <c r="CM50" s="58">
        <f t="shared" si="157"/>
        <v>0</v>
      </c>
      <c r="CN50" s="58">
        <f t="shared" si="157"/>
        <v>0</v>
      </c>
      <c r="CO50" s="58">
        <f t="shared" si="157"/>
        <v>0</v>
      </c>
      <c r="CP50" s="58">
        <f t="shared" si="157"/>
        <v>0</v>
      </c>
      <c r="CQ50" s="58">
        <f t="shared" si="157"/>
        <v>0</v>
      </c>
      <c r="CR50" s="58">
        <f t="shared" si="157"/>
        <v>0</v>
      </c>
      <c r="CS50" s="58">
        <f t="shared" si="157"/>
        <v>0</v>
      </c>
      <c r="CT50" s="58">
        <f t="shared" si="157"/>
        <v>0</v>
      </c>
      <c r="CU50" s="58">
        <f t="shared" si="157"/>
        <v>0</v>
      </c>
      <c r="CV50" s="58">
        <f t="shared" si="157"/>
        <v>0</v>
      </c>
      <c r="CW50" s="58">
        <f t="shared" si="157"/>
        <v>0</v>
      </c>
      <c r="CX50" s="58">
        <f t="shared" si="157"/>
        <v>0</v>
      </c>
      <c r="CY50" s="58">
        <f t="shared" si="157"/>
        <v>0</v>
      </c>
      <c r="CZ50" s="58">
        <f t="shared" si="157"/>
        <v>0</v>
      </c>
      <c r="DA50" s="58">
        <f t="shared" si="157"/>
        <v>0</v>
      </c>
      <c r="DB50" s="58">
        <f t="shared" si="157"/>
        <v>0</v>
      </c>
      <c r="DC50" s="58">
        <f t="shared" si="157"/>
        <v>0</v>
      </c>
      <c r="DD50" s="58">
        <f t="shared" si="157"/>
        <v>0</v>
      </c>
      <c r="DE50" s="58">
        <f t="shared" si="157"/>
        <v>0</v>
      </c>
      <c r="DF50" s="58">
        <f t="shared" si="157"/>
        <v>0</v>
      </c>
      <c r="DG50" s="58">
        <f t="shared" si="157"/>
        <v>0</v>
      </c>
      <c r="DH50" s="58">
        <f t="shared" si="157"/>
        <v>0</v>
      </c>
      <c r="DI50" s="58">
        <f t="shared" si="157"/>
        <v>0</v>
      </c>
      <c r="DJ50" s="58">
        <f t="shared" si="157"/>
        <v>0</v>
      </c>
      <c r="DK50" s="58">
        <f t="shared" si="157"/>
        <v>0</v>
      </c>
      <c r="DL50" s="58">
        <f t="shared" si="157"/>
        <v>0</v>
      </c>
      <c r="DM50" s="58">
        <f t="shared" si="157"/>
        <v>0</v>
      </c>
      <c r="DN50" s="58">
        <f t="shared" si="157"/>
        <v>0</v>
      </c>
      <c r="DO50" s="58">
        <f t="shared" si="157"/>
        <v>0</v>
      </c>
      <c r="DP50" s="58">
        <f t="shared" si="157"/>
        <v>0</v>
      </c>
      <c r="DQ50" s="58">
        <f t="shared" si="157"/>
        <v>0</v>
      </c>
      <c r="DR50" s="58">
        <f t="shared" si="157"/>
        <v>0</v>
      </c>
      <c r="DS50" s="58">
        <f t="shared" si="157"/>
        <v>0</v>
      </c>
      <c r="DT50" s="58">
        <f t="shared" si="157"/>
        <v>0</v>
      </c>
      <c r="DU50" s="58">
        <f t="shared" si="157"/>
        <v>0</v>
      </c>
      <c r="DV50" s="58">
        <f t="shared" si="157"/>
        <v>0</v>
      </c>
      <c r="DW50" s="58">
        <f t="shared" si="157"/>
        <v>0</v>
      </c>
      <c r="DX50" s="58">
        <f t="shared" si="157"/>
        <v>0</v>
      </c>
      <c r="DY50" s="58">
        <f t="shared" si="157"/>
        <v>0</v>
      </c>
    </row>
    <row r="51" spans="1:129" x14ac:dyDescent="0.45">
      <c r="A51" s="3">
        <v>46022</v>
      </c>
      <c r="B51" s="2" t="s">
        <v>19</v>
      </c>
      <c r="C51" s="6" t="s">
        <v>5</v>
      </c>
      <c r="D51" s="17">
        <v>0</v>
      </c>
      <c r="E51" s="2" t="s">
        <v>48</v>
      </c>
      <c r="F51" s="2">
        <v>4</v>
      </c>
      <c r="G51" s="2" t="s">
        <v>45</v>
      </c>
      <c r="H51" s="2">
        <v>4</v>
      </c>
      <c r="I51" s="14">
        <v>1890.2</v>
      </c>
      <c r="J51" s="55">
        <f>IF(J$1&lt;=$F51,$I51*(90%-(20%*J$1)),0)</f>
        <v>1323.1399999999999</v>
      </c>
      <c r="K51" s="55">
        <f t="shared" ref="K51:BV51" si="158">IF(K$1&lt;=$F51,$I51*(90%-(20%*K$1)),0)</f>
        <v>945.1</v>
      </c>
      <c r="L51" s="55">
        <f t="shared" si="158"/>
        <v>567.05999999999983</v>
      </c>
      <c r="M51" s="55">
        <f t="shared" si="158"/>
        <v>189.01999999999995</v>
      </c>
      <c r="N51" s="55">
        <f t="shared" si="158"/>
        <v>0</v>
      </c>
      <c r="O51" s="55">
        <f t="shared" si="158"/>
        <v>0</v>
      </c>
      <c r="P51" s="55">
        <f t="shared" si="158"/>
        <v>0</v>
      </c>
      <c r="Q51" s="55">
        <f t="shared" si="158"/>
        <v>0</v>
      </c>
      <c r="R51" s="55">
        <f t="shared" si="158"/>
        <v>0</v>
      </c>
      <c r="S51" s="55">
        <f t="shared" si="158"/>
        <v>0</v>
      </c>
      <c r="T51" s="55">
        <f t="shared" si="158"/>
        <v>0</v>
      </c>
      <c r="U51" s="96">
        <f t="shared" si="158"/>
        <v>0</v>
      </c>
      <c r="V51" s="55">
        <f t="shared" si="158"/>
        <v>0</v>
      </c>
      <c r="W51" s="55">
        <f t="shared" si="158"/>
        <v>0</v>
      </c>
      <c r="X51" s="55">
        <f t="shared" si="158"/>
        <v>0</v>
      </c>
      <c r="Y51" s="55">
        <f t="shared" si="158"/>
        <v>0</v>
      </c>
      <c r="Z51" s="55">
        <f t="shared" si="158"/>
        <v>0</v>
      </c>
      <c r="AA51" s="55">
        <f t="shared" si="158"/>
        <v>0</v>
      </c>
      <c r="AB51" s="55">
        <f t="shared" si="158"/>
        <v>0</v>
      </c>
      <c r="AC51" s="55">
        <f t="shared" si="158"/>
        <v>0</v>
      </c>
      <c r="AD51" s="55">
        <f t="shared" si="158"/>
        <v>0</v>
      </c>
      <c r="AE51" s="55">
        <f t="shared" si="158"/>
        <v>0</v>
      </c>
      <c r="AF51" s="55">
        <f t="shared" si="158"/>
        <v>0</v>
      </c>
      <c r="AG51" s="102">
        <f t="shared" si="158"/>
        <v>0</v>
      </c>
      <c r="AH51" s="55">
        <f t="shared" si="158"/>
        <v>0</v>
      </c>
      <c r="AI51" s="55">
        <f t="shared" si="158"/>
        <v>0</v>
      </c>
      <c r="AJ51" s="55">
        <f t="shared" si="158"/>
        <v>0</v>
      </c>
      <c r="AK51" s="55">
        <f t="shared" si="158"/>
        <v>0</v>
      </c>
      <c r="AL51" s="55">
        <f t="shared" si="158"/>
        <v>0</v>
      </c>
      <c r="AM51" s="55">
        <f t="shared" si="158"/>
        <v>0</v>
      </c>
      <c r="AN51" s="55">
        <f t="shared" si="158"/>
        <v>0</v>
      </c>
      <c r="AO51" s="55">
        <f t="shared" si="158"/>
        <v>0</v>
      </c>
      <c r="AP51" s="55">
        <f t="shared" si="158"/>
        <v>0</v>
      </c>
      <c r="AQ51" s="55">
        <f t="shared" si="158"/>
        <v>0</v>
      </c>
      <c r="AR51" s="55">
        <f t="shared" si="158"/>
        <v>0</v>
      </c>
      <c r="AS51" s="108">
        <f t="shared" si="158"/>
        <v>0</v>
      </c>
      <c r="AT51" s="55">
        <f t="shared" si="158"/>
        <v>0</v>
      </c>
      <c r="AU51" s="55">
        <f t="shared" si="158"/>
        <v>0</v>
      </c>
      <c r="AV51" s="55">
        <f t="shared" si="158"/>
        <v>0</v>
      </c>
      <c r="AW51" s="55">
        <f t="shared" si="158"/>
        <v>0</v>
      </c>
      <c r="AX51" s="55">
        <f t="shared" si="158"/>
        <v>0</v>
      </c>
      <c r="AY51" s="55">
        <f t="shared" si="158"/>
        <v>0</v>
      </c>
      <c r="AZ51" s="55">
        <f t="shared" si="158"/>
        <v>0</v>
      </c>
      <c r="BA51" s="55">
        <f t="shared" si="158"/>
        <v>0</v>
      </c>
      <c r="BB51" s="55">
        <f t="shared" si="158"/>
        <v>0</v>
      </c>
      <c r="BC51" s="55">
        <f t="shared" si="158"/>
        <v>0</v>
      </c>
      <c r="BD51" s="55">
        <f t="shared" si="158"/>
        <v>0</v>
      </c>
      <c r="BE51" s="55">
        <f t="shared" si="158"/>
        <v>0</v>
      </c>
      <c r="BF51" s="55">
        <f t="shared" si="158"/>
        <v>0</v>
      </c>
      <c r="BG51" s="55">
        <f t="shared" si="158"/>
        <v>0</v>
      </c>
      <c r="BH51" s="55">
        <f t="shared" si="158"/>
        <v>0</v>
      </c>
      <c r="BI51" s="55">
        <f t="shared" si="158"/>
        <v>0</v>
      </c>
      <c r="BJ51" s="55">
        <f t="shared" si="158"/>
        <v>0</v>
      </c>
      <c r="BK51" s="55">
        <f t="shared" si="158"/>
        <v>0</v>
      </c>
      <c r="BL51" s="55">
        <f t="shared" si="158"/>
        <v>0</v>
      </c>
      <c r="BM51" s="55">
        <f t="shared" si="158"/>
        <v>0</v>
      </c>
      <c r="BN51" s="55">
        <f t="shared" si="158"/>
        <v>0</v>
      </c>
      <c r="BO51" s="55">
        <f t="shared" si="158"/>
        <v>0</v>
      </c>
      <c r="BP51" s="55">
        <f t="shared" si="158"/>
        <v>0</v>
      </c>
      <c r="BQ51" s="55">
        <f t="shared" si="158"/>
        <v>0</v>
      </c>
      <c r="BR51" s="55">
        <f t="shared" si="158"/>
        <v>0</v>
      </c>
      <c r="BS51" s="55">
        <f t="shared" si="158"/>
        <v>0</v>
      </c>
      <c r="BT51" s="55">
        <f t="shared" si="158"/>
        <v>0</v>
      </c>
      <c r="BU51" s="55">
        <f t="shared" si="158"/>
        <v>0</v>
      </c>
      <c r="BV51" s="55">
        <f t="shared" si="158"/>
        <v>0</v>
      </c>
      <c r="BW51" s="55">
        <f t="shared" ref="BW51:DY51" si="159">IF(BW$1&lt;=$F51,$I51*(90%-(20%*BW$1)),0)</f>
        <v>0</v>
      </c>
      <c r="BX51" s="55">
        <f t="shared" si="159"/>
        <v>0</v>
      </c>
      <c r="BY51" s="55">
        <f t="shared" si="159"/>
        <v>0</v>
      </c>
      <c r="BZ51" s="55">
        <f t="shared" si="159"/>
        <v>0</v>
      </c>
      <c r="CA51" s="55">
        <f t="shared" si="159"/>
        <v>0</v>
      </c>
      <c r="CB51" s="55">
        <f t="shared" si="159"/>
        <v>0</v>
      </c>
      <c r="CC51" s="55">
        <f t="shared" si="159"/>
        <v>0</v>
      </c>
      <c r="CD51" s="55">
        <f t="shared" si="159"/>
        <v>0</v>
      </c>
      <c r="CE51" s="55">
        <f t="shared" si="159"/>
        <v>0</v>
      </c>
      <c r="CF51" s="55">
        <f t="shared" si="159"/>
        <v>0</v>
      </c>
      <c r="CG51" s="55">
        <f t="shared" si="159"/>
        <v>0</v>
      </c>
      <c r="CH51" s="55">
        <f t="shared" si="159"/>
        <v>0</v>
      </c>
      <c r="CI51" s="55">
        <f t="shared" si="159"/>
        <v>0</v>
      </c>
      <c r="CJ51" s="55">
        <f t="shared" si="159"/>
        <v>0</v>
      </c>
      <c r="CK51" s="55">
        <f t="shared" si="159"/>
        <v>0</v>
      </c>
      <c r="CL51" s="55">
        <f t="shared" si="159"/>
        <v>0</v>
      </c>
      <c r="CM51" s="55">
        <f t="shared" si="159"/>
        <v>0</v>
      </c>
      <c r="CN51" s="55">
        <f t="shared" si="159"/>
        <v>0</v>
      </c>
      <c r="CO51" s="55">
        <f t="shared" si="159"/>
        <v>0</v>
      </c>
      <c r="CP51" s="55">
        <f t="shared" si="159"/>
        <v>0</v>
      </c>
      <c r="CQ51" s="55">
        <f t="shared" si="159"/>
        <v>0</v>
      </c>
      <c r="CR51" s="55">
        <f t="shared" si="159"/>
        <v>0</v>
      </c>
      <c r="CS51" s="55">
        <f t="shared" si="159"/>
        <v>0</v>
      </c>
      <c r="CT51" s="55">
        <f t="shared" si="159"/>
        <v>0</v>
      </c>
      <c r="CU51" s="55">
        <f t="shared" si="159"/>
        <v>0</v>
      </c>
      <c r="CV51" s="55">
        <f t="shared" si="159"/>
        <v>0</v>
      </c>
      <c r="CW51" s="55">
        <f t="shared" si="159"/>
        <v>0</v>
      </c>
      <c r="CX51" s="55">
        <f t="shared" si="159"/>
        <v>0</v>
      </c>
      <c r="CY51" s="55">
        <f t="shared" si="159"/>
        <v>0</v>
      </c>
      <c r="CZ51" s="55">
        <f t="shared" si="159"/>
        <v>0</v>
      </c>
      <c r="DA51" s="55">
        <f t="shared" si="159"/>
        <v>0</v>
      </c>
      <c r="DB51" s="55">
        <f t="shared" si="159"/>
        <v>0</v>
      </c>
      <c r="DC51" s="55">
        <f t="shared" si="159"/>
        <v>0</v>
      </c>
      <c r="DD51" s="55">
        <f t="shared" si="159"/>
        <v>0</v>
      </c>
      <c r="DE51" s="55">
        <f t="shared" si="159"/>
        <v>0</v>
      </c>
      <c r="DF51" s="55">
        <f t="shared" si="159"/>
        <v>0</v>
      </c>
      <c r="DG51" s="55">
        <f t="shared" si="159"/>
        <v>0</v>
      </c>
      <c r="DH51" s="55">
        <f t="shared" si="159"/>
        <v>0</v>
      </c>
      <c r="DI51" s="55">
        <f t="shared" si="159"/>
        <v>0</v>
      </c>
      <c r="DJ51" s="55">
        <f t="shared" si="159"/>
        <v>0</v>
      </c>
      <c r="DK51" s="55">
        <f t="shared" si="159"/>
        <v>0</v>
      </c>
      <c r="DL51" s="55">
        <f t="shared" si="159"/>
        <v>0</v>
      </c>
      <c r="DM51" s="55">
        <f t="shared" si="159"/>
        <v>0</v>
      </c>
      <c r="DN51" s="55">
        <f t="shared" si="159"/>
        <v>0</v>
      </c>
      <c r="DO51" s="55">
        <f t="shared" si="159"/>
        <v>0</v>
      </c>
      <c r="DP51" s="55">
        <f t="shared" si="159"/>
        <v>0</v>
      </c>
      <c r="DQ51" s="55">
        <f t="shared" si="159"/>
        <v>0</v>
      </c>
      <c r="DR51" s="55">
        <f t="shared" si="159"/>
        <v>0</v>
      </c>
      <c r="DS51" s="55">
        <f t="shared" si="159"/>
        <v>0</v>
      </c>
      <c r="DT51" s="55">
        <f t="shared" si="159"/>
        <v>0</v>
      </c>
      <c r="DU51" s="55">
        <f t="shared" si="159"/>
        <v>0</v>
      </c>
      <c r="DV51" s="55">
        <f t="shared" si="159"/>
        <v>0</v>
      </c>
      <c r="DW51" s="55">
        <f t="shared" si="159"/>
        <v>0</v>
      </c>
      <c r="DX51" s="55">
        <f t="shared" si="159"/>
        <v>0</v>
      </c>
      <c r="DY51" s="55">
        <f t="shared" si="159"/>
        <v>0</v>
      </c>
    </row>
    <row r="52" spans="1:129" x14ac:dyDescent="0.45">
      <c r="A52" s="3"/>
      <c r="B52" s="2"/>
      <c r="C52" s="121" t="s">
        <v>268</v>
      </c>
      <c r="D52" s="17"/>
      <c r="E52" s="2"/>
      <c r="F52" s="2"/>
      <c r="G52" s="2"/>
      <c r="H52" s="2"/>
      <c r="I52" s="13"/>
      <c r="J52" s="58"/>
      <c r="K52" s="58"/>
      <c r="L52" s="58"/>
      <c r="M52" s="58"/>
      <c r="N52" s="58"/>
      <c r="O52" s="58"/>
      <c r="P52" s="58"/>
      <c r="Q52" s="58"/>
      <c r="R52" s="58"/>
      <c r="S52" s="58"/>
      <c r="T52" s="58"/>
      <c r="U52" s="97"/>
      <c r="V52" s="58"/>
      <c r="W52" s="58"/>
      <c r="X52" s="58"/>
      <c r="Y52" s="58"/>
      <c r="Z52" s="58"/>
      <c r="AA52" s="58"/>
      <c r="AB52" s="58"/>
      <c r="AC52" s="58"/>
      <c r="AD52" s="58"/>
      <c r="AE52" s="58"/>
      <c r="AF52" s="58"/>
      <c r="AG52" s="103"/>
      <c r="AH52" s="58"/>
      <c r="AI52" s="58"/>
      <c r="AJ52" s="58"/>
      <c r="AK52" s="58"/>
      <c r="AL52" s="58"/>
      <c r="AM52" s="58"/>
      <c r="AN52" s="58"/>
      <c r="AO52" s="58"/>
      <c r="AP52" s="58"/>
      <c r="AQ52" s="58"/>
      <c r="AR52" s="58"/>
      <c r="AS52" s="109"/>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row>
    <row r="53" spans="1:129" x14ac:dyDescent="0.45">
      <c r="A53" s="3"/>
      <c r="B53" s="2"/>
      <c r="C53" s="122" t="s">
        <v>269</v>
      </c>
      <c r="D53" s="17"/>
      <c r="E53" s="2"/>
      <c r="F53" s="2"/>
      <c r="G53" s="2"/>
      <c r="H53" s="2"/>
      <c r="I53" s="13"/>
      <c r="J53" s="58"/>
      <c r="K53" s="58"/>
      <c r="L53" s="58"/>
      <c r="M53" s="58"/>
      <c r="N53" s="58"/>
      <c r="O53" s="58"/>
      <c r="P53" s="58"/>
      <c r="Q53" s="58"/>
      <c r="R53" s="58"/>
      <c r="S53" s="58"/>
      <c r="T53" s="58"/>
      <c r="U53" s="97"/>
      <c r="V53" s="58"/>
      <c r="W53" s="58"/>
      <c r="X53" s="58"/>
      <c r="Y53" s="58"/>
      <c r="Z53" s="58"/>
      <c r="AA53" s="58"/>
      <c r="AB53" s="58"/>
      <c r="AC53" s="58"/>
      <c r="AD53" s="58"/>
      <c r="AE53" s="58"/>
      <c r="AF53" s="58"/>
      <c r="AG53" s="103"/>
      <c r="AH53" s="58"/>
      <c r="AI53" s="58"/>
      <c r="AJ53" s="58"/>
      <c r="AK53" s="58"/>
      <c r="AL53" s="58"/>
      <c r="AM53" s="58"/>
      <c r="AN53" s="58"/>
      <c r="AO53" s="58"/>
      <c r="AP53" s="58"/>
      <c r="AQ53" s="58"/>
      <c r="AR53" s="58"/>
      <c r="AS53" s="109"/>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row>
    <row r="54" spans="1:129" x14ac:dyDescent="0.45">
      <c r="A54" s="3"/>
      <c r="B54" s="2"/>
      <c r="C54" s="125" t="s">
        <v>270</v>
      </c>
      <c r="D54" s="17"/>
      <c r="E54" s="2"/>
      <c r="F54" s="2"/>
      <c r="G54" s="2"/>
      <c r="H54" s="2"/>
      <c r="I54" s="13"/>
      <c r="J54" s="58"/>
      <c r="K54" s="58"/>
      <c r="L54" s="58"/>
      <c r="M54" s="58"/>
      <c r="N54" s="58"/>
      <c r="O54" s="58"/>
      <c r="P54" s="58"/>
      <c r="Q54" s="58"/>
      <c r="R54" s="58"/>
      <c r="S54" s="58"/>
      <c r="T54" s="58"/>
      <c r="U54" s="97"/>
      <c r="V54" s="58"/>
      <c r="W54" s="58"/>
      <c r="X54" s="58"/>
      <c r="Y54" s="58"/>
      <c r="Z54" s="58"/>
      <c r="AA54" s="58"/>
      <c r="AB54" s="58"/>
      <c r="AC54" s="58"/>
      <c r="AD54" s="58"/>
      <c r="AE54" s="58"/>
      <c r="AF54" s="58"/>
      <c r="AG54" s="103"/>
      <c r="AH54" s="58"/>
      <c r="AI54" s="58"/>
      <c r="AJ54" s="58"/>
      <c r="AK54" s="58"/>
      <c r="AL54" s="58"/>
      <c r="AM54" s="58"/>
      <c r="AN54" s="58"/>
      <c r="AO54" s="58"/>
      <c r="AP54" s="58"/>
      <c r="AQ54" s="58"/>
      <c r="AR54" s="58"/>
      <c r="AS54" s="109"/>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row>
    <row r="55" spans="1:129" x14ac:dyDescent="0.45">
      <c r="A55" s="3">
        <v>46022</v>
      </c>
      <c r="B55" s="2" t="s">
        <v>19</v>
      </c>
      <c r="C55" s="6" t="s">
        <v>6</v>
      </c>
      <c r="D55" s="17">
        <v>1.3896500000000001E-2</v>
      </c>
      <c r="E55" s="2" t="s">
        <v>47</v>
      </c>
      <c r="F55" s="2">
        <v>24</v>
      </c>
      <c r="G55" s="2" t="s">
        <v>47</v>
      </c>
      <c r="H55" s="2">
        <v>24</v>
      </c>
      <c r="I55" s="14">
        <v>72205.100000000006</v>
      </c>
      <c r="J55" s="55">
        <f t="shared" ref="J55:BU55" si="160">IF(J$1&lt;$F55,$I55,0)</f>
        <v>72205.100000000006</v>
      </c>
      <c r="K55" s="55">
        <f t="shared" si="160"/>
        <v>72205.100000000006</v>
      </c>
      <c r="L55" s="55">
        <f t="shared" si="160"/>
        <v>72205.100000000006</v>
      </c>
      <c r="M55" s="55">
        <f t="shared" si="160"/>
        <v>72205.100000000006</v>
      </c>
      <c r="N55" s="55">
        <f t="shared" si="160"/>
        <v>72205.100000000006</v>
      </c>
      <c r="O55" s="55">
        <f t="shared" si="160"/>
        <v>72205.100000000006</v>
      </c>
      <c r="P55" s="55">
        <f t="shared" si="160"/>
        <v>72205.100000000006</v>
      </c>
      <c r="Q55" s="55">
        <f t="shared" si="160"/>
        <v>72205.100000000006</v>
      </c>
      <c r="R55" s="55">
        <f t="shared" si="160"/>
        <v>72205.100000000006</v>
      </c>
      <c r="S55" s="55">
        <f t="shared" si="160"/>
        <v>72205.100000000006</v>
      </c>
      <c r="T55" s="55">
        <f t="shared" si="160"/>
        <v>72205.100000000006</v>
      </c>
      <c r="U55" s="96">
        <f t="shared" si="160"/>
        <v>72205.100000000006</v>
      </c>
      <c r="V55" s="55">
        <f t="shared" si="160"/>
        <v>72205.100000000006</v>
      </c>
      <c r="W55" s="55">
        <f t="shared" si="160"/>
        <v>72205.100000000006</v>
      </c>
      <c r="X55" s="55">
        <f t="shared" si="160"/>
        <v>72205.100000000006</v>
      </c>
      <c r="Y55" s="55">
        <f t="shared" si="160"/>
        <v>72205.100000000006</v>
      </c>
      <c r="Z55" s="55">
        <f t="shared" si="160"/>
        <v>72205.100000000006</v>
      </c>
      <c r="AA55" s="55">
        <f t="shared" si="160"/>
        <v>72205.100000000006</v>
      </c>
      <c r="AB55" s="55">
        <f t="shared" si="160"/>
        <v>72205.100000000006</v>
      </c>
      <c r="AC55" s="55">
        <f t="shared" si="160"/>
        <v>72205.100000000006</v>
      </c>
      <c r="AD55" s="55">
        <f t="shared" si="160"/>
        <v>72205.100000000006</v>
      </c>
      <c r="AE55" s="55">
        <f t="shared" si="160"/>
        <v>72205.100000000006</v>
      </c>
      <c r="AF55" s="55">
        <f t="shared" si="160"/>
        <v>72205.100000000006</v>
      </c>
      <c r="AG55" s="102">
        <f t="shared" si="160"/>
        <v>0</v>
      </c>
      <c r="AH55" s="55">
        <f t="shared" si="160"/>
        <v>0</v>
      </c>
      <c r="AI55" s="55">
        <f t="shared" si="160"/>
        <v>0</v>
      </c>
      <c r="AJ55" s="55">
        <f t="shared" si="160"/>
        <v>0</v>
      </c>
      <c r="AK55" s="55">
        <f t="shared" si="160"/>
        <v>0</v>
      </c>
      <c r="AL55" s="55">
        <f t="shared" si="160"/>
        <v>0</v>
      </c>
      <c r="AM55" s="55">
        <f t="shared" si="160"/>
        <v>0</v>
      </c>
      <c r="AN55" s="55">
        <f t="shared" si="160"/>
        <v>0</v>
      </c>
      <c r="AO55" s="55">
        <f t="shared" si="160"/>
        <v>0</v>
      </c>
      <c r="AP55" s="55">
        <f t="shared" si="160"/>
        <v>0</v>
      </c>
      <c r="AQ55" s="55">
        <f t="shared" si="160"/>
        <v>0</v>
      </c>
      <c r="AR55" s="55">
        <f t="shared" si="160"/>
        <v>0</v>
      </c>
      <c r="AS55" s="108">
        <f t="shared" si="160"/>
        <v>0</v>
      </c>
      <c r="AT55" s="55">
        <f t="shared" si="160"/>
        <v>0</v>
      </c>
      <c r="AU55" s="55">
        <f t="shared" si="160"/>
        <v>0</v>
      </c>
      <c r="AV55" s="55">
        <f t="shared" si="160"/>
        <v>0</v>
      </c>
      <c r="AW55" s="55">
        <f t="shared" si="160"/>
        <v>0</v>
      </c>
      <c r="AX55" s="55">
        <f t="shared" si="160"/>
        <v>0</v>
      </c>
      <c r="AY55" s="55">
        <f t="shared" si="160"/>
        <v>0</v>
      </c>
      <c r="AZ55" s="55">
        <f t="shared" si="160"/>
        <v>0</v>
      </c>
      <c r="BA55" s="55">
        <f t="shared" si="160"/>
        <v>0</v>
      </c>
      <c r="BB55" s="55">
        <f t="shared" si="160"/>
        <v>0</v>
      </c>
      <c r="BC55" s="55">
        <f t="shared" si="160"/>
        <v>0</v>
      </c>
      <c r="BD55" s="55">
        <f t="shared" si="160"/>
        <v>0</v>
      </c>
      <c r="BE55" s="55">
        <f t="shared" si="160"/>
        <v>0</v>
      </c>
      <c r="BF55" s="55">
        <f t="shared" si="160"/>
        <v>0</v>
      </c>
      <c r="BG55" s="55">
        <f t="shared" si="160"/>
        <v>0</v>
      </c>
      <c r="BH55" s="55">
        <f t="shared" si="160"/>
        <v>0</v>
      </c>
      <c r="BI55" s="55">
        <f t="shared" si="160"/>
        <v>0</v>
      </c>
      <c r="BJ55" s="55">
        <f t="shared" si="160"/>
        <v>0</v>
      </c>
      <c r="BK55" s="55">
        <f t="shared" si="160"/>
        <v>0</v>
      </c>
      <c r="BL55" s="55">
        <f t="shared" si="160"/>
        <v>0</v>
      </c>
      <c r="BM55" s="55">
        <f t="shared" si="160"/>
        <v>0</v>
      </c>
      <c r="BN55" s="55">
        <f t="shared" si="160"/>
        <v>0</v>
      </c>
      <c r="BO55" s="55">
        <f t="shared" si="160"/>
        <v>0</v>
      </c>
      <c r="BP55" s="55">
        <f t="shared" si="160"/>
        <v>0</v>
      </c>
      <c r="BQ55" s="55">
        <f t="shared" si="160"/>
        <v>0</v>
      </c>
      <c r="BR55" s="55">
        <f t="shared" si="160"/>
        <v>0</v>
      </c>
      <c r="BS55" s="55">
        <f t="shared" si="160"/>
        <v>0</v>
      </c>
      <c r="BT55" s="55">
        <f t="shared" si="160"/>
        <v>0</v>
      </c>
      <c r="BU55" s="55">
        <f t="shared" si="160"/>
        <v>0</v>
      </c>
      <c r="BV55" s="55">
        <f t="shared" ref="BV55:DY55" si="161">IF(BV$1&lt;$F55,$I55,0)</f>
        <v>0</v>
      </c>
      <c r="BW55" s="55">
        <f t="shared" si="161"/>
        <v>0</v>
      </c>
      <c r="BX55" s="55">
        <f t="shared" si="161"/>
        <v>0</v>
      </c>
      <c r="BY55" s="55">
        <f t="shared" si="161"/>
        <v>0</v>
      </c>
      <c r="BZ55" s="55">
        <f t="shared" si="161"/>
        <v>0</v>
      </c>
      <c r="CA55" s="55">
        <f t="shared" si="161"/>
        <v>0</v>
      </c>
      <c r="CB55" s="55">
        <f t="shared" si="161"/>
        <v>0</v>
      </c>
      <c r="CC55" s="55">
        <f t="shared" si="161"/>
        <v>0</v>
      </c>
      <c r="CD55" s="55">
        <f t="shared" si="161"/>
        <v>0</v>
      </c>
      <c r="CE55" s="55">
        <f t="shared" si="161"/>
        <v>0</v>
      </c>
      <c r="CF55" s="55">
        <f t="shared" si="161"/>
        <v>0</v>
      </c>
      <c r="CG55" s="55">
        <f t="shared" si="161"/>
        <v>0</v>
      </c>
      <c r="CH55" s="55">
        <f t="shared" si="161"/>
        <v>0</v>
      </c>
      <c r="CI55" s="55">
        <f t="shared" si="161"/>
        <v>0</v>
      </c>
      <c r="CJ55" s="55">
        <f t="shared" si="161"/>
        <v>0</v>
      </c>
      <c r="CK55" s="55">
        <f t="shared" si="161"/>
        <v>0</v>
      </c>
      <c r="CL55" s="55">
        <f t="shared" si="161"/>
        <v>0</v>
      </c>
      <c r="CM55" s="55">
        <f t="shared" si="161"/>
        <v>0</v>
      </c>
      <c r="CN55" s="55">
        <f t="shared" si="161"/>
        <v>0</v>
      </c>
      <c r="CO55" s="55">
        <f t="shared" si="161"/>
        <v>0</v>
      </c>
      <c r="CP55" s="55">
        <f t="shared" si="161"/>
        <v>0</v>
      </c>
      <c r="CQ55" s="55">
        <f t="shared" si="161"/>
        <v>0</v>
      </c>
      <c r="CR55" s="55">
        <f t="shared" si="161"/>
        <v>0</v>
      </c>
      <c r="CS55" s="55">
        <f t="shared" si="161"/>
        <v>0</v>
      </c>
      <c r="CT55" s="55">
        <f t="shared" si="161"/>
        <v>0</v>
      </c>
      <c r="CU55" s="55">
        <f t="shared" si="161"/>
        <v>0</v>
      </c>
      <c r="CV55" s="55">
        <f t="shared" si="161"/>
        <v>0</v>
      </c>
      <c r="CW55" s="55">
        <f t="shared" si="161"/>
        <v>0</v>
      </c>
      <c r="CX55" s="55">
        <f t="shared" si="161"/>
        <v>0</v>
      </c>
      <c r="CY55" s="55">
        <f t="shared" si="161"/>
        <v>0</v>
      </c>
      <c r="CZ55" s="55">
        <f t="shared" si="161"/>
        <v>0</v>
      </c>
      <c r="DA55" s="55">
        <f t="shared" si="161"/>
        <v>0</v>
      </c>
      <c r="DB55" s="55">
        <f t="shared" si="161"/>
        <v>0</v>
      </c>
      <c r="DC55" s="55">
        <f t="shared" si="161"/>
        <v>0</v>
      </c>
      <c r="DD55" s="55">
        <f t="shared" si="161"/>
        <v>0</v>
      </c>
      <c r="DE55" s="55">
        <f t="shared" si="161"/>
        <v>0</v>
      </c>
      <c r="DF55" s="55">
        <f t="shared" si="161"/>
        <v>0</v>
      </c>
      <c r="DG55" s="55">
        <f t="shared" si="161"/>
        <v>0</v>
      </c>
      <c r="DH55" s="55">
        <f t="shared" si="161"/>
        <v>0</v>
      </c>
      <c r="DI55" s="55">
        <f t="shared" si="161"/>
        <v>0</v>
      </c>
      <c r="DJ55" s="55">
        <f t="shared" si="161"/>
        <v>0</v>
      </c>
      <c r="DK55" s="55">
        <f t="shared" si="161"/>
        <v>0</v>
      </c>
      <c r="DL55" s="55">
        <f t="shared" si="161"/>
        <v>0</v>
      </c>
      <c r="DM55" s="55">
        <f t="shared" si="161"/>
        <v>0</v>
      </c>
      <c r="DN55" s="55">
        <f t="shared" si="161"/>
        <v>0</v>
      </c>
      <c r="DO55" s="55">
        <f t="shared" si="161"/>
        <v>0</v>
      </c>
      <c r="DP55" s="55">
        <f t="shared" si="161"/>
        <v>0</v>
      </c>
      <c r="DQ55" s="55">
        <f t="shared" si="161"/>
        <v>0</v>
      </c>
      <c r="DR55" s="55">
        <f t="shared" si="161"/>
        <v>0</v>
      </c>
      <c r="DS55" s="55">
        <f t="shared" si="161"/>
        <v>0</v>
      </c>
      <c r="DT55" s="55">
        <f t="shared" si="161"/>
        <v>0</v>
      </c>
      <c r="DU55" s="55">
        <f t="shared" si="161"/>
        <v>0</v>
      </c>
      <c r="DV55" s="55">
        <f t="shared" si="161"/>
        <v>0</v>
      </c>
      <c r="DW55" s="55">
        <f t="shared" si="161"/>
        <v>0</v>
      </c>
      <c r="DX55" s="55">
        <f t="shared" si="161"/>
        <v>0</v>
      </c>
      <c r="DY55" s="55">
        <f t="shared" si="161"/>
        <v>0</v>
      </c>
    </row>
    <row r="56" spans="1:129" x14ac:dyDescent="0.45">
      <c r="A56" s="3"/>
      <c r="B56" s="2"/>
      <c r="C56" s="121" t="s">
        <v>265</v>
      </c>
      <c r="D56" s="17"/>
      <c r="E56" s="2"/>
      <c r="F56" s="2"/>
      <c r="G56" s="2"/>
      <c r="H56" s="2"/>
      <c r="I56" s="13"/>
      <c r="J56" s="58"/>
      <c r="K56" s="58"/>
      <c r="L56" s="58"/>
      <c r="M56" s="58"/>
      <c r="N56" s="58"/>
      <c r="O56" s="58"/>
      <c r="P56" s="58"/>
      <c r="Q56" s="58"/>
      <c r="R56" s="58"/>
      <c r="S56" s="58"/>
      <c r="T56" s="58"/>
      <c r="U56" s="97">
        <f>'Plan Moyen Terme (PMT)'!C19-BAU_Liquidité_Dynamique!U55</f>
        <v>16804.899999999994</v>
      </c>
      <c r="V56" s="127">
        <f>IF(AND($U$1&lt;V$1, V$1&lt;$F$55),$U$56,0)</f>
        <v>16804.899999999994</v>
      </c>
      <c r="W56" s="127">
        <f t="shared" ref="W56:AF56" si="162">IF(AND($U$1&lt;W$1, W$1&lt;$F$55),$U$56,0)</f>
        <v>16804.899999999994</v>
      </c>
      <c r="X56" s="127">
        <f t="shared" si="162"/>
        <v>16804.899999999994</v>
      </c>
      <c r="Y56" s="127">
        <f t="shared" si="162"/>
        <v>16804.899999999994</v>
      </c>
      <c r="Z56" s="127">
        <f t="shared" si="162"/>
        <v>16804.899999999994</v>
      </c>
      <c r="AA56" s="127">
        <f t="shared" si="162"/>
        <v>16804.899999999994</v>
      </c>
      <c r="AB56" s="127">
        <f t="shared" si="162"/>
        <v>16804.899999999994</v>
      </c>
      <c r="AC56" s="127">
        <f t="shared" si="162"/>
        <v>16804.899999999994</v>
      </c>
      <c r="AD56" s="127">
        <f t="shared" si="162"/>
        <v>16804.899999999994</v>
      </c>
      <c r="AE56" s="127">
        <f t="shared" si="162"/>
        <v>16804.899999999994</v>
      </c>
      <c r="AF56" s="127">
        <f t="shared" si="162"/>
        <v>16804.899999999994</v>
      </c>
      <c r="AG56" s="127">
        <f>IF(AND($U$1&lt;AG$1, AG$1&lt;$F$55),$U$56,0)</f>
        <v>0</v>
      </c>
      <c r="AH56" s="58"/>
      <c r="AI56" s="58"/>
      <c r="AJ56" s="58"/>
      <c r="AK56" s="58"/>
      <c r="AL56" s="58"/>
      <c r="AM56" s="58"/>
      <c r="AN56" s="58"/>
      <c r="AO56" s="58"/>
      <c r="AP56" s="58"/>
      <c r="AQ56" s="58"/>
      <c r="AR56" s="58"/>
      <c r="AS56" s="109"/>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row>
    <row r="57" spans="1:129" x14ac:dyDescent="0.45">
      <c r="A57" s="3"/>
      <c r="B57" s="2"/>
      <c r="C57" s="122" t="s">
        <v>269</v>
      </c>
      <c r="D57" s="17"/>
      <c r="E57" s="2"/>
      <c r="F57" s="2"/>
      <c r="G57" s="2"/>
      <c r="H57" s="2"/>
      <c r="I57" s="13"/>
      <c r="J57" s="58"/>
      <c r="K57" s="58"/>
      <c r="L57" s="58"/>
      <c r="M57" s="58"/>
      <c r="N57" s="58"/>
      <c r="O57" s="58"/>
      <c r="P57" s="58"/>
      <c r="Q57" s="58"/>
      <c r="R57" s="58"/>
      <c r="S57" s="58"/>
      <c r="T57" s="58"/>
      <c r="U57" s="97"/>
      <c r="V57" s="58"/>
      <c r="W57" s="58"/>
      <c r="X57" s="58"/>
      <c r="Y57" s="58"/>
      <c r="Z57" s="58"/>
      <c r="AA57" s="58"/>
      <c r="AB57" s="58"/>
      <c r="AC57" s="58"/>
      <c r="AD57" s="58"/>
      <c r="AE57" s="58"/>
      <c r="AF57" s="58"/>
      <c r="AG57" s="103"/>
      <c r="AH57" s="58"/>
      <c r="AI57" s="58"/>
      <c r="AJ57" s="58"/>
      <c r="AK57" s="58"/>
      <c r="AL57" s="58"/>
      <c r="AM57" s="58"/>
      <c r="AN57" s="58"/>
      <c r="AO57" s="58"/>
      <c r="AP57" s="58"/>
      <c r="AQ57" s="58"/>
      <c r="AR57" s="58"/>
      <c r="AS57" s="109"/>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row>
    <row r="58" spans="1:129" x14ac:dyDescent="0.45">
      <c r="A58" s="3"/>
      <c r="B58" s="2"/>
      <c r="C58" s="125" t="s">
        <v>270</v>
      </c>
      <c r="D58" s="17"/>
      <c r="E58" s="2"/>
      <c r="F58" s="2"/>
      <c r="G58" s="2"/>
      <c r="H58" s="2"/>
      <c r="I58" s="13"/>
      <c r="J58" s="58"/>
      <c r="K58" s="58"/>
      <c r="L58" s="58"/>
      <c r="M58" s="58"/>
      <c r="N58" s="58"/>
      <c r="O58" s="58"/>
      <c r="P58" s="58"/>
      <c r="Q58" s="58"/>
      <c r="R58" s="58"/>
      <c r="S58" s="58"/>
      <c r="T58" s="58"/>
      <c r="U58" s="97"/>
      <c r="V58" s="58"/>
      <c r="W58" s="58"/>
      <c r="X58" s="58"/>
      <c r="Y58" s="58"/>
      <c r="Z58" s="58"/>
      <c r="AA58" s="58"/>
      <c r="AB58" s="58"/>
      <c r="AC58" s="58"/>
      <c r="AD58" s="58"/>
      <c r="AE58" s="58"/>
      <c r="AF58" s="58"/>
      <c r="AG58" s="103"/>
      <c r="AH58" s="58"/>
      <c r="AI58" s="58"/>
      <c r="AJ58" s="58"/>
      <c r="AK58" s="58"/>
      <c r="AL58" s="58"/>
      <c r="AM58" s="58"/>
      <c r="AN58" s="58"/>
      <c r="AO58" s="58"/>
      <c r="AP58" s="58"/>
      <c r="AQ58" s="58"/>
      <c r="AR58" s="58"/>
      <c r="AS58" s="109"/>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row>
    <row r="59" spans="1:129" x14ac:dyDescent="0.45">
      <c r="A59" s="3">
        <v>46022</v>
      </c>
      <c r="B59" s="2" t="s">
        <v>19</v>
      </c>
      <c r="C59" s="4" t="s">
        <v>21</v>
      </c>
      <c r="D59" s="16"/>
      <c r="E59" s="54"/>
      <c r="F59" s="54"/>
      <c r="G59" s="54"/>
      <c r="H59" s="54"/>
      <c r="I59" s="13">
        <f>I60+I64</f>
        <v>50161.059000000001</v>
      </c>
      <c r="J59" s="58">
        <f>SUM(J60:J64)</f>
        <v>43848.513096650648</v>
      </c>
      <c r="K59" s="58">
        <f t="shared" ref="K59:BV59" si="163">SUM(K60:K64)</f>
        <v>40644.298534989954</v>
      </c>
      <c r="L59" s="58">
        <f t="shared" si="163"/>
        <v>38020.909533898055</v>
      </c>
      <c r="M59" s="58">
        <f t="shared" si="163"/>
        <v>35873.060281417595</v>
      </c>
      <c r="N59" s="58">
        <f t="shared" si="163"/>
        <v>34114.550045436285</v>
      </c>
      <c r="O59" s="58">
        <f t="shared" si="163"/>
        <v>32674.803635635963</v>
      </c>
      <c r="P59" s="58">
        <f t="shared" si="163"/>
        <v>31496.038973298826</v>
      </c>
      <c r="Q59" s="58">
        <f t="shared" si="163"/>
        <v>30530.948093601834</v>
      </c>
      <c r="R59" s="58">
        <f t="shared" si="163"/>
        <v>29740.79851087882</v>
      </c>
      <c r="S59" s="58">
        <f t="shared" si="163"/>
        <v>29093.878747971754</v>
      </c>
      <c r="T59" s="58">
        <f t="shared" si="163"/>
        <v>28564.225643305821</v>
      </c>
      <c r="U59" s="97">
        <f t="shared" si="163"/>
        <v>44621.964999999997</v>
      </c>
      <c r="V59" s="58">
        <f t="shared" si="163"/>
        <v>39927.347181314886</v>
      </c>
      <c r="W59" s="58">
        <f t="shared" si="163"/>
        <v>37433.919412183393</v>
      </c>
      <c r="X59" s="58">
        <f t="shared" si="163"/>
        <v>35392.473417016809</v>
      </c>
      <c r="Y59" s="58">
        <f t="shared" si="163"/>
        <v>33721.078800026044</v>
      </c>
      <c r="Z59" s="58">
        <f t="shared" si="163"/>
        <v>32352.656626566706</v>
      </c>
      <c r="AA59" s="58">
        <f t="shared" si="163"/>
        <v>31232.287309961735</v>
      </c>
      <c r="AB59" s="58">
        <f t="shared" si="163"/>
        <v>30315.006495652284</v>
      </c>
      <c r="AC59" s="58">
        <f t="shared" si="163"/>
        <v>29564.000483768723</v>
      </c>
      <c r="AD59" s="58">
        <f t="shared" si="163"/>
        <v>28949.128766093203</v>
      </c>
      <c r="AE59" s="58">
        <f t="shared" si="163"/>
        <v>28445.714381634374</v>
      </c>
      <c r="AF59" s="58">
        <f t="shared" si="163"/>
        <v>28033.553543536105</v>
      </c>
      <c r="AG59" s="103">
        <f t="shared" si="163"/>
        <v>60760.423032171006</v>
      </c>
      <c r="AH59" s="58">
        <f t="shared" si="163"/>
        <v>51783.521875057239</v>
      </c>
      <c r="AI59" s="58">
        <f t="shared" si="163"/>
        <v>47140.934247815181</v>
      </c>
      <c r="AJ59" s="58">
        <f t="shared" si="163"/>
        <v>43339.904983532761</v>
      </c>
      <c r="AK59" s="58">
        <f t="shared" si="163"/>
        <v>40227.885431515373</v>
      </c>
      <c r="AL59" s="58">
        <f t="shared" si="163"/>
        <v>37679.979320098777</v>
      </c>
      <c r="AM59" s="58">
        <f t="shared" si="163"/>
        <v>35593.93023072667</v>
      </c>
      <c r="AN59" s="58">
        <f t="shared" si="163"/>
        <v>33886.017688827407</v>
      </c>
      <c r="AO59" s="58">
        <f t="shared" si="163"/>
        <v>32487.697167206894</v>
      </c>
      <c r="AP59" s="58">
        <f t="shared" si="163"/>
        <v>31342.849153496136</v>
      </c>
      <c r="AQ59" s="58">
        <f t="shared" si="163"/>
        <v>30405.526877070894</v>
      </c>
      <c r="AR59" s="58">
        <f t="shared" si="163"/>
        <v>29638.112303816488</v>
      </c>
      <c r="AS59" s="109">
        <f t="shared" si="163"/>
        <v>68605.687466910298</v>
      </c>
      <c r="AT59" s="58">
        <f t="shared" si="163"/>
        <v>57671.921998138045</v>
      </c>
      <c r="AU59" s="58">
        <f t="shared" si="163"/>
        <v>51961.948515009615</v>
      </c>
      <c r="AV59" s="58">
        <f t="shared" si="163"/>
        <v>47287.017625112552</v>
      </c>
      <c r="AW59" s="58">
        <f t="shared" si="163"/>
        <v>43459.50793703962</v>
      </c>
      <c r="AX59" s="58">
        <f t="shared" si="163"/>
        <v>40325.808047710394</v>
      </c>
      <c r="AY59" s="58">
        <f t="shared" si="163"/>
        <v>37760.151577399491</v>
      </c>
      <c r="AZ59" s="58">
        <f t="shared" si="163"/>
        <v>35659.569723322442</v>
      </c>
      <c r="BA59" s="58">
        <f t="shared" si="163"/>
        <v>33939.758760032004</v>
      </c>
      <c r="BB59" s="58">
        <f t="shared" si="163"/>
        <v>32531.696634905449</v>
      </c>
      <c r="BC59" s="58">
        <f t="shared" si="163"/>
        <v>31378.872870820007</v>
      </c>
      <c r="BD59" s="58">
        <f t="shared" si="163"/>
        <v>30435.020602284134</v>
      </c>
      <c r="BE59" s="58">
        <f t="shared" si="163"/>
        <v>29662.259723671395</v>
      </c>
      <c r="BF59" s="58">
        <f t="shared" si="163"/>
        <v>29029.576627575589</v>
      </c>
      <c r="BG59" s="58">
        <f t="shared" si="163"/>
        <v>28511.579519849358</v>
      </c>
      <c r="BH59" s="58">
        <f t="shared" si="163"/>
        <v>28087.479357748449</v>
      </c>
      <c r="BI59" s="58">
        <f t="shared" si="163"/>
        <v>27740.255512651074</v>
      </c>
      <c r="BJ59" s="58">
        <f t="shared" si="163"/>
        <v>27455.972672467866</v>
      </c>
      <c r="BK59" s="58">
        <f t="shared" si="163"/>
        <v>27223.221568637524</v>
      </c>
      <c r="BL59" s="58">
        <f t="shared" si="163"/>
        <v>27032.661082118775</v>
      </c>
      <c r="BM59" s="58">
        <f t="shared" si="163"/>
        <v>26876.643351484374</v>
      </c>
      <c r="BN59" s="58">
        <f t="shared" si="163"/>
        <v>26748.906837388553</v>
      </c>
      <c r="BO59" s="58">
        <f t="shared" si="163"/>
        <v>26644.325025007325</v>
      </c>
      <c r="BP59" s="58">
        <f t="shared" si="163"/>
        <v>26558.700678998179</v>
      </c>
      <c r="BQ59" s="58">
        <f t="shared" si="163"/>
        <v>316.63239370830456</v>
      </c>
      <c r="BR59" s="58">
        <f t="shared" si="163"/>
        <v>259.23667814968439</v>
      </c>
      <c r="BS59" s="58">
        <f t="shared" si="163"/>
        <v>212.24504072692548</v>
      </c>
      <c r="BT59" s="58">
        <f t="shared" si="163"/>
        <v>173.77154203142263</v>
      </c>
      <c r="BU59" s="58">
        <f t="shared" si="163"/>
        <v>142.2721054709088</v>
      </c>
      <c r="BV59" s="58">
        <f t="shared" si="163"/>
        <v>116.48254805418721</v>
      </c>
      <c r="BW59" s="58">
        <f t="shared" ref="BW59:DY59" si="164">SUM(BW60:BW64)</f>
        <v>95.367844288846953</v>
      </c>
      <c r="BX59" s="58">
        <f t="shared" si="164"/>
        <v>78.080586974031377</v>
      </c>
      <c r="BY59" s="58">
        <f t="shared" si="164"/>
        <v>63.926977774019548</v>
      </c>
      <c r="BZ59" s="58">
        <f t="shared" si="164"/>
        <v>52.338982654922432</v>
      </c>
      <c r="CA59" s="58">
        <f t="shared" si="164"/>
        <v>42.851534684400065</v>
      </c>
      <c r="CB59" s="58">
        <f t="shared" si="164"/>
        <v>35.083869262706145</v>
      </c>
      <c r="CC59" s="58">
        <f t="shared" si="164"/>
        <v>28.724242702344853</v>
      </c>
      <c r="CD59" s="58">
        <f t="shared" si="164"/>
        <v>23.517420859285522</v>
      </c>
      <c r="CE59" s="58">
        <f t="shared" si="164"/>
        <v>19.254435690574674</v>
      </c>
      <c r="CF59" s="58">
        <f t="shared" si="164"/>
        <v>15.764198633035774</v>
      </c>
      <c r="CG59" s="58">
        <f t="shared" si="164"/>
        <v>12.906634218496279</v>
      </c>
      <c r="CH59" s="58">
        <f t="shared" si="164"/>
        <v>10.567058353411499</v>
      </c>
      <c r="CI59" s="58">
        <f t="shared" si="164"/>
        <v>8.6515756435075808</v>
      </c>
      <c r="CJ59" s="58">
        <f t="shared" si="164"/>
        <v>7.0833110419200915</v>
      </c>
      <c r="CK59" s="58">
        <f t="shared" si="164"/>
        <v>5.7993245836368157</v>
      </c>
      <c r="CL59" s="58">
        <f t="shared" si="164"/>
        <v>4.7480853837046268</v>
      </c>
      <c r="CM59" s="58">
        <f t="shared" si="164"/>
        <v>3.887403521879043</v>
      </c>
      <c r="CN59" s="58">
        <f t="shared" si="164"/>
        <v>3.1827368129860303</v>
      </c>
      <c r="CO59" s="58">
        <f t="shared" si="164"/>
        <v>2.605804507745066</v>
      </c>
      <c r="CP59" s="58">
        <f t="shared" si="164"/>
        <v>2.1334522870001189</v>
      </c>
      <c r="CQ59" s="58">
        <f t="shared" si="164"/>
        <v>1.7467229975915513</v>
      </c>
      <c r="CR59" s="58">
        <f t="shared" si="164"/>
        <v>1.430095835236759</v>
      </c>
      <c r="CS59" s="58">
        <f t="shared" si="164"/>
        <v>1.1708634401570781</v>
      </c>
      <c r="CT59" s="58">
        <f t="shared" si="164"/>
        <v>0.95862190611128018</v>
      </c>
      <c r="CU59" s="58">
        <f t="shared" si="164"/>
        <v>0.78485323510753935</v>
      </c>
      <c r="CV59" s="58">
        <f t="shared" si="164"/>
        <v>0.64258348023528644</v>
      </c>
      <c r="CW59" s="58">
        <f t="shared" si="164"/>
        <v>0.52610285668850598</v>
      </c>
      <c r="CX59" s="58">
        <f t="shared" si="164"/>
        <v>0.43073658805305842</v>
      </c>
      <c r="CY59" s="58">
        <f t="shared" si="164"/>
        <v>0.35265729111492061</v>
      </c>
      <c r="CZ59" s="58">
        <f t="shared" si="164"/>
        <v>0.28873136953296019</v>
      </c>
      <c r="DA59" s="58">
        <f t="shared" si="164"/>
        <v>0.23639325161495772</v>
      </c>
      <c r="DB59" s="58">
        <f t="shared" si="164"/>
        <v>0.193542424917267</v>
      </c>
      <c r="DC59" s="58">
        <f t="shared" si="164"/>
        <v>0.15845913530505287</v>
      </c>
      <c r="DD59" s="58">
        <f t="shared" si="164"/>
        <v>0.12973536718039164</v>
      </c>
      <c r="DE59" s="58">
        <f t="shared" si="164"/>
        <v>0.1062183348724506</v>
      </c>
      <c r="DF59" s="58">
        <f t="shared" si="164"/>
        <v>8.6964217300810817E-2</v>
      </c>
      <c r="DG59" s="58">
        <f t="shared" si="164"/>
        <v>7.1200279121530013E-2</v>
      </c>
      <c r="DH59" s="58">
        <f t="shared" si="164"/>
        <v>5.829385814453282E-2</v>
      </c>
      <c r="DI59" s="58">
        <f t="shared" si="164"/>
        <v>4.7726974378494366E-2</v>
      </c>
      <c r="DJ59" s="58">
        <f t="shared" si="164"/>
        <v>3.907554167503826E-2</v>
      </c>
      <c r="DK59" s="58">
        <f t="shared" si="164"/>
        <v>3.199234766253415E-2</v>
      </c>
      <c r="DL59" s="58">
        <f t="shared" si="164"/>
        <v>2.6193118894479176E-2</v>
      </c>
      <c r="DM59" s="58">
        <f t="shared" si="164"/>
        <v>2.1445111957938065E-2</v>
      </c>
      <c r="DN59" s="58">
        <f t="shared" si="164"/>
        <v>1.7557772663164252E-2</v>
      </c>
      <c r="DO59" s="58">
        <f t="shared" si="164"/>
        <v>1.4375088434884479E-2</v>
      </c>
      <c r="DP59" s="58">
        <f t="shared" si="164"/>
        <v>1.1769326979855561E-2</v>
      </c>
      <c r="DQ59" s="58">
        <f t="shared" si="164"/>
        <v>9.635909941438146E-3</v>
      </c>
      <c r="DR59" s="58">
        <f t="shared" si="164"/>
        <v>7.8892158029452708E-3</v>
      </c>
      <c r="DS59" s="58">
        <f t="shared" si="164"/>
        <v>6.4591435955400917E-3</v>
      </c>
      <c r="DT59" s="58">
        <f t="shared" si="164"/>
        <v>5.2882995002153654E-3</v>
      </c>
      <c r="DU59" s="58">
        <f t="shared" si="164"/>
        <v>4.3296934323132433E-3</v>
      </c>
      <c r="DV59" s="58">
        <f t="shared" si="164"/>
        <v>3.5448531644346167E-3</v>
      </c>
      <c r="DW59" s="58">
        <f t="shared" si="164"/>
        <v>2.9022803008684128E-3</v>
      </c>
      <c r="DX59" s="58">
        <f t="shared" si="164"/>
        <v>2.3761861363733893E-3</v>
      </c>
      <c r="DY59" s="58">
        <f t="shared" si="164"/>
        <v>8.1505851700822597E-7</v>
      </c>
    </row>
    <row r="60" spans="1:129" x14ac:dyDescent="0.45">
      <c r="A60" s="3">
        <v>46022</v>
      </c>
      <c r="B60" s="2" t="s">
        <v>19</v>
      </c>
      <c r="C60" s="6" t="s">
        <v>5</v>
      </c>
      <c r="D60" s="17">
        <v>0</v>
      </c>
      <c r="E60" s="2" t="s">
        <v>49</v>
      </c>
      <c r="F60" s="2">
        <v>120</v>
      </c>
      <c r="G60" s="2" t="s">
        <v>43</v>
      </c>
      <c r="H60" s="2">
        <v>120</v>
      </c>
      <c r="I60" s="14">
        <v>23989.094000000001</v>
      </c>
      <c r="J60" s="55">
        <f>IF(J$1&lt;=$F60,$I60*(90%*EXP(-20%*J$1)),0)</f>
        <v>17676.548096650647</v>
      </c>
      <c r="K60" s="55">
        <f t="shared" ref="K60:BV60" si="165">IF(K$1&lt;=$F60,$I60*(90%*EXP(-20%*K$1)),0)</f>
        <v>14472.333534989952</v>
      </c>
      <c r="L60" s="55">
        <f t="shared" si="165"/>
        <v>11848.944533898053</v>
      </c>
      <c r="M60" s="55">
        <f t="shared" si="165"/>
        <v>9701.0952814175907</v>
      </c>
      <c r="N60" s="55">
        <f t="shared" si="165"/>
        <v>7942.5850454362817</v>
      </c>
      <c r="O60" s="55">
        <f t="shared" si="165"/>
        <v>6502.8386356359615</v>
      </c>
      <c r="P60" s="55">
        <f t="shared" si="165"/>
        <v>5324.0739732988268</v>
      </c>
      <c r="Q60" s="55">
        <f t="shared" si="165"/>
        <v>4358.9830936018325</v>
      </c>
      <c r="R60" s="55">
        <f t="shared" si="165"/>
        <v>3568.8335108788192</v>
      </c>
      <c r="S60" s="55">
        <f t="shared" si="165"/>
        <v>2921.9137479717538</v>
      </c>
      <c r="T60" s="55">
        <f t="shared" si="165"/>
        <v>2392.2606433058222</v>
      </c>
      <c r="U60" s="55">
        <f t="shared" si="165"/>
        <v>1958.6173580525926</v>
      </c>
      <c r="V60" s="55">
        <f t="shared" si="165"/>
        <v>1603.5802645500069</v>
      </c>
      <c r="W60" s="55">
        <f t="shared" si="165"/>
        <v>1312.9004776160161</v>
      </c>
      <c r="X60" s="55">
        <f t="shared" si="165"/>
        <v>1074.9119967550032</v>
      </c>
      <c r="Y60" s="55">
        <f t="shared" si="165"/>
        <v>880.06350859578095</v>
      </c>
      <c r="Z60" s="55">
        <f t="shared" si="165"/>
        <v>720.53505914907453</v>
      </c>
      <c r="AA60" s="55">
        <f t="shared" si="165"/>
        <v>589.92421159621017</v>
      </c>
      <c r="AB60" s="55">
        <f t="shared" si="165"/>
        <v>482.98909401909981</v>
      </c>
      <c r="AC60" s="55">
        <f t="shared" si="165"/>
        <v>395.43802467470982</v>
      </c>
      <c r="AD60" s="55">
        <f t="shared" si="165"/>
        <v>323.75727173759469</v>
      </c>
      <c r="AE60" s="55">
        <f t="shared" si="165"/>
        <v>265.07003490419368</v>
      </c>
      <c r="AF60" s="55">
        <f t="shared" si="165"/>
        <v>217.02098929551738</v>
      </c>
      <c r="AG60" s="55">
        <f t="shared" si="165"/>
        <v>177.68175799964757</v>
      </c>
      <c r="AH60" s="55">
        <f t="shared" si="165"/>
        <v>145.47351953527129</v>
      </c>
      <c r="AI60" s="55">
        <f t="shared" si="165"/>
        <v>119.10364420201714</v>
      </c>
      <c r="AJ60" s="55">
        <f t="shared" si="165"/>
        <v>97.513816311849482</v>
      </c>
      <c r="AK60" s="55">
        <f t="shared" si="165"/>
        <v>79.837560264508511</v>
      </c>
      <c r="AL60" s="55">
        <f t="shared" si="165"/>
        <v>65.365465839269802</v>
      </c>
      <c r="AM60" s="55">
        <f t="shared" si="165"/>
        <v>53.516717071878496</v>
      </c>
      <c r="AN60" s="55">
        <f t="shared" si="165"/>
        <v>43.815782070520363</v>
      </c>
      <c r="AO60" s="55">
        <f t="shared" si="165"/>
        <v>35.873328251297863</v>
      </c>
      <c r="AP60" s="55">
        <f t="shared" si="165"/>
        <v>29.37059705459874</v>
      </c>
      <c r="AQ60" s="55">
        <f t="shared" si="165"/>
        <v>24.046611044861578</v>
      </c>
      <c r="AR60" s="55">
        <f t="shared" si="165"/>
        <v>19.687699969732851</v>
      </c>
      <c r="AS60" s="55">
        <f t="shared" si="165"/>
        <v>16.118925422592731</v>
      </c>
      <c r="AT60" s="55">
        <f t="shared" si="165"/>
        <v>13.197059950047171</v>
      </c>
      <c r="AU60" s="55">
        <f t="shared" si="165"/>
        <v>10.804838831317392</v>
      </c>
      <c r="AV60" s="55">
        <f t="shared" si="165"/>
        <v>8.8462538332507101</v>
      </c>
      <c r="AW60" s="55">
        <f t="shared" si="165"/>
        <v>7.2427000628163425</v>
      </c>
      <c r="AX60" s="55">
        <f t="shared" si="165"/>
        <v>5.929821276747564</v>
      </c>
      <c r="AY60" s="55">
        <f t="shared" si="165"/>
        <v>4.8549270395293762</v>
      </c>
      <c r="AZ60" s="55">
        <f t="shared" si="165"/>
        <v>3.974878071212546</v>
      </c>
      <c r="BA60" s="55">
        <f t="shared" si="165"/>
        <v>3.2543549166370007</v>
      </c>
      <c r="BB60" s="55">
        <f t="shared" si="165"/>
        <v>2.6644404516812461</v>
      </c>
      <c r="BC60" s="55">
        <f t="shared" si="165"/>
        <v>2.1814593375364222</v>
      </c>
      <c r="BD60" s="55">
        <f t="shared" si="165"/>
        <v>1.7860278462301917</v>
      </c>
      <c r="BE60" s="55">
        <f t="shared" si="165"/>
        <v>1.4622759235622893</v>
      </c>
      <c r="BF60" s="55">
        <f t="shared" si="165"/>
        <v>1.1972102681059555</v>
      </c>
      <c r="BG60" s="55">
        <f t="shared" si="165"/>
        <v>0.98019286439908215</v>
      </c>
      <c r="BH60" s="55">
        <f t="shared" si="165"/>
        <v>0.80251404203112386</v>
      </c>
      <c r="BI60" s="55">
        <f t="shared" si="165"/>
        <v>0.65704292598779768</v>
      </c>
      <c r="BJ60" s="55">
        <f t="shared" si="165"/>
        <v>0.53794124959854961</v>
      </c>
      <c r="BK60" s="55">
        <f t="shared" si="165"/>
        <v>0.44042904439553154</v>
      </c>
      <c r="BL60" s="55">
        <f t="shared" si="165"/>
        <v>0.36059280319536968</v>
      </c>
      <c r="BM60" s="55">
        <f t="shared" si="165"/>
        <v>0.29522841731464522</v>
      </c>
      <c r="BN60" s="55">
        <f t="shared" si="165"/>
        <v>0.24171258443804036</v>
      </c>
      <c r="BO60" s="55">
        <f t="shared" si="165"/>
        <v>0.19789752628538185</v>
      </c>
      <c r="BP60" s="55">
        <f t="shared" si="165"/>
        <v>0.16202479072790052</v>
      </c>
      <c r="BQ60" s="55">
        <f t="shared" si="165"/>
        <v>0.13265467892995647</v>
      </c>
      <c r="BR60" s="55">
        <f t="shared" si="165"/>
        <v>0.10860846517964105</v>
      </c>
      <c r="BS60" s="55">
        <f t="shared" si="165"/>
        <v>8.8921090487171353E-2</v>
      </c>
      <c r="BT60" s="55">
        <f t="shared" si="165"/>
        <v>7.280243137907709E-2</v>
      </c>
      <c r="BU60" s="55">
        <f t="shared" si="165"/>
        <v>5.9605589468899926E-2</v>
      </c>
      <c r="BV60" s="55">
        <f t="shared" si="165"/>
        <v>4.8800929153529495E-2</v>
      </c>
      <c r="BW60" s="55">
        <f t="shared" ref="BW60:DY60" si="166">IF(BW$1&lt;=$F60,$I60*(90%*EXP(-20%*BW$1)),0)</f>
        <v>3.9954821476774399E-2</v>
      </c>
      <c r="BX60" s="55">
        <f t="shared" si="166"/>
        <v>3.2712241076775853E-2</v>
      </c>
      <c r="BY60" s="55">
        <f t="shared" si="166"/>
        <v>2.6782517771657161E-2</v>
      </c>
      <c r="BZ60" s="55">
        <f t="shared" si="166"/>
        <v>2.1927670944513311E-2</v>
      </c>
      <c r="CA60" s="55">
        <f t="shared" si="166"/>
        <v>1.7952858545647578E-2</v>
      </c>
      <c r="CB60" s="55">
        <f t="shared" si="166"/>
        <v>1.4698557396980508E-2</v>
      </c>
      <c r="CC60" s="55">
        <f t="shared" si="166"/>
        <v>1.20341609667898E-2</v>
      </c>
      <c r="CD60" s="55">
        <f t="shared" si="166"/>
        <v>9.8527376710014578E-3</v>
      </c>
      <c r="CE60" s="55">
        <f t="shared" si="166"/>
        <v>8.0667393332588301E-3</v>
      </c>
      <c r="CF60" s="55">
        <f t="shared" si="166"/>
        <v>6.6044875692027839E-3</v>
      </c>
      <c r="CG60" s="55">
        <f t="shared" si="166"/>
        <v>5.4072970812275587E-3</v>
      </c>
      <c r="CH60" s="55">
        <f t="shared" si="166"/>
        <v>4.4271204114298161E-3</v>
      </c>
      <c r="CI60" s="55">
        <f t="shared" si="166"/>
        <v>3.6246196284168346E-3</v>
      </c>
      <c r="CJ60" s="55">
        <f t="shared" si="166"/>
        <v>2.9675875579949513E-3</v>
      </c>
      <c r="CK60" s="55">
        <f t="shared" si="166"/>
        <v>2.4296551961820578E-3</v>
      </c>
      <c r="CL60" s="55">
        <f t="shared" si="166"/>
        <v>1.9892334284899692E-3</v>
      </c>
      <c r="CM60" s="55">
        <f t="shared" si="166"/>
        <v>1.6286465829554835E-3</v>
      </c>
      <c r="CN60" s="55">
        <f t="shared" si="166"/>
        <v>1.333423043361026E-3</v>
      </c>
      <c r="CO60" s="55">
        <f t="shared" si="166"/>
        <v>1.0917144524625079E-3</v>
      </c>
      <c r="CP60" s="55">
        <f t="shared" si="166"/>
        <v>8.9382019581074655E-4</v>
      </c>
      <c r="CQ60" s="55">
        <f t="shared" si="166"/>
        <v>7.3179808203244212E-4</v>
      </c>
      <c r="CR60" s="55">
        <f t="shared" si="166"/>
        <v>5.9914559480344243E-4</v>
      </c>
      <c r="CS60" s="55">
        <f t="shared" si="166"/>
        <v>4.9053892403677808E-4</v>
      </c>
      <c r="CT60" s="55">
        <f t="shared" si="166"/>
        <v>4.0161930269069454E-4</v>
      </c>
      <c r="CU60" s="55">
        <f t="shared" si="166"/>
        <v>3.2881807414260653E-4</v>
      </c>
      <c r="CV60" s="55">
        <f t="shared" si="166"/>
        <v>2.6921346946842813E-4</v>
      </c>
      <c r="CW60" s="55">
        <f t="shared" si="166"/>
        <v>2.2041334659662182E-4</v>
      </c>
      <c r="CX60" s="55">
        <f t="shared" si="166"/>
        <v>1.8045918524749053E-4</v>
      </c>
      <c r="CY60" s="55">
        <f t="shared" si="166"/>
        <v>1.4774748463751707E-4</v>
      </c>
      <c r="CZ60" s="55">
        <f t="shared" si="166"/>
        <v>1.20965409362652E-4</v>
      </c>
      <c r="DA60" s="55">
        <f t="shared" si="166"/>
        <v>9.9038100703870152E-5</v>
      </c>
      <c r="DB60" s="55">
        <f t="shared" si="166"/>
        <v>8.1085538772692666E-5</v>
      </c>
      <c r="DC60" s="55">
        <f t="shared" si="166"/>
        <v>6.6387224223100604E-5</v>
      </c>
      <c r="DD60" s="55">
        <f t="shared" si="166"/>
        <v>5.4353262082936028E-5</v>
      </c>
      <c r="DE60" s="55">
        <f t="shared" si="166"/>
        <v>4.4500687197407171E-5</v>
      </c>
      <c r="DF60" s="55">
        <f t="shared" si="166"/>
        <v>3.643408114162077E-5</v>
      </c>
      <c r="DG60" s="55">
        <f t="shared" si="166"/>
        <v>2.9829702690783492E-5</v>
      </c>
      <c r="DH60" s="55">
        <f t="shared" si="166"/>
        <v>2.4422494948117492E-5</v>
      </c>
      <c r="DI60" s="55">
        <f t="shared" si="166"/>
        <v>1.9995447680915455E-5</v>
      </c>
      <c r="DJ60" s="55">
        <f t="shared" si="166"/>
        <v>1.6370887937927308E-5</v>
      </c>
      <c r="DK60" s="55">
        <f t="shared" si="166"/>
        <v>1.3403349409974434E-5</v>
      </c>
      <c r="DL60" s="55">
        <f t="shared" si="166"/>
        <v>1.0973734356195702E-5</v>
      </c>
      <c r="DM60" s="55">
        <f t="shared" si="166"/>
        <v>8.984533793525834E-6</v>
      </c>
      <c r="DN60" s="55">
        <f t="shared" si="166"/>
        <v>7.355914118827989E-6</v>
      </c>
      <c r="DO60" s="55">
        <f t="shared" si="166"/>
        <v>6.0225131060850034E-6</v>
      </c>
      <c r="DP60" s="55">
        <f t="shared" si="166"/>
        <v>4.9308166907669761E-6</v>
      </c>
      <c r="DQ60" s="55">
        <f t="shared" si="166"/>
        <v>4.037011262521132E-6</v>
      </c>
      <c r="DR60" s="55">
        <f t="shared" si="166"/>
        <v>3.3052252711482236E-6</v>
      </c>
      <c r="DS60" s="55">
        <f t="shared" si="166"/>
        <v>2.7060895753395634E-6</v>
      </c>
      <c r="DT60" s="55">
        <f t="shared" si="166"/>
        <v>2.2155587559142382E-6</v>
      </c>
      <c r="DU60" s="55">
        <f t="shared" si="166"/>
        <v>1.813946088718176E-6</v>
      </c>
      <c r="DV60" s="55">
        <f t="shared" si="166"/>
        <v>1.4851334472590928E-6</v>
      </c>
      <c r="DW60" s="55">
        <f t="shared" si="166"/>
        <v>1.2159244256957373E-6</v>
      </c>
      <c r="DX60" s="55">
        <f t="shared" si="166"/>
        <v>9.9551472073578414E-7</v>
      </c>
      <c r="DY60" s="55">
        <f t="shared" si="166"/>
        <v>8.1505851700822597E-7</v>
      </c>
    </row>
    <row r="61" spans="1:129" x14ac:dyDescent="0.45">
      <c r="A61" s="3"/>
      <c r="B61" s="2"/>
      <c r="C61" s="121" t="s">
        <v>265</v>
      </c>
      <c r="D61" s="17"/>
      <c r="E61" s="2"/>
      <c r="F61" s="2"/>
      <c r="G61" s="2"/>
      <c r="H61" s="2"/>
      <c r="I61" s="13"/>
      <c r="J61" s="58"/>
      <c r="K61" s="58"/>
      <c r="L61" s="58"/>
      <c r="M61" s="58"/>
      <c r="N61" s="58"/>
      <c r="O61" s="58"/>
      <c r="P61" s="58"/>
      <c r="Q61" s="58"/>
      <c r="R61" s="58"/>
      <c r="S61" s="58"/>
      <c r="T61" s="58"/>
      <c r="U61" s="119">
        <f>'Plan Moyen Terme (PMT)'!C21-BAU_Liquidité_Dynamique!U60</f>
        <v>16491.382641947406</v>
      </c>
      <c r="V61" s="132">
        <f>IF(AND($U$1&lt;V$1, V$1&lt;$F$60),$U61*(90%*EXP(-20%*(V$1-$U$1))),0)</f>
        <v>12151.801916764882</v>
      </c>
      <c r="W61" s="132">
        <f>IF(AND($U$1&lt;W$1, W$1&lt;$F$60),$U61*(90%*EXP(-20%*(W$1-$U$1))),0)</f>
        <v>9949.0539345673751</v>
      </c>
      <c r="X61" s="132">
        <f>IF(AND($U$1&lt;X$1, X$1&lt;$F$60),$U61*(90%*EXP(-20%*(X$1-$U$1))),0)</f>
        <v>8145.5964202618052</v>
      </c>
      <c r="Y61" s="132">
        <f>IF(AND($U$1&lt;Y$1, Y$1&lt;$F$60),$U61*(90%*EXP(-20%*(Y$1-$U$1))),0)</f>
        <v>6669.0502914302606</v>
      </c>
      <c r="Z61" s="132">
        <f>IF(AND($U$1&lt;Z$1, Z$1&lt;$F$60),$U61*(90%*EXP(-20%*(Z$1-$U$1))),0)</f>
        <v>5460.1565674176327</v>
      </c>
      <c r="AA61" s="132">
        <f>IF(AND($U$1&lt;AA$1, AA$1&lt;$F$60),$U61*(90%*EXP(-20%*(AA$1-$U$1))),0)</f>
        <v>4470.3980983655256</v>
      </c>
      <c r="AB61" s="132">
        <f>IF(AND($U$1&lt;AB$1, AB$1&lt;$F$60),$U61*(90%*EXP(-20%*(AB$1-$U$1))),0)</f>
        <v>3660.0524016331851</v>
      </c>
      <c r="AC61" s="132">
        <f>IF(AND($U$1&lt;AC$1, AC$1&lt;$F$60),$U61*(90%*EXP(-20%*(AC$1-$U$1))),0)</f>
        <v>2996.5974590940141</v>
      </c>
      <c r="AD61" s="132">
        <f>IF(AND($U$1&lt;AD$1, AD$1&lt;$F$60),$U61*(90%*EXP(-20%*(AD$1-$U$1))),0)</f>
        <v>2453.4064943556091</v>
      </c>
      <c r="AE61" s="132">
        <f>IF(AND($U$1&lt;AE$1, AE$1&lt;$F$60),$U61*(90%*EXP(-20%*(AE$1-$U$1))),0)</f>
        <v>2008.6793467301795</v>
      </c>
      <c r="AF61" s="132">
        <f>IF(AND($U$1&lt;AF$1, AF$1&lt;$F$60),$U61*(90%*EXP(-20%*(AF$1-$U$1))),0)</f>
        <v>1644.5675542405882</v>
      </c>
      <c r="AG61" s="132">
        <f>IF(AND($U$1&lt;AG$1, AG$1&lt;$F$60),$U61*(90%*EXP(-20%*(AG$1-$U$1))),0)</f>
        <v>1346.4580321710112</v>
      </c>
      <c r="AH61" s="132">
        <f>IF(AND($U$1&lt;AH$1, AH$1&lt;$F$60),$U61*(90%*EXP(-20%*(AH$1-$U$1))),0)</f>
        <v>1102.3865986672699</v>
      </c>
      <c r="AI61" s="132">
        <f>IF(AND($U$1&lt;AI$1, AI$1&lt;$F$60),$U61*(90%*EXP(-20%*(AI$1-$U$1))),0)</f>
        <v>902.5578101099286</v>
      </c>
      <c r="AJ61" s="132">
        <f>IF(AND($U$1&lt;AJ$1, AJ$1&lt;$F$60),$U61*(90%*EXP(-20%*(AJ$1-$U$1))),0)</f>
        <v>738.95183556771622</v>
      </c>
      <c r="AK61" s="132">
        <f>IF(AND($U$1&lt;AK$1, AK$1&lt;$F$60),$U61*(90%*EXP(-20%*(AK$1-$U$1))),0)</f>
        <v>605.00259282271315</v>
      </c>
      <c r="AL61" s="132">
        <f>IF(AND($U$1&lt;AL$1, AL$1&lt;$F$60),$U61*(90%*EXP(-20%*(AL$1-$U$1))),0)</f>
        <v>495.33422843587152</v>
      </c>
      <c r="AM61" s="132">
        <f>IF(AND($U$1&lt;AM$1, AM$1&lt;$F$60),$U61*(90%*EXP(-20%*(AM$1-$U$1))),0)</f>
        <v>405.5453658726023</v>
      </c>
      <c r="AN61" s="132">
        <f>IF(AND($U$1&lt;AN$1, AN$1&lt;$F$60),$U61*(90%*EXP(-20%*(AN$1-$U$1))),0)</f>
        <v>332.03246280816131</v>
      </c>
      <c r="AO61" s="132">
        <f>IF(AND($U$1&lt;AO$1, AO$1&lt;$F$60),$U61*(90%*EXP(-20%*(AO$1-$U$1))),0)</f>
        <v>271.84518832126298</v>
      </c>
      <c r="AP61" s="132">
        <f>IF(AND($U$1&lt;AP$1, AP$1&lt;$F$60),$U61*(90%*EXP(-20%*(AP$1-$U$1))),0)</f>
        <v>222.56801575489339</v>
      </c>
      <c r="AQ61" s="132">
        <f>IF(AND($U$1&lt;AQ$1, AQ$1&lt;$F$60),$U61*(90%*EXP(-20%*(AQ$1-$U$1))),0)</f>
        <v>182.22327915007594</v>
      </c>
      <c r="AR61" s="132">
        <f>IF(AND($U$1&lt;AR$1, AR$1&lt;$F$60),$U61*(90%*EXP(-20%*(AR$1-$U$1))),0)</f>
        <v>149.19180256688097</v>
      </c>
      <c r="AS61" s="132">
        <f>IF(AND($U$1&lt;AS$1, AS$1&lt;$F$60),$U61*(90%*EXP(-20%*(AS$1-$U$1))),0)</f>
        <v>122.14791686864403</v>
      </c>
      <c r="AT61" s="132">
        <f>IF(AND($U$1&lt;AT$1, AT$1&lt;$F$60),$U61*(90%*EXP(-20%*(AT$1-$U$1))),0)</f>
        <v>100.00625596477173</v>
      </c>
      <c r="AU61" s="132">
        <f>IF(AND($U$1&lt;AU$1, AU$1&lt;$F$60),$U61*(90%*EXP(-20%*(AU$1-$U$1))),0)</f>
        <v>81.878197258546948</v>
      </c>
      <c r="AV61" s="132">
        <f>IF(AND($U$1&lt;AV$1, AV$1&lt;$F$60),$U61*(90%*EXP(-20%*(AV$1-$U$1))),0)</f>
        <v>67.036198102157684</v>
      </c>
      <c r="AW61" s="132">
        <f>IF(AND($U$1&lt;AW$1, AW$1&lt;$F$60),$U61*(90%*EXP(-20%*(AW$1-$U$1))),0)</f>
        <v>54.884596955664328</v>
      </c>
      <c r="AX61" s="132">
        <f>IF(AND($U$1&lt;AX$1, AX$1&lt;$F$60),$U61*(90%*EXP(-20%*(AX$1-$U$1))),0)</f>
        <v>44.935707397892564</v>
      </c>
      <c r="AY61" s="132">
        <f>IF(AND($U$1&lt;AY$1, AY$1&lt;$F$60),$U61*(90%*EXP(-20%*(AY$1-$U$1))),0)</f>
        <v>36.79024555796844</v>
      </c>
      <c r="AZ61" s="132">
        <f>IF(AND($U$1&lt;AZ$1, AZ$1&lt;$F$60),$U61*(90%*EXP(-20%*(AZ$1-$U$1))),0)</f>
        <v>30.121305451599376</v>
      </c>
      <c r="BA61" s="132">
        <f>IF(AND($U$1&lt;BA$1, BA$1&lt;$F$60),$U61*(90%*EXP(-20%*(BA$1-$U$1))),0)</f>
        <v>24.661239096079871</v>
      </c>
      <c r="BB61" s="132">
        <f>IF(AND($U$1&lt;BB$1, BB$1&lt;$F$60),$U61*(90%*EXP(-20%*(BB$1-$U$1))),0)</f>
        <v>20.190914856969638</v>
      </c>
      <c r="BC61" s="132">
        <f>IF(AND($U$1&lt;BC$1, BC$1&lt;$F$60),$U61*(90%*EXP(-20%*(BC$1-$U$1))),0)</f>
        <v>16.530922926180164</v>
      </c>
      <c r="BD61" s="132">
        <f>IF(AND($U$1&lt;BD$1, BD$1&lt;$F$60),$U61*(90%*EXP(-20%*(BD$1-$U$1))),0)</f>
        <v>13.534374976425569</v>
      </c>
      <c r="BE61" s="132">
        <f>IF(AND($U$1&lt;BE$1, BE$1&lt;$F$60),$U61*(90%*EXP(-20%*(BE$1-$U$1))),0)</f>
        <v>11.081009016888697</v>
      </c>
      <c r="BF61" s="132">
        <f>IF(AND($U$1&lt;BF$1, BF$1&lt;$F$60),$U61*(90%*EXP(-20%*(BF$1-$U$1))),0)</f>
        <v>9.0723628572611865</v>
      </c>
      <c r="BG61" s="132">
        <f>IF(AND($U$1&lt;BG$1, BG$1&lt;$F$60),$U61*(90%*EXP(-20%*(BG$1-$U$1))),0)</f>
        <v>7.4278224743221619</v>
      </c>
      <c r="BH61" s="132">
        <f>IF(AND($U$1&lt;BH$1, BH$1&lt;$F$60),$U61*(90%*EXP(-20%*(BH$1-$U$1))),0)</f>
        <v>6.0813866881313423</v>
      </c>
      <c r="BI61" s="132">
        <f>IF(AND($U$1&lt;BI$1, BI$1&lt;$F$60),$U61*(90%*EXP(-20%*(BI$1-$U$1))),0)</f>
        <v>4.9790183029321913</v>
      </c>
      <c r="BJ61" s="132">
        <f>IF(AND($U$1&lt;BJ$1, BJ$1&lt;$F$60),$U61*(90%*EXP(-20%*(BJ$1-$U$1))),0)</f>
        <v>4.0764754047487237</v>
      </c>
      <c r="BK61" s="132">
        <f>IF(AND($U$1&lt;BK$1, BK$1&lt;$F$60),$U61*(90%*EXP(-20%*(BK$1-$U$1))),0)</f>
        <v>3.337535778033796</v>
      </c>
      <c r="BL61" s="132">
        <f>IF(AND($U$1&lt;BL$1, BL$1&lt;$F$60),$U61*(90%*EXP(-20%*(BL$1-$U$1))),0)</f>
        <v>2.7325431809743197</v>
      </c>
      <c r="BM61" s="132">
        <f>IF(AND($U$1&lt;BM$1, BM$1&lt;$F$60),$U61*(90%*EXP(-20%*(BM$1-$U$1))),0)</f>
        <v>2.2372171363772066</v>
      </c>
      <c r="BN61" s="132">
        <f>IF(AND($U$1&lt;BN$1, BN$1&lt;$F$60),$U61*(90%*EXP(-20%*(BN$1-$U$1))),0)</f>
        <v>1.8316784708650777</v>
      </c>
      <c r="BO61" s="132">
        <f>IF(AND($U$1&lt;BO$1, BO$1&lt;$F$60),$U61*(90%*EXP(-20%*(BO$1-$U$1))),0)</f>
        <v>1.4996514938480896</v>
      </c>
      <c r="BP61" s="132">
        <f>IF(AND($U$1&lt;BP$1, BP$1&lt;$F$60),$U61*(90%*EXP(-20%*(BP$1-$U$1))),0)</f>
        <v>1.2278107969127676</v>
      </c>
      <c r="BQ61" s="132">
        <f>IF(AND($U$1&lt;BQ$1, BQ$1&lt;$F$60),$U61*(90%*EXP(-20%*(BQ$1-$U$1))),0)</f>
        <v>1.0052464583936662</v>
      </c>
      <c r="BR61" s="132">
        <f>IF(AND($U$1&lt;BR$1, BR$1&lt;$F$60),$U61*(90%*EXP(-20%*(BR$1-$U$1))),0)</f>
        <v>0.82302618990962118</v>
      </c>
      <c r="BS61" s="132">
        <f>IF(AND($U$1&lt;BS$1, BS$1&lt;$F$60),$U61*(90%*EXP(-20%*(BS$1-$U$1))),0)</f>
        <v>0.6738368522676067</v>
      </c>
      <c r="BT61" s="132">
        <f>IF(AND($U$1&lt;BT$1, BT$1&lt;$F$60),$U61*(90%*EXP(-20%*(BT$1-$U$1))),0)</f>
        <v>0.55169095350875386</v>
      </c>
      <c r="BU61" s="132">
        <f>IF(AND($U$1&lt;BU$1, BU$1&lt;$F$60),$U61*(90%*EXP(-20%*(BU$1-$U$1))),0)</f>
        <v>0.4516863498325322</v>
      </c>
      <c r="BV61" s="132">
        <f>IF(AND($U$1&lt;BV$1, BV$1&lt;$F$60),$U61*(90%*EXP(-20%*(BV$1-$U$1))),0)</f>
        <v>0.36980950535343349</v>
      </c>
      <c r="BW61" s="132">
        <f>IF(AND($U$1&lt;BW$1, BW$1&lt;$F$60),$U61*(90%*EXP(-20%*(BW$1-$U$1))),0)</f>
        <v>0.30277441481341283</v>
      </c>
      <c r="BX61" s="132">
        <f>IF(AND($U$1&lt;BX$1, BX$1&lt;$F$60),$U61*(90%*EXP(-20%*(BX$1-$U$1))),0)</f>
        <v>0.24789072465293091</v>
      </c>
      <c r="BY61" s="132">
        <f>IF(AND($U$1&lt;BY$1, BY$1&lt;$F$60),$U61*(90%*EXP(-20%*(BY$1-$U$1))),0)</f>
        <v>0.20295575967614055</v>
      </c>
      <c r="BZ61" s="132">
        <f>IF(AND($U$1&lt;BZ$1, BZ$1&lt;$F$60),$U61*(90%*EXP(-20%*(BZ$1-$U$1))),0)</f>
        <v>0.16616612196116057</v>
      </c>
      <c r="CA61" s="132">
        <f>IF(AND($U$1&lt;CA$1, CA$1&lt;$F$60),$U61*(90%*EXP(-20%*(CA$1-$U$1))),0)</f>
        <v>0.13604531416930862</v>
      </c>
      <c r="CB61" s="132">
        <f>IF(AND($U$1&lt;CB$1, CB$1&lt;$F$60),$U61*(90%*EXP(-20%*(CB$1-$U$1))),0)</f>
        <v>0.11138448252256877</v>
      </c>
      <c r="CC61" s="132">
        <f>IF(AND($U$1&lt;CC$1, CC$1&lt;$F$60),$U61*(90%*EXP(-20%*(CC$1-$U$1))),0)</f>
        <v>9.1193901256904103E-2</v>
      </c>
      <c r="CD61" s="132">
        <f>IF(AND($U$1&lt;CD$1, CD$1&lt;$F$60),$U61*(90%*EXP(-20%*(CD$1-$U$1))),0)</f>
        <v>7.4663251452184137E-2</v>
      </c>
      <c r="CE61" s="132">
        <f>IF(AND($U$1&lt;CE$1, CE$1&lt;$F$60),$U61*(90%*EXP(-20%*(CE$1-$U$1))),0)</f>
        <v>6.1129100088697479E-2</v>
      </c>
      <c r="CF61" s="132">
        <f>IF(AND($U$1&lt;CF$1, CF$1&lt;$F$60),$U61*(90%*EXP(-20%*(CF$1-$U$1))),0)</f>
        <v>5.0048274150598558E-2</v>
      </c>
      <c r="CG61" s="132">
        <f>IF(AND($U$1&lt;CG$1, CG$1&lt;$F$60),$U61*(90%*EXP(-20%*(CG$1-$U$1))),0)</f>
        <v>4.0976061185572885E-2</v>
      </c>
      <c r="CH61" s="132">
        <f>IF(AND($U$1&lt;CH$1, CH$1&lt;$F$60),$U61*(90%*EXP(-20%*(CH$1-$U$1))),0)</f>
        <v>3.3548361432633574E-2</v>
      </c>
      <c r="CI61" s="132">
        <f>IF(AND($U$1&lt;CI$1, CI$1&lt;$F$60),$U61*(90%*EXP(-20%*(CI$1-$U$1))),0)</f>
        <v>2.7467075220272377E-2</v>
      </c>
      <c r="CJ61" s="132">
        <f t="shared" ref="CJ61:DY61" si="167">IF(AND($U$1&lt;CJ$1, CJ$1&lt;$F$60),$U61*(90%*EXP(-20%*(CJ$1-$U$1))),0)</f>
        <v>2.2488139179943193E-2</v>
      </c>
      <c r="CK61" s="132">
        <f t="shared" si="167"/>
        <v>1.8411731126117343E-2</v>
      </c>
      <c r="CL61" s="132">
        <f t="shared" si="167"/>
        <v>1.507425049035538E-2</v>
      </c>
      <c r="CM61" s="132">
        <f t="shared" si="167"/>
        <v>1.2341752456054806E-2</v>
      </c>
      <c r="CN61" s="132">
        <f t="shared" si="167"/>
        <v>1.0104572282647774E-2</v>
      </c>
      <c r="CO61" s="132">
        <f t="shared" si="167"/>
        <v>8.2729240745031182E-3</v>
      </c>
      <c r="CP61" s="132">
        <f t="shared" si="167"/>
        <v>6.7732973576748977E-3</v>
      </c>
      <c r="CQ61" s="132">
        <f t="shared" si="167"/>
        <v>5.5455068464702771E-3</v>
      </c>
      <c r="CR61" s="132">
        <f t="shared" si="167"/>
        <v>4.5402769966097177E-3</v>
      </c>
      <c r="CS61" s="132">
        <f t="shared" si="167"/>
        <v>3.7172644046169078E-3</v>
      </c>
      <c r="CT61" s="132">
        <f t="shared" si="167"/>
        <v>3.0434386853819793E-3</v>
      </c>
      <c r="CU61" s="132">
        <f t="shared" si="167"/>
        <v>2.4917568468294485E-3</v>
      </c>
      <c r="CV61" s="132">
        <f t="shared" si="167"/>
        <v>2.0400779596918927E-3</v>
      </c>
      <c r="CW61" s="132">
        <f t="shared" si="167"/>
        <v>1.6702745642763375E-3</v>
      </c>
      <c r="CX61" s="132">
        <f t="shared" si="167"/>
        <v>1.3675051518569649E-3</v>
      </c>
      <c r="CY61" s="132">
        <f t="shared" si="167"/>
        <v>1.1196185228178695E-3</v>
      </c>
      <c r="CZ61" s="132">
        <f t="shared" si="167"/>
        <v>9.1666611634673271E-4</v>
      </c>
      <c r="DA61" s="132">
        <f t="shared" si="167"/>
        <v>7.5050273975762983E-4</v>
      </c>
      <c r="DB61" s="132">
        <f t="shared" si="167"/>
        <v>6.1445967330885348E-4</v>
      </c>
      <c r="DC61" s="132">
        <f t="shared" si="167"/>
        <v>5.030770310642086E-4</v>
      </c>
      <c r="DD61" s="132">
        <f t="shared" si="167"/>
        <v>4.1188463649943362E-4</v>
      </c>
      <c r="DE61" s="132">
        <f t="shared" si="167"/>
        <v>3.3722261862243228E-4</v>
      </c>
      <c r="DF61" s="132">
        <f t="shared" si="167"/>
        <v>2.7609452849967328E-4</v>
      </c>
      <c r="DG61" s="132">
        <f t="shared" si="167"/>
        <v>2.2604708123924799E-4</v>
      </c>
      <c r="DH61" s="132">
        <f t="shared" si="167"/>
        <v>1.8507169705408939E-4</v>
      </c>
      <c r="DI61" s="132">
        <f t="shared" si="167"/>
        <v>1.5152388990251429E-4</v>
      </c>
      <c r="DJ61" s="132">
        <f t="shared" si="167"/>
        <v>1.2405726848919082E-4</v>
      </c>
      <c r="DK61" s="132">
        <f t="shared" si="167"/>
        <v>1.0156950085495266E-4</v>
      </c>
      <c r="DL61" s="132">
        <f t="shared" si="167"/>
        <v>8.315807392473018E-5</v>
      </c>
      <c r="DM61" s="132">
        <f t="shared" si="167"/>
        <v>6.8084072488908641E-5</v>
      </c>
      <c r="DN61" s="132">
        <f t="shared" si="167"/>
        <v>5.5742523941460112E-5</v>
      </c>
      <c r="DO61" s="132">
        <f t="shared" si="167"/>
        <v>4.5638118605059096E-5</v>
      </c>
      <c r="DP61" s="132">
        <f t="shared" si="167"/>
        <v>3.7365331214582317E-5</v>
      </c>
      <c r="DQ61" s="132">
        <f t="shared" si="167"/>
        <v>3.0592145764323227E-5</v>
      </c>
      <c r="DR61" s="132">
        <f t="shared" si="167"/>
        <v>2.5046730539895674E-5</v>
      </c>
      <c r="DS61" s="132">
        <f t="shared" si="167"/>
        <v>2.0506528557070087E-5</v>
      </c>
      <c r="DT61" s="132">
        <f t="shared" si="167"/>
        <v>1.6789325568545147E-5</v>
      </c>
      <c r="DU61" s="132">
        <f t="shared" si="167"/>
        <v>1.3745937166406395E-5</v>
      </c>
      <c r="DV61" s="132">
        <f t="shared" si="167"/>
        <v>1.1254221488014535E-5</v>
      </c>
      <c r="DW61" s="132">
        <f t="shared" si="167"/>
        <v>9.2141772341885191E-6</v>
      </c>
      <c r="DX61" s="132">
        <f t="shared" si="167"/>
        <v>7.5439302659411678E-6</v>
      </c>
      <c r="DY61" s="132">
        <f t="shared" si="167"/>
        <v>0</v>
      </c>
    </row>
    <row r="62" spans="1:129" x14ac:dyDescent="0.45">
      <c r="A62" s="3"/>
      <c r="B62" s="2"/>
      <c r="C62" s="122" t="s">
        <v>266</v>
      </c>
      <c r="D62" s="17"/>
      <c r="E62" s="2"/>
      <c r="F62" s="2"/>
      <c r="G62" s="2"/>
      <c r="H62" s="2"/>
      <c r="I62" s="13"/>
      <c r="J62" s="58"/>
      <c r="K62" s="58"/>
      <c r="L62" s="58"/>
      <c r="M62" s="58"/>
      <c r="N62" s="58"/>
      <c r="O62" s="58"/>
      <c r="P62" s="58"/>
      <c r="Q62" s="58"/>
      <c r="R62" s="58"/>
      <c r="S62" s="58"/>
      <c r="T62" s="58"/>
      <c r="U62" s="95"/>
      <c r="V62" s="91"/>
      <c r="W62" s="91"/>
      <c r="X62" s="91"/>
      <c r="Y62" s="91"/>
      <c r="Z62" s="55"/>
      <c r="AA62" s="55"/>
      <c r="AB62" s="55"/>
      <c r="AC62" s="55"/>
      <c r="AD62" s="55"/>
      <c r="AE62" s="55"/>
      <c r="AF62" s="55"/>
      <c r="AG62" s="129">
        <f>'Plan Moyen Terme (PMT)'!D21-BAU_Liquidité_Dynamique!AG60</f>
        <v>33064.31824200035</v>
      </c>
      <c r="AH62" s="129">
        <f>IF(AND($AG$1&lt;AH$1, AH$1&lt;$F$60),$AG62*(90%*EXP(-20%*(AH$1-$AG$1))),0)</f>
        <v>24363.696756854697</v>
      </c>
      <c r="AI62" s="129">
        <f>IF(AND($AG$1&lt;AI$1, AI$1&lt;$F$60),$AG62*(90%*EXP(-20%*(AI$1-$AG$1))),0)</f>
        <v>19947.307793503234</v>
      </c>
      <c r="AJ62" s="129">
        <f>IF(AND($AG$1&lt;AJ$1, AJ$1&lt;$F$60),$AG62*(90%*EXP(-20%*(AJ$1-$AG$1))),0)</f>
        <v>16331.474331653197</v>
      </c>
      <c r="AK62" s="129">
        <f>IF(AND($AG$1&lt;AK$1, AK$1&lt;$F$60),$AG62*(90%*EXP(-20%*(AK$1-$AG$1))),0)</f>
        <v>13371.080278428153</v>
      </c>
      <c r="AL62" s="129">
        <f>IF(AND($AG$1&lt;AL$1, AL$1&lt;$F$60),$AG62*(90%*EXP(-20%*(AL$1-$AG$1))),0)</f>
        <v>10947.314625823636</v>
      </c>
      <c r="AM62" s="129">
        <f>IF(AND($AG$1&lt;AM$1, AM$1&lt;$F$60),$AG62*(90%*EXP(-20%*(AM$1-$AG$1))),0)</f>
        <v>8962.9031477821864</v>
      </c>
      <c r="AN62" s="129">
        <f>IF(AND($AG$1&lt;AN$1, AN$1&lt;$F$60),$AG62*(90%*EXP(-20%*(AN$1-$AG$1))),0)</f>
        <v>7338.2044439487245</v>
      </c>
      <c r="AO62" s="129">
        <f>IF(AND($AG$1&lt;AO$1, AO$1&lt;$F$60),$AG62*(90%*EXP(-20%*(AO$1-$AG$1))),0)</f>
        <v>6008.0136506343333</v>
      </c>
      <c r="AP62" s="129">
        <f>IF(AND($AG$1&lt;AP$1, AP$1&lt;$F$60),$AG62*(90%*EXP(-20%*(AP$1-$AG$1))),0)</f>
        <v>4918.9455406866427</v>
      </c>
      <c r="AQ62" s="129">
        <f>IF(AND($AG$1&lt;AQ$1, AQ$1&lt;$F$60),$AG62*(90%*EXP(-20%*(AQ$1-$AG$1))),0)</f>
        <v>4027.2919868759559</v>
      </c>
      <c r="AR62" s="129">
        <f>IF(AND($AG$1&lt;AR$1, AR$1&lt;$F$60),$AG62*(90%*EXP(-20%*(AR$1-$AG$1))),0)</f>
        <v>3297.2678012798729</v>
      </c>
      <c r="AS62" s="129">
        <f>IF(AND($AG$1&lt;AS$1, AS$1&lt;$F$60),$AG62*(90%*EXP(-20%*(AS$1-$AG$1))),0)</f>
        <v>2699.574550041651</v>
      </c>
      <c r="AT62" s="129">
        <f>IF(AND($AG$1&lt;AT$1, AT$1&lt;$F$60),$AG62*(90%*EXP(-20%*(AT$1-$AG$1))),0)</f>
        <v>2210.2247043457555</v>
      </c>
      <c r="AU62" s="129">
        <f>IF(AND($AG$1&lt;AU$1, AU$1&lt;$F$60),$AG62*(90%*EXP(-20%*(AU$1-$AG$1))),0)</f>
        <v>1809.5789366605597</v>
      </c>
      <c r="AV62" s="129">
        <f>IF(AND($AG$1&lt;AV$1, AV$1&lt;$F$60),$AG62*(90%*EXP(-20%*(AV$1-$AG$1))),0)</f>
        <v>1481.5579255661542</v>
      </c>
      <c r="AW62" s="129">
        <f>IF(AND($AG$1&lt;AW$1, AW$1&lt;$F$60),$AG62*(90%*EXP(-20%*(AW$1-$AG$1))),0)</f>
        <v>1212.9970361274297</v>
      </c>
      <c r="AX62" s="129">
        <f>IF(AND($AG$1&lt;AX$1, AX$1&lt;$F$60),$AG62*(90%*EXP(-20%*(AX$1-$AG$1))),0)</f>
        <v>993.11797686997033</v>
      </c>
      <c r="AY62" s="129">
        <f>IF(AND($AG$1&lt;AY$1, AY$1&lt;$F$60),$AG62*(90%*EXP(-20%*(AY$1-$AG$1))),0)</f>
        <v>813.09622909803284</v>
      </c>
      <c r="AZ62" s="129">
        <f>IF(AND($AG$1&lt;AZ$1, AZ$1&lt;$F$60),$AG62*(90%*EXP(-20%*(AZ$1-$AG$1))),0)</f>
        <v>665.70688797429966</v>
      </c>
      <c r="BA62" s="129">
        <f>IF(AND($AG$1&lt;BA$1, BA$1&lt;$F$60),$AG62*(90%*EXP(-20%*(BA$1-$AG$1))),0)</f>
        <v>545.03470172039806</v>
      </c>
      <c r="BB62" s="129">
        <f>IF(AND($AG$1&lt;BB$1, BB$1&lt;$F$60),$AG62*(90%*EXP(-20%*(BB$1-$AG$1))),0)</f>
        <v>446.23667179317471</v>
      </c>
      <c r="BC62" s="129">
        <f>IF(AND($AG$1&lt;BC$1, BC$1&lt;$F$60),$AG62*(90%*EXP(-20%*(BC$1-$AG$1))),0)</f>
        <v>365.34768634823808</v>
      </c>
      <c r="BD62" s="129">
        <f>IF(AND($AG$1&lt;BD$1, BD$1&lt;$F$60),$AG62*(90%*EXP(-20%*(BD$1-$AG$1))),0)</f>
        <v>299.12138637919122</v>
      </c>
      <c r="BE62" s="129">
        <f>IF(AND($AG$1&lt;BE$1, BE$1&lt;$F$60),$AG62*(90%*EXP(-20%*(BE$1-$AG$1))),0)</f>
        <v>244.89987793196519</v>
      </c>
      <c r="BF62" s="129">
        <f>IF(AND($AG$1&lt;BF$1, BF$1&lt;$F$60),$AG62*(90%*EXP(-20%*(BF$1-$AG$1))),0)</f>
        <v>200.50706148794384</v>
      </c>
      <c r="BG62" s="129">
        <f>IF(AND($AG$1&lt;BG$1, BG$1&lt;$F$60),$AG62*(90%*EXP(-20%*(BG$1-$AG$1))),0)</f>
        <v>164.16129744947742</v>
      </c>
      <c r="BH62" s="129">
        <f>IF(AND($AG$1&lt;BH$1, BH$1&lt;$F$60),$AG62*(90%*EXP(-20%*(BH$1-$AG$1))),0)</f>
        <v>134.40390268706921</v>
      </c>
      <c r="BI62" s="129">
        <f>IF(AND($AG$1&lt;BI$1, BI$1&lt;$F$60),$AG62*(90%*EXP(-20%*(BI$1-$AG$1))),0)</f>
        <v>110.04060846360395</v>
      </c>
      <c r="BJ62" s="129">
        <f>IF(AND($AG$1&lt;BJ$1, BJ$1&lt;$F$60),$AG62*(90%*EXP(-20%*(BJ$1-$AG$1))),0)</f>
        <v>90.093630236565801</v>
      </c>
      <c r="BK62" s="129">
        <f>IF(AND($AG$1&lt;BK$1, BK$1&lt;$F$60),$AG62*(90%*EXP(-20%*(BK$1-$AG$1))),0)</f>
        <v>73.762425731112799</v>
      </c>
      <c r="BL62" s="129">
        <f>IF(AND($AG$1&lt;BL$1, BL$1&lt;$F$60),$AG62*(90%*EXP(-20%*(BL$1-$AG$1))),0)</f>
        <v>60.391566367692675</v>
      </c>
      <c r="BM62" s="129">
        <f>IF(AND($AG$1&lt;BM$1, BM$1&lt;$F$60),$AG62*(90%*EXP(-20%*(BM$1-$AG$1))),0)</f>
        <v>49.444432611779938</v>
      </c>
      <c r="BN62" s="129">
        <f>IF(AND($AG$1&lt;BN$1, BN$1&lt;$F$60),$AG62*(90%*EXP(-20%*(BN$1-$AG$1))),0)</f>
        <v>40.481677547756107</v>
      </c>
      <c r="BO62" s="129">
        <f>IF(AND($AG$1&lt;BO$1, BO$1&lt;$F$60),$AG62*(90%*EXP(-20%*(BO$1-$AG$1))),0)</f>
        <v>33.143594344534385</v>
      </c>
      <c r="BP62" s="129">
        <f>IF(AND($AG$1&lt;BP$1, BP$1&lt;$F$60),$AG62*(90%*EXP(-20%*(BP$1-$AG$1))),0)</f>
        <v>27.135679957411796</v>
      </c>
      <c r="BQ62" s="129">
        <f>IF(AND($AG$1&lt;BQ$1, BQ$1&lt;$F$60),$AG62*(90%*EXP(-20%*(BQ$1-$AG$1))),0)</f>
        <v>22.216815686814851</v>
      </c>
      <c r="BR62" s="129">
        <f>IF(AND($AG$1&lt;BR$1, BR$1&lt;$F$60),$AG62*(90%*EXP(-20%*(BR$1-$AG$1))),0)</f>
        <v>18.189590238260639</v>
      </c>
      <c r="BS62" s="129">
        <f>IF(AND($AG$1&lt;BS$1, BS$1&lt;$F$60),$AG62*(90%*EXP(-20%*(BS$1-$AG$1))),0)</f>
        <v>14.892376913951038</v>
      </c>
      <c r="BT62" s="129">
        <f>IF(AND($AG$1&lt;BT$1, BT$1&lt;$F$60),$AG62*(90%*EXP(-20%*(BT$1-$AG$1))),0)</f>
        <v>12.192846965880285</v>
      </c>
      <c r="BU62" s="129">
        <f>IF(AND($AG$1&lt;BU$1, BU$1&lt;$F$60),$AG62*(90%*EXP(-20%*(BU$1-$AG$1))),0)</f>
        <v>9.9826587785397596</v>
      </c>
      <c r="BV62" s="129">
        <f>IF(AND($AG$1&lt;BV$1, BV$1&lt;$F$60),$AG62*(90%*EXP(-20%*(BV$1-$AG$1))),0)</f>
        <v>8.1731097394743752</v>
      </c>
      <c r="BW62" s="129">
        <f>IF(AND($AG$1&lt;BW$1, BW$1&lt;$F$60),$AG62*(90%*EXP(-20%*(BW$1-$AG$1))),0)</f>
        <v>6.6915762919888477</v>
      </c>
      <c r="BX62" s="129">
        <f>IF(AND($AG$1&lt;BX$1, BX$1&lt;$F$60),$AG62*(90%*EXP(-20%*(BX$1-$AG$1))),0)</f>
        <v>5.4785992968188024</v>
      </c>
      <c r="BY62" s="129">
        <f>IF(AND($AG$1&lt;BY$1, BY$1&lt;$F$60),$AG62*(90%*EXP(-20%*(BY$1-$AG$1))),0)</f>
        <v>4.4854977280969557</v>
      </c>
      <c r="BZ62" s="129">
        <f>IF(AND($AG$1&lt;BZ$1, BZ$1&lt;$F$60),$AG62*(90%*EXP(-20%*(BZ$1-$AG$1))),0)</f>
        <v>3.6724149328543998</v>
      </c>
      <c r="CA62" s="129">
        <f>IF(AND($AG$1&lt;CA$1, CA$1&lt;$F$60),$AG62*(90%*EXP(-20%*(CA$1-$AG$1))),0)</f>
        <v>3.0067190435907052</v>
      </c>
      <c r="CB62" s="129">
        <f>IF(AND($AG$1&lt;CB$1, CB$1&lt;$F$60),$AG62*(90%*EXP(-20%*(CB$1-$AG$1))),0)</f>
        <v>2.4616933468529294</v>
      </c>
      <c r="CC62" s="129">
        <f>IF(AND($AG$1&lt;CC$1, CC$1&lt;$F$60),$AG62*(90%*EXP(-20%*(CC$1-$AG$1))),0)</f>
        <v>2.0154640477159544</v>
      </c>
      <c r="CD62" s="129">
        <f>IF(AND($AG$1&lt;CD$1, CD$1&lt;$F$60),$AG62*(90%*EXP(-20%*(CD$1-$AG$1))),0)</f>
        <v>1.6501223975880819</v>
      </c>
      <c r="CE62" s="129">
        <f>IF(AND($AG$1&lt;CE$1, CE$1&lt;$F$60),$AG62*(90%*EXP(-20%*(CE$1-$AG$1))),0)</f>
        <v>1.3510059532481362</v>
      </c>
      <c r="CF62" s="129">
        <f>IF(AND($AG$1&lt;CF$1, CF$1&lt;$F$60),$AG62*(90%*EXP(-20%*(CF$1-$AG$1))),0)</f>
        <v>1.1061101215156823</v>
      </c>
      <c r="CG62" s="129">
        <f>IF(AND($AG$1&lt;CG$1, CG$1&lt;$F$60),$AG62*(90%*EXP(-20%*(CG$1-$AG$1))),0)</f>
        <v>0.9056063727757131</v>
      </c>
      <c r="CH62" s="129">
        <f>IF(AND($AG$1&lt;CH$1, CH$1&lt;$F$60),$AG62*(90%*EXP(-20%*(CH$1-$AG$1))),0)</f>
        <v>0.74144778757487839</v>
      </c>
      <c r="CI62" s="129">
        <f>IF(AND($AG$1&lt;CI$1, CI$1&lt;$F$60),$AG62*(90%*EXP(-20%*(CI$1-$AG$1))),0)</f>
        <v>0.60704610548918425</v>
      </c>
      <c r="CJ62" s="129">
        <f>IF(AND($AG$1&lt;CJ$1, CJ$1&lt;$F$60),$AG62*(90%*EXP(-20%*(CJ$1-$AG$1))),0)</f>
        <v>0.49700731510021612</v>
      </c>
      <c r="CK62" s="129">
        <f>IF(AND($AG$1&lt;CK$1, CK$1&lt;$F$60),$AG62*(90%*EXP(-20%*(CK$1-$AG$1))),0)</f>
        <v>0.40691517337726535</v>
      </c>
      <c r="CL62" s="129">
        <f>IF(AND($AG$1&lt;CL$1, CL$1&lt;$F$60),$AG62*(90%*EXP(-20%*(CL$1-$AG$1))),0)</f>
        <v>0.33315396633802624</v>
      </c>
      <c r="CM62" s="129">
        <f>IF(AND($AG$1&lt;CM$1, CM$1&lt;$F$60),$AG62*(90%*EXP(-20%*(CM$1-$AG$1))),0)</f>
        <v>0.27276339775084857</v>
      </c>
      <c r="CN62" s="129">
        <f>IF(AND($AG$1&lt;CN$1, CN$1&lt;$F$60),$AG62*(90%*EXP(-20%*(CN$1-$AG$1))),0)</f>
        <v>0.22331978205266151</v>
      </c>
      <c r="CO62" s="129">
        <f>IF(AND($AG$1&lt;CO$1, CO$1&lt;$F$60),$AG62*(90%*EXP(-20%*(CO$1-$AG$1))),0)</f>
        <v>0.18283877333718646</v>
      </c>
      <c r="CP62" s="129">
        <f>IF(AND($AG$1&lt;CP$1, CP$1&lt;$F$60),$AG62*(90%*EXP(-20%*(CP$1-$AG$1))),0)</f>
        <v>0.14969572658620894</v>
      </c>
      <c r="CQ62" s="129">
        <f>IF(AND($AG$1&lt;CQ$1, CQ$1&lt;$F$60),$AG62*(90%*EXP(-20%*(CQ$1-$AG$1))),0)</f>
        <v>0.1225604949604826</v>
      </c>
      <c r="CR62" s="129">
        <f>IF(AND($AG$1&lt;CR$1, CR$1&lt;$F$60),$AG62*(90%*EXP(-20%*(CR$1-$AG$1))),0)</f>
        <v>0.10034404633660601</v>
      </c>
      <c r="CS62" s="129">
        <f>IF(AND($AG$1&lt;CS$1, CS$1&lt;$F$60),$AG62*(90%*EXP(-20%*(CS$1-$AG$1))),0)</f>
        <v>8.2154756624061409E-2</v>
      </c>
      <c r="CT62" s="129">
        <f>IF(AND($AG$1&lt;CT$1, CT$1&lt;$F$60),$AG62*(90%*EXP(-20%*(CT$1-$AG$1))),0)</f>
        <v>6.7262625759756167E-2</v>
      </c>
      <c r="CU62" s="129">
        <f t="shared" ref="CU62:DY62" si="168">IF(AND($AG$1&lt;CU$1, CU$1&lt;$F$60),$AG62*(90%*EXP(-20%*(CU$1-$AG$1))),0)</f>
        <v>5.5069980242287563E-2</v>
      </c>
      <c r="CV62" s="129">
        <f t="shared" si="168"/>
        <v>4.5087486395757714E-2</v>
      </c>
      <c r="CW62" s="129">
        <f t="shared" si="168"/>
        <v>3.6914511691191941E-2</v>
      </c>
      <c r="CX62" s="129">
        <f t="shared" si="168"/>
        <v>3.022304595643556E-2</v>
      </c>
      <c r="CY62" s="129">
        <f t="shared" si="168"/>
        <v>2.4744537176222957E-2</v>
      </c>
      <c r="CZ62" s="129">
        <f t="shared" si="168"/>
        <v>2.025911355685512E-2</v>
      </c>
      <c r="DA62" s="129">
        <f t="shared" si="168"/>
        <v>1.6586759299096355E-2</v>
      </c>
      <c r="DB62" s="129">
        <f t="shared" si="168"/>
        <v>1.3580089932072364E-2</v>
      </c>
      <c r="DC62" s="129">
        <f t="shared" si="168"/>
        <v>1.1118437256952333E-2</v>
      </c>
      <c r="DD62" s="129">
        <f t="shared" si="168"/>
        <v>9.1030065084348813E-3</v>
      </c>
      <c r="DE62" s="129">
        <f t="shared" si="168"/>
        <v>7.4529113739246521E-3</v>
      </c>
      <c r="DF62" s="129">
        <f t="shared" si="168"/>
        <v>6.1019277417967916E-3</v>
      </c>
      <c r="DG62" s="129">
        <f t="shared" si="168"/>
        <v>4.9958358952687113E-3</v>
      </c>
      <c r="DH62" s="129">
        <f t="shared" si="168"/>
        <v>4.0902444847873681E-3</v>
      </c>
      <c r="DI62" s="129">
        <f t="shared" si="168"/>
        <v>3.3488089473030264E-3</v>
      </c>
      <c r="DJ62" s="129">
        <f t="shared" si="168"/>
        <v>2.7417728713396926E-3</v>
      </c>
      <c r="DK62" s="129">
        <f t="shared" si="168"/>
        <v>2.2447737677207206E-3</v>
      </c>
      <c r="DL62" s="129">
        <f t="shared" si="168"/>
        <v>1.8378653173356857E-3</v>
      </c>
      <c r="DM62" s="129">
        <f t="shared" si="168"/>
        <v>1.5047168553181509E-3</v>
      </c>
      <c r="DN62" s="129">
        <f t="shared" si="168"/>
        <v>1.2319579641237636E-3</v>
      </c>
      <c r="DO62" s="129">
        <f t="shared" si="168"/>
        <v>1.0086418717274669E-3</v>
      </c>
      <c r="DP62" s="129">
        <f t="shared" si="168"/>
        <v>8.2580611922541177E-4</v>
      </c>
      <c r="DQ62" s="129">
        <f t="shared" si="168"/>
        <v>6.7611286588982748E-4</v>
      </c>
      <c r="DR62" s="129">
        <f t="shared" si="168"/>
        <v>5.5355439585569137E-4</v>
      </c>
      <c r="DS62" s="129">
        <f t="shared" si="168"/>
        <v>4.5321200738855785E-4</v>
      </c>
      <c r="DT62" s="129">
        <f t="shared" si="168"/>
        <v>3.710586081132181E-4</v>
      </c>
      <c r="DU62" s="129">
        <f t="shared" si="168"/>
        <v>3.0379709365660197E-4</v>
      </c>
      <c r="DV62" s="129">
        <f t="shared" si="168"/>
        <v>2.4872802327237207E-4</v>
      </c>
      <c r="DW62" s="129">
        <f t="shared" si="168"/>
        <v>2.0364128180538714E-4</v>
      </c>
      <c r="DX62" s="129">
        <f t="shared" si="168"/>
        <v>1.6672738001029028E-4</v>
      </c>
      <c r="DY62" s="129">
        <f t="shared" si="168"/>
        <v>0</v>
      </c>
    </row>
    <row r="63" spans="1:129" x14ac:dyDescent="0.45">
      <c r="A63" s="3"/>
      <c r="B63" s="2"/>
      <c r="C63" s="125" t="s">
        <v>267</v>
      </c>
      <c r="D63" s="17"/>
      <c r="E63" s="2"/>
      <c r="F63" s="2"/>
      <c r="G63" s="2"/>
      <c r="H63" s="2"/>
      <c r="I63" s="13"/>
      <c r="J63" s="58"/>
      <c r="K63" s="58"/>
      <c r="L63" s="58"/>
      <c r="M63" s="58"/>
      <c r="N63" s="58"/>
      <c r="O63" s="58"/>
      <c r="P63" s="58"/>
      <c r="Q63" s="58"/>
      <c r="R63" s="58"/>
      <c r="S63" s="58"/>
      <c r="T63" s="58"/>
      <c r="U63" s="96"/>
      <c r="V63" s="55"/>
      <c r="W63" s="55"/>
      <c r="X63" s="55"/>
      <c r="Y63" s="55"/>
      <c r="Z63" s="55"/>
      <c r="AA63" s="55"/>
      <c r="AB63" s="55"/>
      <c r="AC63" s="55"/>
      <c r="AD63" s="55"/>
      <c r="AE63" s="55"/>
      <c r="AF63" s="55"/>
      <c r="AG63" s="102"/>
      <c r="AH63" s="91"/>
      <c r="AI63" s="91"/>
      <c r="AJ63" s="91"/>
      <c r="AK63" s="55"/>
      <c r="AL63" s="55"/>
      <c r="AM63" s="55"/>
      <c r="AN63" s="55"/>
      <c r="AO63" s="55"/>
      <c r="AP63" s="55"/>
      <c r="AQ63" s="55"/>
      <c r="AR63" s="55"/>
      <c r="AS63" s="130">
        <f>'Plan Moyen Terme (PMT)'!E21-BAU_Liquidité_Dynamique!AS60</f>
        <v>39595.88107457741</v>
      </c>
      <c r="AT63" s="133">
        <f>IF(AND($AS$1&lt;AT$1, AT$1&lt;$F$60),$AS63*(90%*EXP(-20%*(AT$1-$AS$1))),0)</f>
        <v>29176.528977877475</v>
      </c>
      <c r="AU63" s="133">
        <f t="shared" ref="AU63:DF63" si="169">IF(AND($AS$1&lt;AU$1, AU$1&lt;$F$60),$AS63*(90%*EXP(-20%*(AU$1-$AS$1))),0)</f>
        <v>23887.721542259187</v>
      </c>
      <c r="AV63" s="133">
        <f t="shared" si="169"/>
        <v>19557.612247610992</v>
      </c>
      <c r="AW63" s="133">
        <f t="shared" si="169"/>
        <v>16012.41860389371</v>
      </c>
      <c r="AX63" s="133">
        <f t="shared" si="169"/>
        <v>13109.859542165786</v>
      </c>
      <c r="AY63" s="133">
        <f t="shared" si="169"/>
        <v>10733.445175703957</v>
      </c>
      <c r="AZ63" s="133">
        <f t="shared" si="169"/>
        <v>8787.8016518253316</v>
      </c>
      <c r="BA63" s="133">
        <f t="shared" si="169"/>
        <v>7194.8434642988877</v>
      </c>
      <c r="BB63" s="133">
        <f t="shared" si="169"/>
        <v>5890.639607803625</v>
      </c>
      <c r="BC63" s="133">
        <f t="shared" si="169"/>
        <v>4822.8478022080499</v>
      </c>
      <c r="BD63" s="133">
        <f t="shared" si="169"/>
        <v>3948.6138130822856</v>
      </c>
      <c r="BE63" s="133">
        <f t="shared" si="169"/>
        <v>3232.8515607989802</v>
      </c>
      <c r="BF63" s="133">
        <f t="shared" si="169"/>
        <v>2646.8349929622791</v>
      </c>
      <c r="BG63" s="133">
        <f t="shared" si="169"/>
        <v>2167.0452070611609</v>
      </c>
      <c r="BH63" s="133">
        <f t="shared" si="169"/>
        <v>1774.226554331216</v>
      </c>
      <c r="BI63" s="133">
        <f t="shared" si="169"/>
        <v>1452.6138429585492</v>
      </c>
      <c r="BJ63" s="133">
        <f t="shared" si="169"/>
        <v>1189.299625576954</v>
      </c>
      <c r="BK63" s="133">
        <f t="shared" si="169"/>
        <v>973.71617808398173</v>
      </c>
      <c r="BL63" s="133">
        <f t="shared" si="169"/>
        <v>797.2113797669125</v>
      </c>
      <c r="BM63" s="133">
        <f t="shared" si="169"/>
        <v>652.70147331890132</v>
      </c>
      <c r="BN63" s="133">
        <f t="shared" si="169"/>
        <v>534.38676878549234</v>
      </c>
      <c r="BO63" s="133">
        <f t="shared" si="169"/>
        <v>437.5188816426554</v>
      </c>
      <c r="BP63" s="133">
        <f t="shared" si="169"/>
        <v>358.21016345312762</v>
      </c>
      <c r="BQ63" s="133">
        <f t="shared" si="169"/>
        <v>293.27767688416611</v>
      </c>
      <c r="BR63" s="133">
        <f t="shared" si="169"/>
        <v>240.11545325633452</v>
      </c>
      <c r="BS63" s="133">
        <f t="shared" si="169"/>
        <v>196.58990587021967</v>
      </c>
      <c r="BT63" s="133">
        <f t="shared" si="169"/>
        <v>160.95420168065451</v>
      </c>
      <c r="BU63" s="133">
        <f t="shared" si="169"/>
        <v>131.77815475306761</v>
      </c>
      <c r="BV63" s="133">
        <f t="shared" si="169"/>
        <v>107.89082788020586</v>
      </c>
      <c r="BW63" s="133">
        <f t="shared" si="169"/>
        <v>88.333538760567919</v>
      </c>
      <c r="BX63" s="133">
        <f t="shared" si="169"/>
        <v>72.321384711482864</v>
      </c>
      <c r="BY63" s="133">
        <f t="shared" si="169"/>
        <v>59.211741768474795</v>
      </c>
      <c r="BZ63" s="133">
        <f t="shared" si="169"/>
        <v>48.478473929162355</v>
      </c>
      <c r="CA63" s="133">
        <f t="shared" si="169"/>
        <v>39.690817468094401</v>
      </c>
      <c r="CB63" s="133">
        <f t="shared" si="169"/>
        <v>32.49609287593367</v>
      </c>
      <c r="CC63" s="133">
        <f t="shared" si="169"/>
        <v>26.605550592405205</v>
      </c>
      <c r="CD63" s="133">
        <f t="shared" si="169"/>
        <v>21.782782472574254</v>
      </c>
      <c r="CE63" s="133">
        <f t="shared" si="169"/>
        <v>17.834233897904582</v>
      </c>
      <c r="CF63" s="133">
        <f t="shared" si="169"/>
        <v>14.60143574980029</v>
      </c>
      <c r="CG63" s="133">
        <f t="shared" si="169"/>
        <v>11.954644487453766</v>
      </c>
      <c r="CH63" s="133">
        <f t="shared" si="169"/>
        <v>9.7876350839925568</v>
      </c>
      <c r="CI63" s="133">
        <f t="shared" si="169"/>
        <v>8.013437843169708</v>
      </c>
      <c r="CJ63" s="133">
        <f t="shared" si="169"/>
        <v>6.5608480000819371</v>
      </c>
      <c r="CK63" s="133">
        <f t="shared" si="169"/>
        <v>5.3715680239372512</v>
      </c>
      <c r="CL63" s="133">
        <f t="shared" si="169"/>
        <v>4.3978679334477553</v>
      </c>
      <c r="CM63" s="133">
        <f t="shared" si="169"/>
        <v>3.6006697250891841</v>
      </c>
      <c r="CN63" s="133">
        <f t="shared" si="169"/>
        <v>2.9479790356073599</v>
      </c>
      <c r="CO63" s="133">
        <f t="shared" si="169"/>
        <v>2.4136010958809138</v>
      </c>
      <c r="CP63" s="133">
        <f t="shared" si="169"/>
        <v>1.9760894428604243</v>
      </c>
      <c r="CQ63" s="133">
        <f t="shared" si="169"/>
        <v>1.6178851977025659</v>
      </c>
      <c r="CR63" s="133">
        <f t="shared" si="169"/>
        <v>1.3246123663087399</v>
      </c>
      <c r="CS63" s="133">
        <f t="shared" si="169"/>
        <v>1.084500880204363</v>
      </c>
      <c r="CT63" s="133">
        <f t="shared" si="169"/>
        <v>0.8879142223634513</v>
      </c>
      <c r="CU63" s="133">
        <f t="shared" si="169"/>
        <v>0.72696267994427977</v>
      </c>
      <c r="CV63" s="133">
        <f t="shared" si="169"/>
        <v>0.59518670241036842</v>
      </c>
      <c r="CW63" s="133">
        <f t="shared" si="169"/>
        <v>0.48729765708644107</v>
      </c>
      <c r="CX63" s="133">
        <f t="shared" si="169"/>
        <v>0.39896557775951841</v>
      </c>
      <c r="CY63" s="133">
        <f t="shared" si="169"/>
        <v>0.32664538793124226</v>
      </c>
      <c r="CZ63" s="133">
        <f t="shared" si="169"/>
        <v>0.26743462445039567</v>
      </c>
      <c r="DA63" s="133">
        <f t="shared" si="169"/>
        <v>0.21895695147539987</v>
      </c>
      <c r="DB63" s="133">
        <f t="shared" si="169"/>
        <v>0.17926678977311308</v>
      </c>
      <c r="DC63" s="133">
        <f t="shared" si="169"/>
        <v>0.14677123379281323</v>
      </c>
      <c r="DD63" s="133">
        <f t="shared" si="169"/>
        <v>0.12016612277337439</v>
      </c>
      <c r="DE63" s="133">
        <f t="shared" si="169"/>
        <v>9.8383700192706106E-2</v>
      </c>
      <c r="DF63" s="133">
        <f t="shared" si="169"/>
        <v>8.0549760949372731E-2</v>
      </c>
      <c r="DG63" s="133">
        <f t="shared" ref="DG63:DY63" si="170">IF(AND($AS$1&lt;DG$1, DG$1&lt;$F$60),$AS63*(90%*EXP(-20%*(DG$1-$AS$1))),0)</f>
        <v>6.5948566442331269E-2</v>
      </c>
      <c r="DH63" s="133">
        <f t="shared" si="170"/>
        <v>5.3994119467743247E-2</v>
      </c>
      <c r="DI63" s="133">
        <f t="shared" si="170"/>
        <v>4.4206646093607908E-2</v>
      </c>
      <c r="DJ63" s="133">
        <f t="shared" si="170"/>
        <v>3.6193340647271449E-2</v>
      </c>
      <c r="DK63" s="133">
        <f t="shared" si="170"/>
        <v>2.9632601044548505E-2</v>
      </c>
      <c r="DL63" s="133">
        <f t="shared" si="170"/>
        <v>2.4261121768862564E-2</v>
      </c>
      <c r="DM63" s="133">
        <f t="shared" si="170"/>
        <v>1.9863326496337479E-2</v>
      </c>
      <c r="DN63" s="133">
        <f t="shared" si="170"/>
        <v>1.6262716260980199E-2</v>
      </c>
      <c r="DO63" s="133">
        <f t="shared" si="170"/>
        <v>1.3314785931445867E-2</v>
      </c>
      <c r="DP63" s="133">
        <f t="shared" si="170"/>
        <v>1.09012247127248E-2</v>
      </c>
      <c r="DQ63" s="133">
        <f t="shared" si="170"/>
        <v>8.9251679185214736E-3</v>
      </c>
      <c r="DR63" s="133">
        <f t="shared" si="170"/>
        <v>7.3073094512785351E-3</v>
      </c>
      <c r="DS63" s="133">
        <f t="shared" si="170"/>
        <v>5.9827189700191238E-3</v>
      </c>
      <c r="DT63" s="133">
        <f t="shared" si="170"/>
        <v>4.8982360077776876E-3</v>
      </c>
      <c r="DU63" s="133">
        <f t="shared" si="170"/>
        <v>4.0103364554015166E-3</v>
      </c>
      <c r="DV63" s="133">
        <f t="shared" si="170"/>
        <v>3.2833857862269709E-3</v>
      </c>
      <c r="DW63" s="133">
        <f t="shared" si="170"/>
        <v>2.6882089174031414E-3</v>
      </c>
      <c r="DX63" s="133">
        <f t="shared" si="170"/>
        <v>2.200919311376422E-3</v>
      </c>
      <c r="DY63" s="133">
        <f t="shared" si="170"/>
        <v>0</v>
      </c>
    </row>
    <row r="64" spans="1:129" x14ac:dyDescent="0.45">
      <c r="A64" s="3">
        <v>46022</v>
      </c>
      <c r="B64" s="2" t="s">
        <v>19</v>
      </c>
      <c r="C64" s="6" t="s">
        <v>6</v>
      </c>
      <c r="D64" s="17">
        <v>8.3386457267199329E-3</v>
      </c>
      <c r="E64" s="2" t="s">
        <v>45</v>
      </c>
      <c r="F64" s="2">
        <v>60</v>
      </c>
      <c r="G64" s="2" t="s">
        <v>45</v>
      </c>
      <c r="H64" s="2">
        <v>60</v>
      </c>
      <c r="I64" s="14">
        <v>26171.965</v>
      </c>
      <c r="J64" s="55">
        <f t="shared" ref="J64:BU64" si="171">IF(J$1&lt;$F64,$I64,0)</f>
        <v>26171.965</v>
      </c>
      <c r="K64" s="55">
        <f t="shared" si="171"/>
        <v>26171.965</v>
      </c>
      <c r="L64" s="55">
        <f t="shared" si="171"/>
        <v>26171.965</v>
      </c>
      <c r="M64" s="55">
        <f t="shared" si="171"/>
        <v>26171.965</v>
      </c>
      <c r="N64" s="55">
        <f t="shared" si="171"/>
        <v>26171.965</v>
      </c>
      <c r="O64" s="55">
        <f t="shared" si="171"/>
        <v>26171.965</v>
      </c>
      <c r="P64" s="55">
        <f t="shared" si="171"/>
        <v>26171.965</v>
      </c>
      <c r="Q64" s="55">
        <f t="shared" si="171"/>
        <v>26171.965</v>
      </c>
      <c r="R64" s="55">
        <f t="shared" si="171"/>
        <v>26171.965</v>
      </c>
      <c r="S64" s="55">
        <f t="shared" si="171"/>
        <v>26171.965</v>
      </c>
      <c r="T64" s="55">
        <f t="shared" si="171"/>
        <v>26171.965</v>
      </c>
      <c r="U64" s="96">
        <f t="shared" si="171"/>
        <v>26171.965</v>
      </c>
      <c r="V64" s="55">
        <f t="shared" si="171"/>
        <v>26171.965</v>
      </c>
      <c r="W64" s="55">
        <f t="shared" si="171"/>
        <v>26171.965</v>
      </c>
      <c r="X64" s="55">
        <f t="shared" si="171"/>
        <v>26171.965</v>
      </c>
      <c r="Y64" s="55">
        <f t="shared" si="171"/>
        <v>26171.965</v>
      </c>
      <c r="Z64" s="55">
        <f t="shared" si="171"/>
        <v>26171.965</v>
      </c>
      <c r="AA64" s="55">
        <f t="shared" si="171"/>
        <v>26171.965</v>
      </c>
      <c r="AB64" s="55">
        <f t="shared" si="171"/>
        <v>26171.965</v>
      </c>
      <c r="AC64" s="55">
        <f t="shared" si="171"/>
        <v>26171.965</v>
      </c>
      <c r="AD64" s="55">
        <f t="shared" si="171"/>
        <v>26171.965</v>
      </c>
      <c r="AE64" s="55">
        <f t="shared" si="171"/>
        <v>26171.965</v>
      </c>
      <c r="AF64" s="55">
        <f t="shared" si="171"/>
        <v>26171.965</v>
      </c>
      <c r="AG64" s="102">
        <f t="shared" si="171"/>
        <v>26171.965</v>
      </c>
      <c r="AH64" s="55">
        <f t="shared" si="171"/>
        <v>26171.965</v>
      </c>
      <c r="AI64" s="55">
        <f t="shared" si="171"/>
        <v>26171.965</v>
      </c>
      <c r="AJ64" s="55">
        <f t="shared" si="171"/>
        <v>26171.965</v>
      </c>
      <c r="AK64" s="55">
        <f t="shared" si="171"/>
        <v>26171.965</v>
      </c>
      <c r="AL64" s="55">
        <f t="shared" si="171"/>
        <v>26171.965</v>
      </c>
      <c r="AM64" s="55">
        <f t="shared" si="171"/>
        <v>26171.965</v>
      </c>
      <c r="AN64" s="55">
        <f t="shared" si="171"/>
        <v>26171.965</v>
      </c>
      <c r="AO64" s="55">
        <f t="shared" si="171"/>
        <v>26171.965</v>
      </c>
      <c r="AP64" s="55">
        <f t="shared" si="171"/>
        <v>26171.965</v>
      </c>
      <c r="AQ64" s="55">
        <f t="shared" si="171"/>
        <v>26171.965</v>
      </c>
      <c r="AR64" s="55">
        <f t="shared" si="171"/>
        <v>26171.965</v>
      </c>
      <c r="AS64" s="108">
        <f t="shared" si="171"/>
        <v>26171.965</v>
      </c>
      <c r="AT64" s="55">
        <f t="shared" si="171"/>
        <v>26171.965</v>
      </c>
      <c r="AU64" s="55">
        <f t="shared" si="171"/>
        <v>26171.965</v>
      </c>
      <c r="AV64" s="55">
        <f t="shared" si="171"/>
        <v>26171.965</v>
      </c>
      <c r="AW64" s="55">
        <f t="shared" si="171"/>
        <v>26171.965</v>
      </c>
      <c r="AX64" s="55">
        <f t="shared" si="171"/>
        <v>26171.965</v>
      </c>
      <c r="AY64" s="55">
        <f t="shared" si="171"/>
        <v>26171.965</v>
      </c>
      <c r="AZ64" s="55">
        <f t="shared" si="171"/>
        <v>26171.965</v>
      </c>
      <c r="BA64" s="55">
        <f t="shared" si="171"/>
        <v>26171.965</v>
      </c>
      <c r="BB64" s="55">
        <f t="shared" si="171"/>
        <v>26171.965</v>
      </c>
      <c r="BC64" s="55">
        <f t="shared" si="171"/>
        <v>26171.965</v>
      </c>
      <c r="BD64" s="55">
        <f t="shared" si="171"/>
        <v>26171.965</v>
      </c>
      <c r="BE64" s="55">
        <f t="shared" si="171"/>
        <v>26171.965</v>
      </c>
      <c r="BF64" s="55">
        <f t="shared" si="171"/>
        <v>26171.965</v>
      </c>
      <c r="BG64" s="55">
        <f t="shared" si="171"/>
        <v>26171.965</v>
      </c>
      <c r="BH64" s="55">
        <f t="shared" si="171"/>
        <v>26171.965</v>
      </c>
      <c r="BI64" s="55">
        <f t="shared" si="171"/>
        <v>26171.965</v>
      </c>
      <c r="BJ64" s="55">
        <f t="shared" si="171"/>
        <v>26171.965</v>
      </c>
      <c r="BK64" s="55">
        <f t="shared" si="171"/>
        <v>26171.965</v>
      </c>
      <c r="BL64" s="55">
        <f t="shared" si="171"/>
        <v>26171.965</v>
      </c>
      <c r="BM64" s="55">
        <f t="shared" si="171"/>
        <v>26171.965</v>
      </c>
      <c r="BN64" s="55">
        <f t="shared" si="171"/>
        <v>26171.965</v>
      </c>
      <c r="BO64" s="55">
        <f t="shared" si="171"/>
        <v>26171.965</v>
      </c>
      <c r="BP64" s="55">
        <f t="shared" si="171"/>
        <v>26171.965</v>
      </c>
      <c r="BQ64" s="55">
        <f t="shared" si="171"/>
        <v>0</v>
      </c>
      <c r="BR64" s="55">
        <f t="shared" si="171"/>
        <v>0</v>
      </c>
      <c r="BS64" s="55">
        <f t="shared" si="171"/>
        <v>0</v>
      </c>
      <c r="BT64" s="55">
        <f t="shared" si="171"/>
        <v>0</v>
      </c>
      <c r="BU64" s="55">
        <f t="shared" si="171"/>
        <v>0</v>
      </c>
      <c r="BV64" s="55">
        <f t="shared" ref="BV64:DY64" si="172">IF(BV$1&lt;$F64,$I64,0)</f>
        <v>0</v>
      </c>
      <c r="BW64" s="55">
        <f t="shared" si="172"/>
        <v>0</v>
      </c>
      <c r="BX64" s="55">
        <f t="shared" si="172"/>
        <v>0</v>
      </c>
      <c r="BY64" s="55">
        <f t="shared" si="172"/>
        <v>0</v>
      </c>
      <c r="BZ64" s="55">
        <f t="shared" si="172"/>
        <v>0</v>
      </c>
      <c r="CA64" s="55">
        <f t="shared" si="172"/>
        <v>0</v>
      </c>
      <c r="CB64" s="55">
        <f t="shared" si="172"/>
        <v>0</v>
      </c>
      <c r="CC64" s="55">
        <f t="shared" si="172"/>
        <v>0</v>
      </c>
      <c r="CD64" s="55">
        <f t="shared" si="172"/>
        <v>0</v>
      </c>
      <c r="CE64" s="55">
        <f t="shared" si="172"/>
        <v>0</v>
      </c>
      <c r="CF64" s="55">
        <f t="shared" si="172"/>
        <v>0</v>
      </c>
      <c r="CG64" s="55">
        <f t="shared" si="172"/>
        <v>0</v>
      </c>
      <c r="CH64" s="55">
        <f t="shared" si="172"/>
        <v>0</v>
      </c>
      <c r="CI64" s="55">
        <f t="shared" si="172"/>
        <v>0</v>
      </c>
      <c r="CJ64" s="55">
        <f t="shared" si="172"/>
        <v>0</v>
      </c>
      <c r="CK64" s="55">
        <f t="shared" si="172"/>
        <v>0</v>
      </c>
      <c r="CL64" s="55">
        <f t="shared" si="172"/>
        <v>0</v>
      </c>
      <c r="CM64" s="55">
        <f t="shared" si="172"/>
        <v>0</v>
      </c>
      <c r="CN64" s="55">
        <f t="shared" si="172"/>
        <v>0</v>
      </c>
      <c r="CO64" s="55">
        <f t="shared" si="172"/>
        <v>0</v>
      </c>
      <c r="CP64" s="55">
        <f t="shared" si="172"/>
        <v>0</v>
      </c>
      <c r="CQ64" s="55">
        <f t="shared" si="172"/>
        <v>0</v>
      </c>
      <c r="CR64" s="55">
        <f t="shared" si="172"/>
        <v>0</v>
      </c>
      <c r="CS64" s="55">
        <f t="shared" si="172"/>
        <v>0</v>
      </c>
      <c r="CT64" s="55">
        <f t="shared" si="172"/>
        <v>0</v>
      </c>
      <c r="CU64" s="55">
        <f t="shared" si="172"/>
        <v>0</v>
      </c>
      <c r="CV64" s="55">
        <f t="shared" si="172"/>
        <v>0</v>
      </c>
      <c r="CW64" s="55">
        <f t="shared" si="172"/>
        <v>0</v>
      </c>
      <c r="CX64" s="55">
        <f t="shared" si="172"/>
        <v>0</v>
      </c>
      <c r="CY64" s="55">
        <f t="shared" si="172"/>
        <v>0</v>
      </c>
      <c r="CZ64" s="55">
        <f t="shared" si="172"/>
        <v>0</v>
      </c>
      <c r="DA64" s="55">
        <f t="shared" si="172"/>
        <v>0</v>
      </c>
      <c r="DB64" s="55">
        <f t="shared" si="172"/>
        <v>0</v>
      </c>
      <c r="DC64" s="55">
        <f t="shared" si="172"/>
        <v>0</v>
      </c>
      <c r="DD64" s="55">
        <f t="shared" si="172"/>
        <v>0</v>
      </c>
      <c r="DE64" s="55">
        <f t="shared" si="172"/>
        <v>0</v>
      </c>
      <c r="DF64" s="55">
        <f t="shared" si="172"/>
        <v>0</v>
      </c>
      <c r="DG64" s="55">
        <f t="shared" si="172"/>
        <v>0</v>
      </c>
      <c r="DH64" s="55">
        <f t="shared" si="172"/>
        <v>0</v>
      </c>
      <c r="DI64" s="55">
        <f t="shared" si="172"/>
        <v>0</v>
      </c>
      <c r="DJ64" s="55">
        <f t="shared" si="172"/>
        <v>0</v>
      </c>
      <c r="DK64" s="55">
        <f t="shared" si="172"/>
        <v>0</v>
      </c>
      <c r="DL64" s="55">
        <f t="shared" si="172"/>
        <v>0</v>
      </c>
      <c r="DM64" s="55">
        <f t="shared" si="172"/>
        <v>0</v>
      </c>
      <c r="DN64" s="55">
        <f t="shared" si="172"/>
        <v>0</v>
      </c>
      <c r="DO64" s="55">
        <f t="shared" si="172"/>
        <v>0</v>
      </c>
      <c r="DP64" s="55">
        <f t="shared" si="172"/>
        <v>0</v>
      </c>
      <c r="DQ64" s="55">
        <f t="shared" si="172"/>
        <v>0</v>
      </c>
      <c r="DR64" s="55">
        <f t="shared" si="172"/>
        <v>0</v>
      </c>
      <c r="DS64" s="55">
        <f t="shared" si="172"/>
        <v>0</v>
      </c>
      <c r="DT64" s="55">
        <f t="shared" si="172"/>
        <v>0</v>
      </c>
      <c r="DU64" s="55">
        <f t="shared" si="172"/>
        <v>0</v>
      </c>
      <c r="DV64" s="55">
        <f t="shared" si="172"/>
        <v>0</v>
      </c>
      <c r="DW64" s="55">
        <f t="shared" si="172"/>
        <v>0</v>
      </c>
      <c r="DX64" s="55">
        <f t="shared" si="172"/>
        <v>0</v>
      </c>
      <c r="DY64" s="55">
        <f t="shared" si="172"/>
        <v>0</v>
      </c>
    </row>
    <row r="65" spans="1:129" x14ac:dyDescent="0.45">
      <c r="A65" s="3"/>
      <c r="B65" s="2"/>
      <c r="C65" s="121" t="s">
        <v>265</v>
      </c>
      <c r="D65" s="17"/>
      <c r="E65" s="2"/>
      <c r="F65" s="2"/>
      <c r="G65" s="2"/>
      <c r="H65" s="2"/>
      <c r="I65" s="13"/>
      <c r="J65" s="58"/>
      <c r="K65" s="58"/>
      <c r="L65" s="58"/>
      <c r="M65" s="58"/>
      <c r="N65" s="58"/>
      <c r="O65" s="58"/>
      <c r="P65" s="58"/>
      <c r="Q65" s="58"/>
      <c r="R65" s="58"/>
      <c r="S65" s="58"/>
      <c r="T65" s="58"/>
      <c r="U65" s="97">
        <f>'Plan Moyen Terme (PMT)'!C22-BAU_Liquidité_Dynamique!U64</f>
        <v>12327.035</v>
      </c>
      <c r="V65" s="127">
        <f>IF(AND($U$1&lt;V$1, V$1&lt;$F$64),$U$65,0)</f>
        <v>12327.035</v>
      </c>
      <c r="W65" s="127">
        <f>IF(AND($U$1&lt;W$1, W$1&lt;$F$64),$U$65,0)</f>
        <v>12327.035</v>
      </c>
      <c r="X65" s="127">
        <f>IF(AND($U$1&lt;X$1, X$1&lt;$F$64),$U$65,0)</f>
        <v>12327.035</v>
      </c>
      <c r="Y65" s="127">
        <f>IF(AND($U$1&lt;Y$1, Y$1&lt;$F$64),$U$65,0)</f>
        <v>12327.035</v>
      </c>
      <c r="Z65" s="127">
        <f>IF(AND($U$1&lt;Z$1, Z$1&lt;$F$64),$U$65,0)</f>
        <v>12327.035</v>
      </c>
      <c r="AA65" s="127">
        <f>IF(AND($U$1&lt;AA$1, AA$1&lt;$F$64),$U$65,0)</f>
        <v>12327.035</v>
      </c>
      <c r="AB65" s="127">
        <f>IF(AND($U$1&lt;AB$1, AB$1&lt;$F$64),$U$65,0)</f>
        <v>12327.035</v>
      </c>
      <c r="AC65" s="127">
        <f>IF(AND($U$1&lt;AC$1, AC$1&lt;$F$64),$U$65,0)</f>
        <v>12327.035</v>
      </c>
      <c r="AD65" s="127">
        <f>IF(AND($U$1&lt;AD$1, AD$1&lt;$F$64),$U$65,0)</f>
        <v>12327.035</v>
      </c>
      <c r="AE65" s="127">
        <f>IF(AND($U$1&lt;AE$1, AE$1&lt;$F$64),$U$65,0)</f>
        <v>12327.035</v>
      </c>
      <c r="AF65" s="127">
        <f>IF(AND($U$1&lt;AF$1, AF$1&lt;$F$64),$U$65,0)</f>
        <v>12327.035</v>
      </c>
      <c r="AG65" s="127">
        <f>IF(AND($U$1&lt;AG$1, AG$1&lt;$F$64),$U$65,0)</f>
        <v>12327.035</v>
      </c>
      <c r="AH65" s="127">
        <f>IF(AND($U$1&lt;AH$1, AH$1&lt;$F$64),$U$65,0)</f>
        <v>12327.035</v>
      </c>
      <c r="AI65" s="127">
        <f>IF(AND($U$1&lt;AI$1, AI$1&lt;$F$64),$U$65,0)</f>
        <v>12327.035</v>
      </c>
      <c r="AJ65" s="127">
        <f>IF(AND($U$1&lt;AJ$1, AJ$1&lt;$F$64),$U$65,0)</f>
        <v>12327.035</v>
      </c>
      <c r="AK65" s="127">
        <f>IF(AND($U$1&lt;AK$1, AK$1&lt;$F$64),$U$65,0)</f>
        <v>12327.035</v>
      </c>
      <c r="AL65" s="127">
        <f>IF(AND($U$1&lt;AL$1, AL$1&lt;$F$64),$U$65,0)</f>
        <v>12327.035</v>
      </c>
      <c r="AM65" s="127">
        <f>IF(AND($U$1&lt;AM$1, AM$1&lt;$F$64),$U$65,0)</f>
        <v>12327.035</v>
      </c>
      <c r="AN65" s="127">
        <f>IF(AND($U$1&lt;AN$1, AN$1&lt;$F$64),$U$65,0)</f>
        <v>12327.035</v>
      </c>
      <c r="AO65" s="127">
        <f>IF(AND($U$1&lt;AO$1, AO$1&lt;$F$64),$U$65,0)</f>
        <v>12327.035</v>
      </c>
      <c r="AP65" s="127">
        <f>IF(AND($U$1&lt;AP$1, AP$1&lt;$F$64),$U$65,0)</f>
        <v>12327.035</v>
      </c>
      <c r="AQ65" s="127">
        <f>IF(AND($U$1&lt;AQ$1, AQ$1&lt;$F$64),$U$65,0)</f>
        <v>12327.035</v>
      </c>
      <c r="AR65" s="127">
        <f>IF(AND($U$1&lt;AR$1, AR$1&lt;$F$64),$U$65,0)</f>
        <v>12327.035</v>
      </c>
      <c r="AS65" s="127">
        <f>IF(AND($U$1&lt;AS$1, AS$1&lt;$F$64),$U$65,0)</f>
        <v>12327.035</v>
      </c>
      <c r="AT65" s="127">
        <f>IF(AND($U$1&lt;AT$1, AT$1&lt;$F$64),$U$65,0)</f>
        <v>12327.035</v>
      </c>
      <c r="AU65" s="127">
        <f>IF(AND($U$1&lt;AU$1, AU$1&lt;$F$64),$U$65,0)</f>
        <v>12327.035</v>
      </c>
      <c r="AV65" s="127">
        <f>IF(AND($U$1&lt;AV$1, AV$1&lt;$F$64),$U$65,0)</f>
        <v>12327.035</v>
      </c>
      <c r="AW65" s="127">
        <f>IF(AND($U$1&lt;AW$1, AW$1&lt;$F$64),$U$65,0)</f>
        <v>12327.035</v>
      </c>
      <c r="AX65" s="127">
        <f>IF(AND($U$1&lt;AX$1, AX$1&lt;$F$64),$U$65,0)</f>
        <v>12327.035</v>
      </c>
      <c r="AY65" s="127">
        <f>IF(AND($U$1&lt;AY$1, AY$1&lt;$F$64),$U$65,0)</f>
        <v>12327.035</v>
      </c>
      <c r="AZ65" s="127">
        <f>IF(AND($U$1&lt;AZ$1, AZ$1&lt;$F$64),$U$65,0)</f>
        <v>12327.035</v>
      </c>
      <c r="BA65" s="127">
        <f>IF(AND($U$1&lt;BA$1, BA$1&lt;$F$64),$U$65,0)</f>
        <v>12327.035</v>
      </c>
      <c r="BB65" s="127">
        <f>IF(AND($U$1&lt;BB$1, BB$1&lt;$F$64),$U$65,0)</f>
        <v>12327.035</v>
      </c>
      <c r="BC65" s="127">
        <f>IF(AND($U$1&lt;BC$1, BC$1&lt;$F$64),$U$65,0)</f>
        <v>12327.035</v>
      </c>
      <c r="BD65" s="127">
        <f>IF(AND($U$1&lt;BD$1, BD$1&lt;$F$64),$U$65,0)</f>
        <v>12327.035</v>
      </c>
      <c r="BE65" s="127">
        <f>IF(AND($U$1&lt;BE$1, BE$1&lt;$F$64),$U$65,0)</f>
        <v>12327.035</v>
      </c>
      <c r="BF65" s="127">
        <f>IF(AND($U$1&lt;BF$1, BF$1&lt;$F$64),$U$65,0)</f>
        <v>12327.035</v>
      </c>
      <c r="BG65" s="127">
        <f>IF(AND($U$1&lt;BG$1, BG$1&lt;$F$64),$U$65,0)</f>
        <v>12327.035</v>
      </c>
      <c r="BH65" s="127">
        <f>IF(AND($U$1&lt;BH$1, BH$1&lt;$F$64),$U$65,0)</f>
        <v>12327.035</v>
      </c>
      <c r="BI65" s="127">
        <f>IF(AND($U$1&lt;BI$1, BI$1&lt;$F$64),$U$65,0)</f>
        <v>12327.035</v>
      </c>
      <c r="BJ65" s="127">
        <f>IF(AND($U$1&lt;BJ$1, BJ$1&lt;$F$64),$U$65,0)</f>
        <v>12327.035</v>
      </c>
      <c r="BK65" s="127">
        <f>IF(AND($U$1&lt;BK$1, BK$1&lt;$F$64),$U$65,0)</f>
        <v>12327.035</v>
      </c>
      <c r="BL65" s="127">
        <f>IF(AND($U$1&lt;BL$1, BL$1&lt;$F$64),$U$65,0)</f>
        <v>12327.035</v>
      </c>
      <c r="BM65" s="127">
        <f>IF(AND($U$1&lt;BM$1, BM$1&lt;$F$64),$U$65,0)</f>
        <v>12327.035</v>
      </c>
      <c r="BN65" s="127">
        <f>IF(AND($U$1&lt;BN$1, BN$1&lt;$F$64),$U$65,0)</f>
        <v>12327.035</v>
      </c>
      <c r="BO65" s="127">
        <f>IF(AND($U$1&lt;BO$1, BO$1&lt;$F$64),$U$65,0)</f>
        <v>12327.035</v>
      </c>
      <c r="BP65" s="127">
        <f>IF(AND($U$1&lt;BP$1, BP$1&lt;$F$64),$U$65,0)</f>
        <v>12327.035</v>
      </c>
      <c r="BQ65" s="127">
        <f>IF(AND($U$1&lt;BQ$1, BQ$1&lt;$F$64),$U$65,0)</f>
        <v>0</v>
      </c>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row>
    <row r="66" spans="1:129" x14ac:dyDescent="0.45">
      <c r="A66" s="3"/>
      <c r="B66" s="2"/>
      <c r="C66" s="122" t="s">
        <v>266</v>
      </c>
      <c r="D66" s="17"/>
      <c r="E66" s="2"/>
      <c r="F66" s="2"/>
      <c r="G66" s="2"/>
      <c r="H66" s="2"/>
      <c r="I66" s="13"/>
      <c r="J66" s="58"/>
      <c r="K66" s="58"/>
      <c r="L66" s="58"/>
      <c r="M66" s="58"/>
      <c r="N66" s="58"/>
      <c r="O66" s="58"/>
      <c r="P66" s="58"/>
      <c r="Q66" s="58"/>
      <c r="R66" s="58"/>
      <c r="S66" s="58"/>
      <c r="T66" s="58"/>
      <c r="U66" s="97"/>
      <c r="V66" s="58"/>
      <c r="W66" s="58"/>
      <c r="X66" s="58"/>
      <c r="Y66" s="58"/>
      <c r="Z66" s="58"/>
      <c r="AA66" s="58"/>
      <c r="AB66" s="58"/>
      <c r="AC66" s="58"/>
      <c r="AD66" s="58"/>
      <c r="AE66" s="58"/>
      <c r="AF66" s="58"/>
      <c r="AG66" s="129">
        <f>'Plan Moyen Terme (PMT)'!D22-BAU_Liquidité_Dynamique!AG64</f>
        <v>42098.035000000003</v>
      </c>
      <c r="AH66" s="123">
        <f>IF(AND($AG$1&lt;AH$1, AH$1&lt;$F$64),$AG$66,0)</f>
        <v>42098.035000000003</v>
      </c>
      <c r="AI66" s="123">
        <f>IF(AND($AG$1&lt;AI$1, AI$1&lt;$F$64),$AG$66,0)</f>
        <v>42098.035000000003</v>
      </c>
      <c r="AJ66" s="123">
        <f>IF(AND($AG$1&lt;AJ$1, AJ$1&lt;$F$64),$AG$66,0)</f>
        <v>42098.035000000003</v>
      </c>
      <c r="AK66" s="123">
        <f>IF(AND($AG$1&lt;AK$1, AK$1&lt;$F$64),$AG$66,0)</f>
        <v>42098.035000000003</v>
      </c>
      <c r="AL66" s="123">
        <f>IF(AND($AG$1&lt;AL$1, AL$1&lt;$F$64),$AG$66,0)</f>
        <v>42098.035000000003</v>
      </c>
      <c r="AM66" s="123">
        <f>IF(AND($AG$1&lt;AM$1, AM$1&lt;$F$64),$AG$66,0)</f>
        <v>42098.035000000003</v>
      </c>
      <c r="AN66" s="123">
        <f>IF(AND($AG$1&lt;AN$1, AN$1&lt;$F$64),$AG$66,0)</f>
        <v>42098.035000000003</v>
      </c>
      <c r="AO66" s="123">
        <f>IF(AND($AG$1&lt;AO$1, AO$1&lt;$F$64),$AG$66,0)</f>
        <v>42098.035000000003</v>
      </c>
      <c r="AP66" s="123">
        <f>IF(AND($AG$1&lt;AP$1, AP$1&lt;$F$64),$AG$66,0)</f>
        <v>42098.035000000003</v>
      </c>
      <c r="AQ66" s="123">
        <f>IF(AND($AG$1&lt;AQ$1, AQ$1&lt;$F$64),$AG$66,0)</f>
        <v>42098.035000000003</v>
      </c>
      <c r="AR66" s="123">
        <f>IF(AND($AG$1&lt;AR$1, AR$1&lt;$F$64),$AG$66,0)</f>
        <v>42098.035000000003</v>
      </c>
      <c r="AS66" s="123">
        <f>IF(AND($AG$1&lt;AS$1, AS$1&lt;$F$64),$AG$66,0)</f>
        <v>42098.035000000003</v>
      </c>
      <c r="AT66" s="123">
        <f>IF(AND($AG$1&lt;AT$1, AT$1&lt;$F$64),$AG$66,0)</f>
        <v>42098.035000000003</v>
      </c>
      <c r="AU66" s="123">
        <f>IF(AND($AG$1&lt;AU$1, AU$1&lt;$F$64),$AG$66,0)</f>
        <v>42098.035000000003</v>
      </c>
      <c r="AV66" s="123">
        <f>IF(AND($AG$1&lt;AV$1, AV$1&lt;$F$64),$AG$66,0)</f>
        <v>42098.035000000003</v>
      </c>
      <c r="AW66" s="123">
        <f>IF(AND($AG$1&lt;AW$1, AW$1&lt;$F$64),$AG$66,0)</f>
        <v>42098.035000000003</v>
      </c>
      <c r="AX66" s="123">
        <f>IF(AND($AG$1&lt;AX$1, AX$1&lt;$F$64),$AG$66,0)</f>
        <v>42098.035000000003</v>
      </c>
      <c r="AY66" s="123">
        <f>IF(AND($AG$1&lt;AY$1, AY$1&lt;$F$64),$AG$66,0)</f>
        <v>42098.035000000003</v>
      </c>
      <c r="AZ66" s="123">
        <f>IF(AND($AG$1&lt;AZ$1, AZ$1&lt;$F$64),$AG$66,0)</f>
        <v>42098.035000000003</v>
      </c>
      <c r="BA66" s="123">
        <f>IF(AND($AG$1&lt;BA$1, BA$1&lt;$F$64),$AG$66,0)</f>
        <v>42098.035000000003</v>
      </c>
      <c r="BB66" s="123">
        <f>IF(AND($AG$1&lt;BB$1, BB$1&lt;$F$64),$AG$66,0)</f>
        <v>42098.035000000003</v>
      </c>
      <c r="BC66" s="123">
        <f>IF(AND($AG$1&lt;BC$1, BC$1&lt;$F$64),$AG$66,0)</f>
        <v>42098.035000000003</v>
      </c>
      <c r="BD66" s="123">
        <f>IF(AND($AG$1&lt;BD$1, BD$1&lt;$F$64),$AG$66,0)</f>
        <v>42098.035000000003</v>
      </c>
      <c r="BE66" s="123">
        <f>IF(AND($AG$1&lt;BE$1, BE$1&lt;$F$64),$AG$66,0)</f>
        <v>42098.035000000003</v>
      </c>
      <c r="BF66" s="123">
        <f>IF(AND($AG$1&lt;BF$1, BF$1&lt;$F$64),$AG$66,0)</f>
        <v>42098.035000000003</v>
      </c>
      <c r="BG66" s="123">
        <f>IF(AND($AG$1&lt;BG$1, BG$1&lt;$F$64),$AG$66,0)</f>
        <v>42098.035000000003</v>
      </c>
      <c r="BH66" s="123">
        <f>IF(AND($AG$1&lt;BH$1, BH$1&lt;$F$64),$AG$66,0)</f>
        <v>42098.035000000003</v>
      </c>
      <c r="BI66" s="123">
        <f>IF(AND($AG$1&lt;BI$1, BI$1&lt;$F$64),$AG$66,0)</f>
        <v>42098.035000000003</v>
      </c>
      <c r="BJ66" s="123">
        <f>IF(AND($AG$1&lt;BJ$1, BJ$1&lt;$F$64),$AG$66,0)</f>
        <v>42098.035000000003</v>
      </c>
      <c r="BK66" s="123">
        <f>IF(AND($AG$1&lt;BK$1, BK$1&lt;$F$64),$AG$66,0)</f>
        <v>42098.035000000003</v>
      </c>
      <c r="BL66" s="123">
        <f>IF(AND($AG$1&lt;BL$1, BL$1&lt;$F$64),$AG$66,0)</f>
        <v>42098.035000000003</v>
      </c>
      <c r="BM66" s="123">
        <f>IF(AND($AG$1&lt;BM$1, BM$1&lt;$F$64),$AG$66,0)</f>
        <v>42098.035000000003</v>
      </c>
      <c r="BN66" s="123">
        <f>IF(AND($AG$1&lt;BN$1, BN$1&lt;$F$64),$AG$66,0)</f>
        <v>42098.035000000003</v>
      </c>
      <c r="BO66" s="123">
        <f>IF(AND($AG$1&lt;BO$1, BO$1&lt;$F$64),$AG$66,0)</f>
        <v>42098.035000000003</v>
      </c>
      <c r="BP66" s="123">
        <f>IF(AND($AG$1&lt;BP$1, BP$1&lt;$F$64),$AG$66,0)</f>
        <v>42098.035000000003</v>
      </c>
      <c r="BQ66" s="123">
        <f>IF(AND($AG$1&lt;BQ$1, BQ$1&lt;$F$64),$AG$66,0)</f>
        <v>0</v>
      </c>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row>
    <row r="67" spans="1:129" x14ac:dyDescent="0.45">
      <c r="A67" s="3"/>
      <c r="B67" s="2"/>
      <c r="C67" s="125" t="s">
        <v>267</v>
      </c>
      <c r="D67" s="17"/>
      <c r="E67" s="2"/>
      <c r="F67" s="2"/>
      <c r="G67" s="2"/>
      <c r="H67" s="2"/>
      <c r="I67" s="13"/>
      <c r="J67" s="58"/>
      <c r="K67" s="58"/>
      <c r="L67" s="58"/>
      <c r="M67" s="58"/>
      <c r="N67" s="58"/>
      <c r="O67" s="58"/>
      <c r="P67" s="58"/>
      <c r="Q67" s="58"/>
      <c r="R67" s="58"/>
      <c r="S67" s="58"/>
      <c r="T67" s="58"/>
      <c r="U67" s="97"/>
      <c r="V67" s="58"/>
      <c r="W67" s="58"/>
      <c r="X67" s="58"/>
      <c r="Y67" s="58"/>
      <c r="Z67" s="58"/>
      <c r="AA67" s="58"/>
      <c r="AB67" s="58"/>
      <c r="AC67" s="58"/>
      <c r="AD67" s="58"/>
      <c r="AE67" s="58"/>
      <c r="AF67" s="58"/>
      <c r="AG67" s="103"/>
      <c r="AH67" s="58"/>
      <c r="AI67" s="58"/>
      <c r="AJ67" s="58"/>
      <c r="AK67" s="58"/>
      <c r="AL67" s="58"/>
      <c r="AM67" s="58"/>
      <c r="AN67" s="58"/>
      <c r="AO67" s="58"/>
      <c r="AP67" s="58"/>
      <c r="AQ67" s="58"/>
      <c r="AR67" s="58"/>
      <c r="AS67" s="130">
        <f>'Plan Moyen Terme (PMT)'!E22-BAU_Liquidité_Dynamique!AS64</f>
        <v>70305.035000000003</v>
      </c>
      <c r="AT67" s="128">
        <f>IF(AND($AS$1&lt;AT$1, AT$1&lt;$F$64),$AS$67,0)</f>
        <v>70305.035000000003</v>
      </c>
      <c r="AU67" s="128">
        <f t="shared" ref="AU67:BQ67" si="173">IF(AND($AS$1&lt;AU$1, AU$1&lt;$F$64),$AS$67,0)</f>
        <v>70305.035000000003</v>
      </c>
      <c r="AV67" s="128">
        <f t="shared" si="173"/>
        <v>70305.035000000003</v>
      </c>
      <c r="AW67" s="128">
        <f t="shared" si="173"/>
        <v>70305.035000000003</v>
      </c>
      <c r="AX67" s="128">
        <f t="shared" si="173"/>
        <v>70305.035000000003</v>
      </c>
      <c r="AY67" s="128">
        <f t="shared" si="173"/>
        <v>70305.035000000003</v>
      </c>
      <c r="AZ67" s="128">
        <f t="shared" si="173"/>
        <v>70305.035000000003</v>
      </c>
      <c r="BA67" s="128">
        <f t="shared" si="173"/>
        <v>70305.035000000003</v>
      </c>
      <c r="BB67" s="128">
        <f t="shared" si="173"/>
        <v>70305.035000000003</v>
      </c>
      <c r="BC67" s="128">
        <f t="shared" si="173"/>
        <v>70305.035000000003</v>
      </c>
      <c r="BD67" s="128">
        <f t="shared" si="173"/>
        <v>70305.035000000003</v>
      </c>
      <c r="BE67" s="128">
        <f t="shared" si="173"/>
        <v>70305.035000000003</v>
      </c>
      <c r="BF67" s="128">
        <f t="shared" si="173"/>
        <v>70305.035000000003</v>
      </c>
      <c r="BG67" s="128">
        <f t="shared" si="173"/>
        <v>70305.035000000003</v>
      </c>
      <c r="BH67" s="128">
        <f t="shared" si="173"/>
        <v>70305.035000000003</v>
      </c>
      <c r="BI67" s="128">
        <f t="shared" si="173"/>
        <v>70305.035000000003</v>
      </c>
      <c r="BJ67" s="128">
        <f t="shared" si="173"/>
        <v>70305.035000000003</v>
      </c>
      <c r="BK67" s="128">
        <f t="shared" si="173"/>
        <v>70305.035000000003</v>
      </c>
      <c r="BL67" s="128">
        <f t="shared" si="173"/>
        <v>70305.035000000003</v>
      </c>
      <c r="BM67" s="128">
        <f t="shared" si="173"/>
        <v>70305.035000000003</v>
      </c>
      <c r="BN67" s="128">
        <f t="shared" si="173"/>
        <v>70305.035000000003</v>
      </c>
      <c r="BO67" s="128">
        <f t="shared" si="173"/>
        <v>70305.035000000003</v>
      </c>
      <c r="BP67" s="128">
        <f t="shared" si="173"/>
        <v>70305.035000000003</v>
      </c>
      <c r="BQ67" s="128">
        <f t="shared" si="173"/>
        <v>0</v>
      </c>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row>
    <row r="68" spans="1:129" x14ac:dyDescent="0.45">
      <c r="A68" s="3">
        <v>46022</v>
      </c>
      <c r="B68" s="2" t="s">
        <v>19</v>
      </c>
      <c r="C68" s="4" t="s">
        <v>53</v>
      </c>
      <c r="D68" s="17">
        <v>0</v>
      </c>
      <c r="E68" s="2" t="s">
        <v>43</v>
      </c>
      <c r="F68" s="2">
        <v>120</v>
      </c>
      <c r="G68" s="2" t="s">
        <v>43</v>
      </c>
      <c r="H68" s="2">
        <v>120</v>
      </c>
      <c r="I68" s="13">
        <v>2297.337</v>
      </c>
      <c r="J68" s="58">
        <f t="shared" ref="J68:Y72" si="174">IF(J$1&lt;$F68,$I68*(($F68-J$1)/$F68),0)</f>
        <v>2278.1925249999999</v>
      </c>
      <c r="K68" s="58">
        <f t="shared" si="174"/>
        <v>2259.0480499999999</v>
      </c>
      <c r="L68" s="58">
        <f t="shared" si="174"/>
        <v>2239.9035749999998</v>
      </c>
      <c r="M68" s="58">
        <f t="shared" si="174"/>
        <v>2220.7591000000002</v>
      </c>
      <c r="N68" s="58">
        <f t="shared" si="174"/>
        <v>2201.6146250000002</v>
      </c>
      <c r="O68" s="58">
        <f t="shared" si="174"/>
        <v>2182.4701500000001</v>
      </c>
      <c r="P68" s="58">
        <f t="shared" si="174"/>
        <v>2163.325675</v>
      </c>
      <c r="Q68" s="58">
        <f t="shared" si="174"/>
        <v>2144.1812</v>
      </c>
      <c r="R68" s="58">
        <f t="shared" si="174"/>
        <v>2125.0367249999999</v>
      </c>
      <c r="S68" s="58">
        <f t="shared" si="174"/>
        <v>2105.8922499999999</v>
      </c>
      <c r="T68" s="58">
        <f t="shared" si="174"/>
        <v>2086.7477749999998</v>
      </c>
      <c r="U68" s="97">
        <f t="shared" si="174"/>
        <v>2067.6033000000002</v>
      </c>
      <c r="V68" s="58">
        <f t="shared" si="174"/>
        <v>2048.4588250000002</v>
      </c>
      <c r="W68" s="58">
        <f t="shared" si="174"/>
        <v>2029.3143499999999</v>
      </c>
      <c r="X68" s="58">
        <f t="shared" si="174"/>
        <v>2010.169875</v>
      </c>
      <c r="Y68" s="58">
        <f t="shared" si="174"/>
        <v>1991.0254</v>
      </c>
      <c r="Z68" s="58">
        <f t="shared" ref="Z68:CK72" si="175">IF(Z$1&lt;$F68,$I68*(($F68-Z$1)/$F68),0)</f>
        <v>1971.8809249999999</v>
      </c>
      <c r="AA68" s="58">
        <f t="shared" si="175"/>
        <v>1952.7364499999999</v>
      </c>
      <c r="AB68" s="58">
        <f t="shared" si="175"/>
        <v>1933.591975</v>
      </c>
      <c r="AC68" s="58">
        <f t="shared" si="175"/>
        <v>1914.4475</v>
      </c>
      <c r="AD68" s="58">
        <f t="shared" si="175"/>
        <v>1895.3030249999999</v>
      </c>
      <c r="AE68" s="58">
        <f t="shared" si="175"/>
        <v>1876.1585499999999</v>
      </c>
      <c r="AF68" s="58">
        <f t="shared" si="175"/>
        <v>1857.014075</v>
      </c>
      <c r="AG68" s="103">
        <f t="shared" si="175"/>
        <v>1837.8696</v>
      </c>
      <c r="AH68" s="58">
        <f t="shared" si="175"/>
        <v>1818.7251249999999</v>
      </c>
      <c r="AI68" s="58">
        <f t="shared" si="175"/>
        <v>1799.5806499999999</v>
      </c>
      <c r="AJ68" s="58">
        <f t="shared" si="175"/>
        <v>1780.436175</v>
      </c>
      <c r="AK68" s="58">
        <f t="shared" si="175"/>
        <v>1761.2917000000002</v>
      </c>
      <c r="AL68" s="58">
        <f t="shared" si="175"/>
        <v>1742.1472249999999</v>
      </c>
      <c r="AM68" s="58">
        <f t="shared" si="175"/>
        <v>1723.0027500000001</v>
      </c>
      <c r="AN68" s="58">
        <f t="shared" si="175"/>
        <v>1703.858275</v>
      </c>
      <c r="AO68" s="58">
        <f t="shared" si="175"/>
        <v>1684.7137999999998</v>
      </c>
      <c r="AP68" s="58">
        <f t="shared" si="175"/>
        <v>1665.5693249999999</v>
      </c>
      <c r="AQ68" s="58">
        <f t="shared" si="175"/>
        <v>1646.4248500000001</v>
      </c>
      <c r="AR68" s="58">
        <f t="shared" si="175"/>
        <v>1627.280375</v>
      </c>
      <c r="AS68" s="109">
        <f t="shared" si="175"/>
        <v>1608.1359</v>
      </c>
      <c r="AT68" s="58">
        <f t="shared" si="175"/>
        <v>1588.9914249999999</v>
      </c>
      <c r="AU68" s="58">
        <f t="shared" si="175"/>
        <v>1569.8469500000001</v>
      </c>
      <c r="AV68" s="58">
        <f t="shared" si="175"/>
        <v>1550.702475</v>
      </c>
      <c r="AW68" s="58">
        <f t="shared" si="175"/>
        <v>1531.558</v>
      </c>
      <c r="AX68" s="58">
        <f t="shared" si="175"/>
        <v>1512.4135249999999</v>
      </c>
      <c r="AY68" s="58">
        <f t="shared" si="175"/>
        <v>1493.2690500000001</v>
      </c>
      <c r="AZ68" s="58">
        <f t="shared" si="175"/>
        <v>1474.124575</v>
      </c>
      <c r="BA68" s="58">
        <f t="shared" si="175"/>
        <v>1454.9801</v>
      </c>
      <c r="BB68" s="58">
        <f t="shared" si="175"/>
        <v>1435.8356249999999</v>
      </c>
      <c r="BC68" s="58">
        <f t="shared" si="175"/>
        <v>1416.6911500000001</v>
      </c>
      <c r="BD68" s="58">
        <f t="shared" si="175"/>
        <v>1397.5466749999998</v>
      </c>
      <c r="BE68" s="58">
        <f t="shared" si="175"/>
        <v>1378.4022</v>
      </c>
      <c r="BF68" s="58">
        <f t="shared" si="175"/>
        <v>1359.2577249999999</v>
      </c>
      <c r="BG68" s="58">
        <f t="shared" si="175"/>
        <v>1340.1132500000001</v>
      </c>
      <c r="BH68" s="58">
        <f t="shared" si="175"/>
        <v>1320.9687749999998</v>
      </c>
      <c r="BI68" s="58">
        <f t="shared" si="175"/>
        <v>1301.8243</v>
      </c>
      <c r="BJ68" s="58">
        <f t="shared" si="175"/>
        <v>1282.6798249999999</v>
      </c>
      <c r="BK68" s="58">
        <f t="shared" si="175"/>
        <v>1263.5353500000001</v>
      </c>
      <c r="BL68" s="58">
        <f t="shared" si="175"/>
        <v>1244.3908749999998</v>
      </c>
      <c r="BM68" s="58">
        <f t="shared" si="175"/>
        <v>1225.2464</v>
      </c>
      <c r="BN68" s="58">
        <f t="shared" si="175"/>
        <v>1206.1019249999999</v>
      </c>
      <c r="BO68" s="58">
        <f t="shared" si="175"/>
        <v>1186.9574500000001</v>
      </c>
      <c r="BP68" s="58">
        <f t="shared" si="175"/>
        <v>1167.8129749999998</v>
      </c>
      <c r="BQ68" s="58">
        <f t="shared" si="175"/>
        <v>1148.6685</v>
      </c>
      <c r="BR68" s="58">
        <f t="shared" si="175"/>
        <v>1129.5240249999999</v>
      </c>
      <c r="BS68" s="58">
        <f t="shared" si="175"/>
        <v>1110.3795500000001</v>
      </c>
      <c r="BT68" s="58">
        <f t="shared" si="175"/>
        <v>1091.2350750000001</v>
      </c>
      <c r="BU68" s="58">
        <f t="shared" si="175"/>
        <v>1072.0906</v>
      </c>
      <c r="BV68" s="58">
        <f t="shared" si="175"/>
        <v>1052.9461249999999</v>
      </c>
      <c r="BW68" s="58">
        <f t="shared" si="175"/>
        <v>1033.8016500000001</v>
      </c>
      <c r="BX68" s="58">
        <f t="shared" si="175"/>
        <v>1014.6571749999999</v>
      </c>
      <c r="BY68" s="58">
        <f t="shared" si="175"/>
        <v>995.5127</v>
      </c>
      <c r="BZ68" s="58">
        <f t="shared" si="175"/>
        <v>976.36822499999994</v>
      </c>
      <c r="CA68" s="58">
        <f t="shared" si="175"/>
        <v>957.22375</v>
      </c>
      <c r="CB68" s="58">
        <f t="shared" si="175"/>
        <v>938.07927499999994</v>
      </c>
      <c r="CC68" s="58">
        <f t="shared" si="175"/>
        <v>918.9348</v>
      </c>
      <c r="CD68" s="58">
        <f t="shared" si="175"/>
        <v>899.79032499999994</v>
      </c>
      <c r="CE68" s="58">
        <f t="shared" si="175"/>
        <v>880.64585000000011</v>
      </c>
      <c r="CF68" s="58">
        <f t="shared" si="175"/>
        <v>861.50137500000005</v>
      </c>
      <c r="CG68" s="58">
        <f t="shared" si="175"/>
        <v>842.35689999999988</v>
      </c>
      <c r="CH68" s="58">
        <f t="shared" si="175"/>
        <v>823.21242500000005</v>
      </c>
      <c r="CI68" s="58">
        <f t="shared" si="175"/>
        <v>804.06795</v>
      </c>
      <c r="CJ68" s="58">
        <f t="shared" si="175"/>
        <v>784.92347500000005</v>
      </c>
      <c r="CK68" s="58">
        <f t="shared" si="175"/>
        <v>765.779</v>
      </c>
      <c r="CL68" s="58">
        <f t="shared" ref="CL68:DY72" si="176">IF(CL$1&lt;$F68,$I68*(($F68-CL$1)/$F68),0)</f>
        <v>746.63452500000005</v>
      </c>
      <c r="CM68" s="58">
        <f t="shared" si="176"/>
        <v>727.49005</v>
      </c>
      <c r="CN68" s="58">
        <f t="shared" si="176"/>
        <v>708.34557500000005</v>
      </c>
      <c r="CO68" s="58">
        <f t="shared" si="176"/>
        <v>689.2011</v>
      </c>
      <c r="CP68" s="58">
        <f t="shared" si="176"/>
        <v>670.05662500000005</v>
      </c>
      <c r="CQ68" s="58">
        <f t="shared" si="176"/>
        <v>650.91215</v>
      </c>
      <c r="CR68" s="58">
        <f t="shared" si="176"/>
        <v>631.76767500000005</v>
      </c>
      <c r="CS68" s="58">
        <f t="shared" si="176"/>
        <v>612.6232</v>
      </c>
      <c r="CT68" s="58">
        <f t="shared" si="176"/>
        <v>593.47872500000005</v>
      </c>
      <c r="CU68" s="58">
        <f t="shared" si="176"/>
        <v>574.33425</v>
      </c>
      <c r="CV68" s="58">
        <f t="shared" si="176"/>
        <v>555.18977500000005</v>
      </c>
      <c r="CW68" s="58">
        <f t="shared" si="176"/>
        <v>536.0453</v>
      </c>
      <c r="CX68" s="58">
        <f t="shared" si="176"/>
        <v>516.90082500000005</v>
      </c>
      <c r="CY68" s="58">
        <f t="shared" si="176"/>
        <v>497.75635</v>
      </c>
      <c r="CZ68" s="58">
        <f t="shared" si="176"/>
        <v>478.611875</v>
      </c>
      <c r="DA68" s="58">
        <f t="shared" si="176"/>
        <v>459.4674</v>
      </c>
      <c r="DB68" s="58">
        <f t="shared" si="176"/>
        <v>440.32292500000005</v>
      </c>
      <c r="DC68" s="58">
        <f t="shared" si="176"/>
        <v>421.17844999999994</v>
      </c>
      <c r="DD68" s="58">
        <f t="shared" si="176"/>
        <v>402.033975</v>
      </c>
      <c r="DE68" s="58">
        <f t="shared" si="176"/>
        <v>382.8895</v>
      </c>
      <c r="DF68" s="58">
        <f t="shared" si="176"/>
        <v>363.745025</v>
      </c>
      <c r="DG68" s="58">
        <f t="shared" si="176"/>
        <v>344.60055</v>
      </c>
      <c r="DH68" s="58">
        <f t="shared" si="176"/>
        <v>325.456075</v>
      </c>
      <c r="DI68" s="58">
        <f t="shared" si="176"/>
        <v>306.3116</v>
      </c>
      <c r="DJ68" s="58">
        <f t="shared" si="176"/>
        <v>287.167125</v>
      </c>
      <c r="DK68" s="58">
        <f t="shared" si="176"/>
        <v>268.02265</v>
      </c>
      <c r="DL68" s="58">
        <f t="shared" si="176"/>
        <v>248.878175</v>
      </c>
      <c r="DM68" s="58">
        <f t="shared" si="176"/>
        <v>229.7337</v>
      </c>
      <c r="DN68" s="58">
        <f t="shared" si="176"/>
        <v>210.58922499999997</v>
      </c>
      <c r="DO68" s="58">
        <f t="shared" si="176"/>
        <v>191.44475</v>
      </c>
      <c r="DP68" s="58">
        <f t="shared" si="176"/>
        <v>172.300275</v>
      </c>
      <c r="DQ68" s="58">
        <f t="shared" si="176"/>
        <v>153.1558</v>
      </c>
      <c r="DR68" s="58">
        <f t="shared" si="176"/>
        <v>134.011325</v>
      </c>
      <c r="DS68" s="58">
        <f t="shared" si="176"/>
        <v>114.86685</v>
      </c>
      <c r="DT68" s="58">
        <f t="shared" si="176"/>
        <v>95.722375</v>
      </c>
      <c r="DU68" s="58">
        <f t="shared" si="176"/>
        <v>76.5779</v>
      </c>
      <c r="DV68" s="58">
        <f t="shared" si="176"/>
        <v>57.433425</v>
      </c>
      <c r="DW68" s="58">
        <f t="shared" si="176"/>
        <v>38.28895</v>
      </c>
      <c r="DX68" s="58">
        <f t="shared" si="176"/>
        <v>19.144475</v>
      </c>
      <c r="DY68" s="58">
        <f t="shared" si="176"/>
        <v>0</v>
      </c>
    </row>
    <row r="69" spans="1:129" x14ac:dyDescent="0.45">
      <c r="A69" s="3"/>
      <c r="B69" s="2"/>
      <c r="C69" s="121" t="s">
        <v>265</v>
      </c>
      <c r="D69" s="17"/>
      <c r="E69" s="2"/>
      <c r="F69" s="2"/>
      <c r="G69" s="2"/>
      <c r="H69" s="2"/>
      <c r="I69" s="13"/>
      <c r="J69" s="58"/>
      <c r="K69" s="58"/>
      <c r="L69" s="58"/>
      <c r="M69" s="58"/>
      <c r="N69" s="58"/>
      <c r="O69" s="58"/>
      <c r="P69" s="58"/>
      <c r="Q69" s="58"/>
      <c r="R69" s="58"/>
      <c r="S69" s="58"/>
      <c r="T69" s="58"/>
      <c r="U69" s="119">
        <f>'Plan Moyen Terme (PMT)'!C23-BAU_Liquidité_Dynamique!U68</f>
        <v>255.39669999999978</v>
      </c>
      <c r="V69" s="120">
        <f>IF(AND(U$1&lt;V$1, V$1&lt;=$F68),$U69*($F68-V$1)/($F68-$U$1),0)</f>
        <v>253.03191574074052</v>
      </c>
      <c r="W69" s="120">
        <f>IF(AND(V$1&lt;W$1, W$1&lt;=$F68),$U69*($F68-W$1)/($F68-$U$1),0)</f>
        <v>250.66713148148125</v>
      </c>
      <c r="X69" s="120">
        <f t="shared" ref="X69" si="177">IF(AND(W$1&lt;X$1, X$1&lt;=$F68),$U69*($F68-X$1)/($F68-$U$1),0)</f>
        <v>248.30234722222201</v>
      </c>
      <c r="Y69" s="120">
        <f t="shared" ref="Y69" si="178">IF(AND(X$1&lt;Y$1, Y$1&lt;=$F68),$U69*($F68-Y$1)/($F68-$U$1),0)</f>
        <v>245.93756296296274</v>
      </c>
      <c r="Z69" s="120">
        <f t="shared" ref="Z69" si="179">IF(AND(Y$1&lt;Z$1, Z$1&lt;=$F68),$U69*($F68-Z$1)/($F68-$U$1),0)</f>
        <v>243.57277870370348</v>
      </c>
      <c r="AA69" s="120">
        <f t="shared" ref="AA69" si="180">IF(AND(Z$1&lt;AA$1, AA$1&lt;=$F68),$U69*($F68-AA$1)/($F68-$U$1),0)</f>
        <v>241.20799444444424</v>
      </c>
      <c r="AB69" s="120">
        <f t="shared" ref="AB69" si="181">IF(AND(AA$1&lt;AB$1, AB$1&lt;=$F68),$U69*($F68-AB$1)/($F68-$U$1),0)</f>
        <v>238.84321018518497</v>
      </c>
      <c r="AC69" s="120">
        <f t="shared" ref="AC69" si="182">IF(AND(AB$1&lt;AC$1, AC$1&lt;=$F68),$U69*($F68-AC$1)/($F68-$U$1),0)</f>
        <v>236.47842592592571</v>
      </c>
      <c r="AD69" s="120">
        <f t="shared" ref="AD69" si="183">IF(AND(AC$1&lt;AD$1, AD$1&lt;=$F68),$U69*($F68-AD$1)/($F68-$U$1),0)</f>
        <v>234.11364166666647</v>
      </c>
      <c r="AE69" s="120">
        <f t="shared" ref="AE69" si="184">IF(AND(AD$1&lt;AE$1, AE$1&lt;=$F68),$U69*($F68-AE$1)/($F68-$U$1),0)</f>
        <v>231.7488574074072</v>
      </c>
      <c r="AF69" s="120">
        <f t="shared" ref="AF69" si="185">IF(AND(AE$1&lt;AF$1, AF$1&lt;=$F68),$U69*($F68-AF$1)/($F68-$U$1),0)</f>
        <v>229.38407314814796</v>
      </c>
      <c r="AG69" s="120">
        <f t="shared" ref="AG69" si="186">IF(AND(AF$1&lt;AG$1, AG$1&lt;=$F68),$U69*($F68-AG$1)/($F68-$U$1),0)</f>
        <v>227.0192888888887</v>
      </c>
      <c r="AH69" s="120">
        <f t="shared" ref="AH69" si="187">IF(AND(AG$1&lt;AH$1, AH$1&lt;=$F68),$U69*($F68-AH$1)/($F68-$U$1),0)</f>
        <v>224.65450462962943</v>
      </c>
      <c r="AI69" s="120">
        <f t="shared" ref="AI69" si="188">IF(AND(AH$1&lt;AI$1, AI$1&lt;=$F68),$U69*($F68-AI$1)/($F68-$U$1),0)</f>
        <v>222.28972037037019</v>
      </c>
      <c r="AJ69" s="120">
        <f t="shared" ref="AJ69" si="189">IF(AND(AI$1&lt;AJ$1, AJ$1&lt;=$F68),$U69*($F68-AJ$1)/($F68-$U$1),0)</f>
        <v>219.92493611111092</v>
      </c>
      <c r="AK69" s="120">
        <f t="shared" ref="AK69" si="190">IF(AND(AJ$1&lt;AK$1, AK$1&lt;=$F68),$U69*($F68-AK$1)/($F68-$U$1),0)</f>
        <v>217.56015185185169</v>
      </c>
      <c r="AL69" s="120">
        <f t="shared" ref="AL69" si="191">IF(AND(AK$1&lt;AL$1, AL$1&lt;=$F68),$U69*($F68-AL$1)/($F68-$U$1),0)</f>
        <v>215.19536759259242</v>
      </c>
      <c r="AM69" s="120">
        <f t="shared" ref="AM69" si="192">IF(AND(AL$1&lt;AM$1, AM$1&lt;=$F68),$U69*($F68-AM$1)/($F68-$U$1),0)</f>
        <v>212.83058333333315</v>
      </c>
      <c r="AN69" s="120">
        <f t="shared" ref="AN69" si="193">IF(AND(AM$1&lt;AN$1, AN$1&lt;=$F68),$U69*($F68-AN$1)/($F68-$U$1),0)</f>
        <v>210.46579907407391</v>
      </c>
      <c r="AO69" s="120">
        <f t="shared" ref="AO69" si="194">IF(AND(AN$1&lt;AO$1, AO$1&lt;=$F68),$U69*($F68-AO$1)/($F68-$U$1),0)</f>
        <v>208.10101481481465</v>
      </c>
      <c r="AP69" s="120">
        <f t="shared" ref="AP69" si="195">IF(AND(AO$1&lt;AP$1, AP$1&lt;=$F68),$U69*($F68-AP$1)/($F68-$U$1),0)</f>
        <v>205.73623055555538</v>
      </c>
      <c r="AQ69" s="120">
        <f t="shared" ref="AQ69" si="196">IF(AND(AP$1&lt;AQ$1, AQ$1&lt;=$F68),$U69*($F68-AQ$1)/($F68-$U$1),0)</f>
        <v>203.37144629629614</v>
      </c>
      <c r="AR69" s="120">
        <f t="shared" ref="AR69" si="197">IF(AND(AQ$1&lt;AR$1, AR$1&lt;=$F68),$U69*($F68-AR$1)/($F68-$U$1),0)</f>
        <v>201.00666203703688</v>
      </c>
      <c r="AS69" s="120">
        <f t="shared" ref="AS69" si="198">IF(AND(AR$1&lt;AS$1, AS$1&lt;=$F68),$U69*($F68-AS$1)/($F68-$U$1),0)</f>
        <v>198.64187777777758</v>
      </c>
      <c r="AT69" s="120">
        <f t="shared" ref="AT69" si="199">IF(AND(AS$1&lt;AT$1, AT$1&lt;=$F68),$U69*($F68-AT$1)/($F68-$U$1),0)</f>
        <v>196.27709351851834</v>
      </c>
      <c r="AU69" s="120">
        <f t="shared" ref="AU69" si="200">IF(AND(AT$1&lt;AU$1, AU$1&lt;=$F68),$U69*($F68-AU$1)/($F68-$U$1),0)</f>
        <v>193.91230925925908</v>
      </c>
      <c r="AV69" s="120">
        <f t="shared" ref="AV69" si="201">IF(AND(AU$1&lt;AV$1, AV$1&lt;=$F68),$U69*($F68-AV$1)/($F68-$U$1),0)</f>
        <v>191.54752499999984</v>
      </c>
      <c r="AW69" s="120">
        <f t="shared" ref="AW69" si="202">IF(AND(AV$1&lt;AW$1, AW$1&lt;=$F68),$U69*($F68-AW$1)/($F68-$U$1),0)</f>
        <v>189.18274074074057</v>
      </c>
      <c r="AX69" s="120">
        <f t="shared" ref="AX69" si="203">IF(AND(AW$1&lt;AX$1, AX$1&lt;=$F68),$U69*($F68-AX$1)/($F68-$U$1),0)</f>
        <v>186.8179564814813</v>
      </c>
      <c r="AY69" s="120">
        <f t="shared" ref="AY69" si="204">IF(AND(AX$1&lt;AY$1, AY$1&lt;=$F68),$U69*($F68-AY$1)/($F68-$U$1),0)</f>
        <v>184.45317222222207</v>
      </c>
      <c r="AZ69" s="120">
        <f t="shared" ref="AZ69" si="205">IF(AND(AY$1&lt;AZ$1, AZ$1&lt;=$F68),$U69*($F68-AZ$1)/($F68-$U$1),0)</f>
        <v>182.0883879629628</v>
      </c>
      <c r="BA69" s="120">
        <f t="shared" ref="BA69" si="206">IF(AND(AZ$1&lt;BA$1, BA$1&lt;=$F68),$U69*($F68-BA$1)/($F68-$U$1),0)</f>
        <v>179.72360370370356</v>
      </c>
      <c r="BB69" s="120">
        <f t="shared" ref="BB69" si="207">IF(AND(BA$1&lt;BB$1, BB$1&lt;=$F68),$U69*($F68-BB$1)/($F68-$U$1),0)</f>
        <v>177.35881944444429</v>
      </c>
      <c r="BC69" s="120">
        <f t="shared" ref="BC69" si="208">IF(AND(BB$1&lt;BC$1, BC$1&lt;=$F68),$U69*($F68-BC$1)/($F68-$U$1),0)</f>
        <v>174.99403518518503</v>
      </c>
      <c r="BD69" s="120">
        <f t="shared" ref="BD69" si="209">IF(AND(BC$1&lt;BD$1, BD$1&lt;=$F68),$U69*($F68-BD$1)/($F68-$U$1),0)</f>
        <v>172.62925092592579</v>
      </c>
      <c r="BE69" s="120">
        <f t="shared" ref="BE69" si="210">IF(AND(BD$1&lt;BE$1, BE$1&lt;=$F68),$U69*($F68-BE$1)/($F68-$U$1),0)</f>
        <v>170.26446666666652</v>
      </c>
      <c r="BF69" s="120">
        <f t="shared" ref="BF69" si="211">IF(AND(BE$1&lt;BF$1, BF$1&lt;=$F68),$U69*($F68-BF$1)/($F68-$U$1),0)</f>
        <v>167.89968240740725</v>
      </c>
      <c r="BG69" s="120">
        <f t="shared" ref="BG69" si="212">IF(AND(BF$1&lt;BG$1, BG$1&lt;=$F68),$U69*($F68-BG$1)/($F68-$U$1),0)</f>
        <v>165.53489814814802</v>
      </c>
      <c r="BH69" s="120">
        <f t="shared" ref="BH69" si="213">IF(AND(BG$1&lt;BH$1, BH$1&lt;=$F68),$U69*($F68-BH$1)/($F68-$U$1),0)</f>
        <v>163.17011388888875</v>
      </c>
      <c r="BI69" s="120">
        <f t="shared" ref="BI69" si="214">IF(AND(BH$1&lt;BI$1, BI$1&lt;=$F68),$U69*($F68-BI$1)/($F68-$U$1),0)</f>
        <v>160.80532962962948</v>
      </c>
      <c r="BJ69" s="120">
        <f t="shared" ref="BJ69" si="215">IF(AND(BI$1&lt;BJ$1, BJ$1&lt;=$F68),$U69*($F68-BJ$1)/($F68-$U$1),0)</f>
        <v>158.44054537037024</v>
      </c>
      <c r="BK69" s="120">
        <f t="shared" ref="BK69" si="216">IF(AND(BJ$1&lt;BK$1, BK$1&lt;=$F68),$U69*($F68-BK$1)/($F68-$U$1),0)</f>
        <v>156.07576111111098</v>
      </c>
      <c r="BL69" s="120">
        <f t="shared" ref="BL69" si="217">IF(AND(BK$1&lt;BL$1, BL$1&lt;=$F68),$U69*($F68-BL$1)/($F68-$U$1),0)</f>
        <v>153.71097685185174</v>
      </c>
      <c r="BM69" s="120">
        <f t="shared" ref="BM69" si="218">IF(AND(BL$1&lt;BM$1, BM$1&lt;=$F68),$U69*($F68-BM$1)/($F68-$U$1),0)</f>
        <v>151.34619259259247</v>
      </c>
      <c r="BN69" s="120">
        <f t="shared" ref="BN69" si="219">IF(AND(BM$1&lt;BN$1, BN$1&lt;=$F68),$U69*($F68-BN$1)/($F68-$U$1),0)</f>
        <v>148.98140833333321</v>
      </c>
      <c r="BO69" s="120">
        <f t="shared" ref="BO69" si="220">IF(AND(BN$1&lt;BO$1, BO$1&lt;=$F68),$U69*($F68-BO$1)/($F68-$U$1),0)</f>
        <v>146.61662407407397</v>
      </c>
      <c r="BP69" s="120">
        <f t="shared" ref="BP69" si="221">IF(AND(BO$1&lt;BP$1, BP$1&lt;=$F68),$U69*($F68-BP$1)/($F68-$U$1),0)</f>
        <v>144.2518398148147</v>
      </c>
      <c r="BQ69" s="120">
        <f t="shared" ref="BQ69" si="222">IF(AND(BP$1&lt;BQ$1, BQ$1&lt;=$F68),$U69*($F68-BQ$1)/($F68-$U$1),0)</f>
        <v>141.88705555555543</v>
      </c>
      <c r="BR69" s="120">
        <f t="shared" ref="BR69" si="223">IF(AND(BQ$1&lt;BR$1, BR$1&lt;=$F68),$U69*($F68-BR$1)/($F68-$U$1),0)</f>
        <v>139.52227129629617</v>
      </c>
      <c r="BS69" s="120">
        <f t="shared" ref="BS69" si="224">IF(AND(BR$1&lt;BS$1, BS$1&lt;=$F68),$U69*($F68-BS$1)/($F68-$U$1),0)</f>
        <v>137.1574870370369</v>
      </c>
      <c r="BT69" s="120">
        <f t="shared" ref="BT69" si="225">IF(AND(BS$1&lt;BT$1, BT$1&lt;=$F68),$U69*($F68-BT$1)/($F68-$U$1),0)</f>
        <v>134.79270277777766</v>
      </c>
      <c r="BU69" s="120">
        <f t="shared" ref="BU69" si="226">IF(AND(BT$1&lt;BU$1, BU$1&lt;=$F68),$U69*($F68-BU$1)/($F68-$U$1),0)</f>
        <v>132.4279185185184</v>
      </c>
      <c r="BV69" s="120">
        <f t="shared" ref="BV69" si="227">IF(AND(BU$1&lt;BV$1, BV$1&lt;=$F68),$U69*($F68-BV$1)/($F68-$U$1),0)</f>
        <v>130.06313425925916</v>
      </c>
      <c r="BW69" s="120">
        <f t="shared" ref="BW69" si="228">IF(AND(BV$1&lt;BW$1, BW$1&lt;=$F68),$U69*($F68-BW$1)/($F68-$U$1),0)</f>
        <v>127.69834999999991</v>
      </c>
      <c r="BX69" s="120">
        <f t="shared" ref="BX69" si="229">IF(AND(BW$1&lt;BX$1, BX$1&lt;=$F68),$U69*($F68-BX$1)/($F68-$U$1),0)</f>
        <v>125.33356574074062</v>
      </c>
      <c r="BY69" s="120">
        <f t="shared" ref="BY69" si="230">IF(AND(BX$1&lt;BY$1, BY$1&lt;=$F68),$U69*($F68-BY$1)/($F68-$U$1),0)</f>
        <v>122.96878148148137</v>
      </c>
      <c r="BZ69" s="120">
        <f t="shared" ref="BZ69" si="231">IF(AND(BY$1&lt;BZ$1, BZ$1&lt;=$F68),$U69*($F68-BZ$1)/($F68-$U$1),0)</f>
        <v>120.60399722222212</v>
      </c>
      <c r="CA69" s="120">
        <f t="shared" ref="CA69" si="232">IF(AND(BZ$1&lt;CA$1, CA$1&lt;=$F68),$U69*($F68-CA$1)/($F68-$U$1),0)</f>
        <v>118.23921296296285</v>
      </c>
      <c r="CB69" s="120">
        <f t="shared" ref="CB69" si="233">IF(AND(CA$1&lt;CB$1, CB$1&lt;=$F68),$U69*($F68-CB$1)/($F68-$U$1),0)</f>
        <v>115.8744287037036</v>
      </c>
      <c r="CC69" s="120">
        <f t="shared" ref="CC69" si="234">IF(AND(CB$1&lt;CC$1, CC$1&lt;=$F68),$U69*($F68-CC$1)/($F68-$U$1),0)</f>
        <v>113.50964444444435</v>
      </c>
      <c r="CD69" s="120">
        <f t="shared" ref="CD69" si="235">IF(AND(CC$1&lt;CD$1, CD$1&lt;=$F68),$U69*($F68-CD$1)/($F68-$U$1),0)</f>
        <v>111.1448601851851</v>
      </c>
      <c r="CE69" s="120">
        <f t="shared" ref="CE69" si="236">IF(AND(CD$1&lt;CE$1, CE$1&lt;=$F68),$U69*($F68-CE$1)/($F68-$U$1),0)</f>
        <v>108.78007592592584</v>
      </c>
      <c r="CF69" s="120">
        <f t="shared" ref="CF69" si="237">IF(AND(CE$1&lt;CF$1, CF$1&lt;=$F68),$U69*($F68-CF$1)/($F68-$U$1),0)</f>
        <v>106.41529166666658</v>
      </c>
      <c r="CG69" s="120">
        <f t="shared" ref="CG69" si="238">IF(AND(CF$1&lt;CG$1, CG$1&lt;=$F68),$U69*($F68-CG$1)/($F68-$U$1),0)</f>
        <v>104.05050740740732</v>
      </c>
      <c r="CH69" s="120">
        <f t="shared" ref="CH69" si="239">IF(AND(CG$1&lt;CH$1, CH$1&lt;=$F68),$U69*($F68-CH$1)/($F68-$U$1),0)</f>
        <v>101.68572314814807</v>
      </c>
      <c r="CI69" s="120">
        <f t="shared" ref="CI69" si="240">IF(AND(CH$1&lt;CI$1, CI$1&lt;=$F68),$U69*($F68-CI$1)/($F68-$U$1),0)</f>
        <v>99.32093888888879</v>
      </c>
      <c r="CJ69" s="120">
        <f t="shared" ref="CJ69" si="241">IF(AND(CI$1&lt;CJ$1, CJ$1&lt;=$F68),$U69*($F68-CJ$1)/($F68-$U$1),0)</f>
        <v>96.956154629629538</v>
      </c>
      <c r="CK69" s="120">
        <f t="shared" ref="CK69" si="242">IF(AND(CJ$1&lt;CK$1, CK$1&lt;=$F68),$U69*($F68-CK$1)/($F68-$U$1),0)</f>
        <v>94.591370370370285</v>
      </c>
      <c r="CL69" s="120">
        <f t="shared" ref="CL69" si="243">IF(AND(CK$1&lt;CL$1, CL$1&lt;=$F68),$U69*($F68-CL$1)/($F68-$U$1),0)</f>
        <v>92.226586111111033</v>
      </c>
      <c r="CM69" s="120">
        <f t="shared" ref="CM69" si="244">IF(AND(CL$1&lt;CM$1, CM$1&lt;=$F68),$U69*($F68-CM$1)/($F68-$U$1),0)</f>
        <v>89.86180185185178</v>
      </c>
      <c r="CN69" s="120">
        <f t="shared" ref="CN69" si="245">IF(AND(CM$1&lt;CN$1, CN$1&lt;=$F68),$U69*($F68-CN$1)/($F68-$U$1),0)</f>
        <v>87.497017592592513</v>
      </c>
      <c r="CO69" s="120">
        <f t="shared" ref="CO69" si="246">IF(AND(CN$1&lt;CO$1, CO$1&lt;=$F68),$U69*($F68-CO$1)/($F68-$U$1),0)</f>
        <v>85.132233333333261</v>
      </c>
      <c r="CP69" s="120">
        <f t="shared" ref="CP69" si="247">IF(AND(CO$1&lt;CP$1, CP$1&lt;=$F68),$U69*($F68-CP$1)/($F68-$U$1),0)</f>
        <v>82.767449074074008</v>
      </c>
      <c r="CQ69" s="120">
        <f t="shared" ref="CQ69" si="248">IF(AND(CP$1&lt;CQ$1, CQ$1&lt;=$F68),$U69*($F68-CQ$1)/($F68-$U$1),0)</f>
        <v>80.402664814814742</v>
      </c>
      <c r="CR69" s="120">
        <f t="shared" ref="CR69" si="249">IF(AND(CQ$1&lt;CR$1, CR$1&lt;=$F68),$U69*($F68-CR$1)/($F68-$U$1),0)</f>
        <v>78.037880555555489</v>
      </c>
      <c r="CS69" s="120">
        <f t="shared" ref="CS69" si="250">IF(AND(CR$1&lt;CS$1, CS$1&lt;=$F68),$U69*($F68-CS$1)/($F68-$U$1),0)</f>
        <v>75.673096296296237</v>
      </c>
      <c r="CT69" s="120">
        <f t="shared" ref="CT69" si="251">IF(AND(CS$1&lt;CT$1, CT$1&lt;=$F68),$U69*($F68-CT$1)/($F68-$U$1),0)</f>
        <v>73.308312037036984</v>
      </c>
      <c r="CU69" s="120">
        <f t="shared" ref="CU69" si="252">IF(AND(CT$1&lt;CU$1, CU$1&lt;=$F68),$U69*($F68-CU$1)/($F68-$U$1),0)</f>
        <v>70.943527777777717</v>
      </c>
      <c r="CV69" s="120">
        <f t="shared" ref="CV69" si="253">IF(AND(CU$1&lt;CV$1, CV$1&lt;=$F68),$U69*($F68-CV$1)/($F68-$U$1),0)</f>
        <v>68.578743518518451</v>
      </c>
      <c r="CW69" s="120">
        <f t="shared" ref="CW69" si="254">IF(AND(CV$1&lt;CW$1, CW$1&lt;=$F68),$U69*($F68-CW$1)/($F68-$U$1),0)</f>
        <v>66.213959259259198</v>
      </c>
      <c r="CX69" s="120">
        <f t="shared" ref="CX69" si="255">IF(AND(CW$1&lt;CX$1, CX$1&lt;=$F68),$U69*($F68-CX$1)/($F68-$U$1),0)</f>
        <v>63.849174999999953</v>
      </c>
      <c r="CY69" s="120">
        <f t="shared" ref="CY69" si="256">IF(AND(CX$1&lt;CY$1, CY$1&lt;=$F68),$U69*($F68-CY$1)/($F68-$U$1),0)</f>
        <v>61.484390740740686</v>
      </c>
      <c r="CZ69" s="120">
        <f t="shared" ref="CZ69" si="257">IF(AND(CY$1&lt;CZ$1, CZ$1&lt;=$F68),$U69*($F68-CZ$1)/($F68-$U$1),0)</f>
        <v>59.119606481481426</v>
      </c>
      <c r="DA69" s="120">
        <f t="shared" ref="DA69" si="258">IF(AND(CZ$1&lt;DA$1, DA$1&lt;=$F68),$U69*($F68-DA$1)/($F68-$U$1),0)</f>
        <v>56.754822222222174</v>
      </c>
      <c r="DB69" s="120">
        <f t="shared" ref="DB69" si="259">IF(AND(DA$1&lt;DB$1, DB$1&lt;=$F68),$U69*($F68-DB$1)/($F68-$U$1),0)</f>
        <v>54.390037962962921</v>
      </c>
      <c r="DC69" s="120">
        <f t="shared" ref="DC69" si="260">IF(AND(DB$1&lt;DC$1, DC$1&lt;=$F68),$U69*($F68-DC$1)/($F68-$U$1),0)</f>
        <v>52.025253703703662</v>
      </c>
      <c r="DD69" s="120">
        <f t="shared" ref="DD69" si="261">IF(AND(DC$1&lt;DD$1, DD$1&lt;=$F68),$U69*($F68-DD$1)/($F68-$U$1),0)</f>
        <v>49.660469444444395</v>
      </c>
      <c r="DE69" s="120">
        <f t="shared" ref="DE69" si="262">IF(AND(DD$1&lt;DE$1, DE$1&lt;=$F68),$U69*($F68-DE$1)/($F68-$U$1),0)</f>
        <v>47.295685185185143</v>
      </c>
      <c r="DF69" s="120">
        <f t="shared" ref="DF69" si="263">IF(AND(DE$1&lt;DF$1, DF$1&lt;=$F68),$U69*($F68-DF$1)/($F68-$U$1),0)</f>
        <v>44.93090092592589</v>
      </c>
      <c r="DG69" s="120">
        <f t="shared" ref="DG69" si="264">IF(AND(DF$1&lt;DG$1, DG$1&lt;=$F68),$U69*($F68-DG$1)/($F68-$U$1),0)</f>
        <v>42.56611666666663</v>
      </c>
      <c r="DH69" s="120">
        <f t="shared" ref="DH69" si="265">IF(AND(DG$1&lt;DH$1, DH$1&lt;=$F68),$U69*($F68-DH$1)/($F68-$U$1),0)</f>
        <v>40.201332407407371</v>
      </c>
      <c r="DI69" s="120">
        <f t="shared" ref="DI69" si="266">IF(AND(DH$1&lt;DI$1, DI$1&lt;=$F68),$U69*($F68-DI$1)/($F68-$U$1),0)</f>
        <v>37.836548148148118</v>
      </c>
      <c r="DJ69" s="120">
        <f t="shared" ref="DJ69" si="267">IF(AND(DI$1&lt;DJ$1, DJ$1&lt;=$F68),$U69*($F68-DJ$1)/($F68-$U$1),0)</f>
        <v>35.471763888888859</v>
      </c>
      <c r="DK69" s="120">
        <f t="shared" ref="DK69" si="268">IF(AND(DJ$1&lt;DK$1, DK$1&lt;=$F68),$U69*($F68-DK$1)/($F68-$U$1),0)</f>
        <v>33.106979629629599</v>
      </c>
      <c r="DL69" s="120">
        <f t="shared" ref="DL69" si="269">IF(AND(DK$1&lt;DL$1, DL$1&lt;=$F68),$U69*($F68-DL$1)/($F68-$U$1),0)</f>
        <v>30.742195370370343</v>
      </c>
      <c r="DM69" s="120">
        <f t="shared" ref="DM69" si="270">IF(AND(DL$1&lt;DM$1, DM$1&lt;=$F68),$U69*($F68-DM$1)/($F68-$U$1),0)</f>
        <v>28.377411111111087</v>
      </c>
      <c r="DN69" s="120">
        <f t="shared" ref="DN69" si="271">IF(AND(DM$1&lt;DN$1, DN$1&lt;=$F68),$U69*($F68-DN$1)/($F68-$U$1),0)</f>
        <v>26.012626851851831</v>
      </c>
      <c r="DO69" s="120">
        <f t="shared" ref="DO69" si="272">IF(AND(DN$1&lt;DO$1, DO$1&lt;=$F68),$U69*($F68-DO$1)/($F68-$U$1),0)</f>
        <v>23.647842592592571</v>
      </c>
      <c r="DP69" s="120">
        <f t="shared" ref="DP69" si="273">IF(AND(DO$1&lt;DP$1, DP$1&lt;=$F68),$U69*($F68-DP$1)/($F68-$U$1),0)</f>
        <v>21.283058333333315</v>
      </c>
      <c r="DQ69" s="120">
        <f t="shared" ref="DQ69" si="274">IF(AND(DP$1&lt;DQ$1, DQ$1&lt;=$F68),$U69*($F68-DQ$1)/($F68-$U$1),0)</f>
        <v>18.918274074074059</v>
      </c>
      <c r="DR69" s="120">
        <f t="shared" ref="DR69" si="275">IF(AND(DQ$1&lt;DR$1, DR$1&lt;=$F68),$U69*($F68-DR$1)/($F68-$U$1),0)</f>
        <v>16.5534898148148</v>
      </c>
      <c r="DS69" s="120">
        <f t="shared" ref="DS69" si="276">IF(AND(DR$1&lt;DS$1, DS$1&lt;=$F68),$U69*($F68-DS$1)/($F68-$U$1),0)</f>
        <v>14.188705555555543</v>
      </c>
      <c r="DT69" s="120">
        <f t="shared" ref="DT69" si="277">IF(AND(DS$1&lt;DT$1, DT$1&lt;=$F68),$U69*($F68-DT$1)/($F68-$U$1),0)</f>
        <v>11.823921296296286</v>
      </c>
      <c r="DU69" s="120">
        <f t="shared" ref="DU69" si="278">IF(AND(DT$1&lt;DU$1, DU$1&lt;=$F68),$U69*($F68-DU$1)/($F68-$U$1),0)</f>
        <v>9.4591370370370296</v>
      </c>
      <c r="DV69" s="120">
        <f t="shared" ref="DV69" si="279">IF(AND(DU$1&lt;DV$1, DV$1&lt;=$F68),$U69*($F68-DV$1)/($F68-$U$1),0)</f>
        <v>7.0943527777777717</v>
      </c>
      <c r="DW69" s="120">
        <f t="shared" ref="DW69" si="280">IF(AND(DV$1&lt;DW$1, DW$1&lt;=$F68),$U69*($F68-DW$1)/($F68-$U$1),0)</f>
        <v>4.7295685185185148</v>
      </c>
      <c r="DX69" s="120">
        <f t="shared" ref="DX69" si="281">IF(AND(DW$1&lt;DX$1, DX$1&lt;=$F68),$U69*($F68-DX$1)/($F68-$U$1),0)</f>
        <v>2.3647842592592574</v>
      </c>
      <c r="DY69" s="120">
        <f t="shared" ref="DY69" si="282">IF(AND(DX$1&lt;DY$1, DY$1&lt;=$F68),$U69*($F68-DY$1)/($F68-$U$1),0)</f>
        <v>0</v>
      </c>
    </row>
    <row r="70" spans="1:129" x14ac:dyDescent="0.45">
      <c r="A70" s="3"/>
      <c r="B70" s="2"/>
      <c r="C70" s="122" t="s">
        <v>266</v>
      </c>
      <c r="D70" s="17"/>
      <c r="E70" s="2"/>
      <c r="F70" s="2"/>
      <c r="G70" s="2"/>
      <c r="H70" s="2"/>
      <c r="I70" s="13"/>
      <c r="J70" s="58"/>
      <c r="K70" s="58"/>
      <c r="L70" s="58"/>
      <c r="M70" s="58"/>
      <c r="N70" s="58"/>
      <c r="O70" s="58"/>
      <c r="P70" s="58"/>
      <c r="Q70" s="58"/>
      <c r="R70" s="58"/>
      <c r="S70" s="58"/>
      <c r="T70" s="58"/>
      <c r="U70" s="95"/>
      <c r="V70" s="91"/>
      <c r="W70" s="91"/>
      <c r="X70" s="91"/>
      <c r="Y70" s="91"/>
      <c r="Z70" s="55"/>
      <c r="AA70" s="55"/>
      <c r="AB70" s="55"/>
      <c r="AC70" s="55"/>
      <c r="AD70" s="55"/>
      <c r="AE70" s="55"/>
      <c r="AF70" s="55"/>
      <c r="AG70" s="129">
        <f>'Plan Moyen Terme (PMT)'!D23-BAU_Liquidité_Dynamique!AG68</f>
        <v>1902.1304</v>
      </c>
      <c r="AH70" s="124">
        <f>IF(AND(AG$1&lt;AH$1, AH$1&lt;=$F68),$AG70*($F68-AH$1)/($F68-$AG$1),0)</f>
        <v>1882.3165416666668</v>
      </c>
      <c r="AI70" s="124">
        <f>IF(AND(AH$1&lt;AI$1, AI$1&lt;=$F68),$AG70*($F68-AI$1)/($F68-$AG$1),0)</f>
        <v>1862.5026833333334</v>
      </c>
      <c r="AJ70" s="124">
        <f t="shared" ref="AJ70:CU70" si="283">IF(AND(AI$1&lt;AJ$1, AJ$1&lt;=$F68),$AG70*($F68-AJ$1)/($F68-$AG$1),0)</f>
        <v>1842.688825</v>
      </c>
      <c r="AK70" s="124">
        <f t="shared" si="283"/>
        <v>1822.8749666666665</v>
      </c>
      <c r="AL70" s="124">
        <f t="shared" si="283"/>
        <v>1803.0611083333333</v>
      </c>
      <c r="AM70" s="124">
        <f t="shared" si="283"/>
        <v>1783.2472500000001</v>
      </c>
      <c r="AN70" s="124">
        <f t="shared" si="283"/>
        <v>1763.4333916666667</v>
      </c>
      <c r="AO70" s="124">
        <f t="shared" si="283"/>
        <v>1743.6195333333333</v>
      </c>
      <c r="AP70" s="124">
        <f t="shared" si="283"/>
        <v>1723.8056749999998</v>
      </c>
      <c r="AQ70" s="124">
        <f t="shared" si="283"/>
        <v>1703.9918166666666</v>
      </c>
      <c r="AR70" s="124">
        <f t="shared" si="283"/>
        <v>1684.1779583333334</v>
      </c>
      <c r="AS70" s="124">
        <f t="shared" si="283"/>
        <v>1664.3641</v>
      </c>
      <c r="AT70" s="124">
        <f t="shared" si="283"/>
        <v>1644.5502416666668</v>
      </c>
      <c r="AU70" s="124">
        <f t="shared" si="283"/>
        <v>1624.7363833333332</v>
      </c>
      <c r="AV70" s="124">
        <f t="shared" si="283"/>
        <v>1604.922525</v>
      </c>
      <c r="AW70" s="124">
        <f t="shared" si="283"/>
        <v>1585.1086666666667</v>
      </c>
      <c r="AX70" s="124">
        <f t="shared" si="283"/>
        <v>1565.2948083333333</v>
      </c>
      <c r="AY70" s="124">
        <f t="shared" si="283"/>
        <v>1545.4809500000001</v>
      </c>
      <c r="AZ70" s="124">
        <f t="shared" si="283"/>
        <v>1525.6670916666665</v>
      </c>
      <c r="BA70" s="124">
        <f t="shared" si="283"/>
        <v>1505.8532333333333</v>
      </c>
      <c r="BB70" s="124">
        <f t="shared" si="283"/>
        <v>1486.0393750000001</v>
      </c>
      <c r="BC70" s="124">
        <f t="shared" si="283"/>
        <v>1466.2255166666666</v>
      </c>
      <c r="BD70" s="124">
        <f t="shared" si="283"/>
        <v>1446.4116583333334</v>
      </c>
      <c r="BE70" s="124">
        <f t="shared" si="283"/>
        <v>1426.5978000000002</v>
      </c>
      <c r="BF70" s="124">
        <f t="shared" si="283"/>
        <v>1406.7839416666666</v>
      </c>
      <c r="BG70" s="124">
        <f t="shared" si="283"/>
        <v>1386.9700833333334</v>
      </c>
      <c r="BH70" s="124">
        <f t="shared" si="283"/>
        <v>1367.1562249999999</v>
      </c>
      <c r="BI70" s="124">
        <f t="shared" si="283"/>
        <v>1347.3423666666667</v>
      </c>
      <c r="BJ70" s="124">
        <f t="shared" si="283"/>
        <v>1327.5285083333333</v>
      </c>
      <c r="BK70" s="124">
        <f t="shared" si="283"/>
        <v>1307.7146500000001</v>
      </c>
      <c r="BL70" s="124">
        <f t="shared" si="283"/>
        <v>1287.9007916666667</v>
      </c>
      <c r="BM70" s="124">
        <f t="shared" si="283"/>
        <v>1268.0869333333333</v>
      </c>
      <c r="BN70" s="124">
        <f t="shared" si="283"/>
        <v>1248.2730750000001</v>
      </c>
      <c r="BO70" s="124">
        <f t="shared" si="283"/>
        <v>1228.4592166666666</v>
      </c>
      <c r="BP70" s="124">
        <f t="shared" si="283"/>
        <v>1208.6453583333334</v>
      </c>
      <c r="BQ70" s="124">
        <f t="shared" si="283"/>
        <v>1188.8315</v>
      </c>
      <c r="BR70" s="124">
        <f t="shared" si="283"/>
        <v>1169.0176416666666</v>
      </c>
      <c r="BS70" s="124">
        <f t="shared" si="283"/>
        <v>1149.2037833333334</v>
      </c>
      <c r="BT70" s="124">
        <f t="shared" si="283"/>
        <v>1129.3899249999999</v>
      </c>
      <c r="BU70" s="124">
        <f t="shared" si="283"/>
        <v>1109.5760666666667</v>
      </c>
      <c r="BV70" s="124">
        <f t="shared" si="283"/>
        <v>1089.7622083333333</v>
      </c>
      <c r="BW70" s="124">
        <f t="shared" si="283"/>
        <v>1069.9483499999999</v>
      </c>
      <c r="BX70" s="124">
        <f t="shared" si="283"/>
        <v>1050.1344916666667</v>
      </c>
      <c r="BY70" s="124">
        <f t="shared" si="283"/>
        <v>1030.3206333333335</v>
      </c>
      <c r="BZ70" s="124">
        <f t="shared" si="283"/>
        <v>1010.5067749999999</v>
      </c>
      <c r="CA70" s="124">
        <f t="shared" si="283"/>
        <v>990.69291666666675</v>
      </c>
      <c r="CB70" s="124">
        <f t="shared" si="283"/>
        <v>970.87905833333332</v>
      </c>
      <c r="CC70" s="124">
        <f t="shared" si="283"/>
        <v>951.0652</v>
      </c>
      <c r="CD70" s="124">
        <f t="shared" si="283"/>
        <v>931.25134166666669</v>
      </c>
      <c r="CE70" s="124">
        <f t="shared" si="283"/>
        <v>911.43748333333326</v>
      </c>
      <c r="CF70" s="124">
        <f t="shared" si="283"/>
        <v>891.62362500000006</v>
      </c>
      <c r="CG70" s="124">
        <f t="shared" si="283"/>
        <v>871.80976666666663</v>
      </c>
      <c r="CH70" s="124">
        <f t="shared" si="283"/>
        <v>851.99590833333332</v>
      </c>
      <c r="CI70" s="124">
        <f t="shared" si="283"/>
        <v>832.18205</v>
      </c>
      <c r="CJ70" s="124">
        <f t="shared" si="283"/>
        <v>812.36819166666658</v>
      </c>
      <c r="CK70" s="124">
        <f t="shared" si="283"/>
        <v>792.55433333333337</v>
      </c>
      <c r="CL70" s="124">
        <f t="shared" si="283"/>
        <v>772.74047500000006</v>
      </c>
      <c r="CM70" s="124">
        <f t="shared" si="283"/>
        <v>752.92661666666663</v>
      </c>
      <c r="CN70" s="124">
        <f t="shared" si="283"/>
        <v>733.11275833333332</v>
      </c>
      <c r="CO70" s="124">
        <f t="shared" si="283"/>
        <v>713.29890000000012</v>
      </c>
      <c r="CP70" s="124">
        <f t="shared" si="283"/>
        <v>693.48504166666669</v>
      </c>
      <c r="CQ70" s="124">
        <f t="shared" si="283"/>
        <v>673.67118333333337</v>
      </c>
      <c r="CR70" s="124">
        <f t="shared" si="283"/>
        <v>653.85732500000006</v>
      </c>
      <c r="CS70" s="124">
        <f t="shared" si="283"/>
        <v>634.04346666666663</v>
      </c>
      <c r="CT70" s="124">
        <f t="shared" si="283"/>
        <v>614.22960833333332</v>
      </c>
      <c r="CU70" s="124">
        <f t="shared" si="283"/>
        <v>594.41575</v>
      </c>
      <c r="CV70" s="124">
        <f t="shared" ref="CV70:DY70" si="284">IF(AND(CU$1&lt;CV$1, CV$1&lt;=$F68),$AG70*($F68-CV$1)/($F68-$AG$1),0)</f>
        <v>574.60189166666669</v>
      </c>
      <c r="CW70" s="124">
        <f t="shared" si="284"/>
        <v>554.78803333333337</v>
      </c>
      <c r="CX70" s="124">
        <f t="shared" si="284"/>
        <v>534.97417499999995</v>
      </c>
      <c r="CY70" s="124">
        <f t="shared" si="284"/>
        <v>515.16031666666674</v>
      </c>
      <c r="CZ70" s="124">
        <f t="shared" si="284"/>
        <v>495.34645833333337</v>
      </c>
      <c r="DA70" s="124">
        <f t="shared" si="284"/>
        <v>475.5326</v>
      </c>
      <c r="DB70" s="124">
        <f t="shared" si="284"/>
        <v>455.71874166666663</v>
      </c>
      <c r="DC70" s="124">
        <f t="shared" si="284"/>
        <v>435.90488333333332</v>
      </c>
      <c r="DD70" s="124">
        <f t="shared" si="284"/>
        <v>416.091025</v>
      </c>
      <c r="DE70" s="124">
        <f t="shared" si="284"/>
        <v>396.27716666666669</v>
      </c>
      <c r="DF70" s="124">
        <f t="shared" si="284"/>
        <v>376.46330833333332</v>
      </c>
      <c r="DG70" s="124">
        <f t="shared" si="284"/>
        <v>356.64945000000006</v>
      </c>
      <c r="DH70" s="124">
        <f t="shared" si="284"/>
        <v>336.83559166666669</v>
      </c>
      <c r="DI70" s="124">
        <f t="shared" si="284"/>
        <v>317.02173333333332</v>
      </c>
      <c r="DJ70" s="124">
        <f t="shared" si="284"/>
        <v>297.207875</v>
      </c>
      <c r="DK70" s="124">
        <f t="shared" si="284"/>
        <v>277.39401666666669</v>
      </c>
      <c r="DL70" s="124">
        <f t="shared" si="284"/>
        <v>257.58015833333337</v>
      </c>
      <c r="DM70" s="124">
        <f t="shared" si="284"/>
        <v>237.7663</v>
      </c>
      <c r="DN70" s="124">
        <f t="shared" si="284"/>
        <v>217.95244166666666</v>
      </c>
      <c r="DO70" s="124">
        <f t="shared" si="284"/>
        <v>198.13858333333334</v>
      </c>
      <c r="DP70" s="124">
        <f t="shared" si="284"/>
        <v>178.32472500000003</v>
      </c>
      <c r="DQ70" s="124">
        <f t="shared" si="284"/>
        <v>158.51086666666666</v>
      </c>
      <c r="DR70" s="124">
        <f t="shared" si="284"/>
        <v>138.69700833333334</v>
      </c>
      <c r="DS70" s="124">
        <f t="shared" si="284"/>
        <v>118.88315</v>
      </c>
      <c r="DT70" s="124">
        <f t="shared" si="284"/>
        <v>99.069291666666672</v>
      </c>
      <c r="DU70" s="124">
        <f t="shared" si="284"/>
        <v>79.255433333333329</v>
      </c>
      <c r="DV70" s="124">
        <f t="shared" si="284"/>
        <v>59.441575</v>
      </c>
      <c r="DW70" s="124">
        <f t="shared" si="284"/>
        <v>39.627716666666664</v>
      </c>
      <c r="DX70" s="124">
        <f t="shared" si="284"/>
        <v>19.813858333333332</v>
      </c>
      <c r="DY70" s="124">
        <f t="shared" si="284"/>
        <v>0</v>
      </c>
    </row>
    <row r="71" spans="1:129" x14ac:dyDescent="0.45">
      <c r="A71" s="3"/>
      <c r="B71" s="2"/>
      <c r="C71" s="125" t="s">
        <v>267</v>
      </c>
      <c r="D71" s="17"/>
      <c r="E71" s="2"/>
      <c r="F71" s="2"/>
      <c r="G71" s="2"/>
      <c r="H71" s="2"/>
      <c r="I71" s="13"/>
      <c r="J71" s="58"/>
      <c r="K71" s="58"/>
      <c r="L71" s="58"/>
      <c r="M71" s="58"/>
      <c r="N71" s="58"/>
      <c r="O71" s="58"/>
      <c r="P71" s="58"/>
      <c r="Q71" s="58"/>
      <c r="R71" s="58"/>
      <c r="S71" s="58"/>
      <c r="T71" s="58"/>
      <c r="U71" s="96"/>
      <c r="V71" s="55"/>
      <c r="W71" s="55"/>
      <c r="X71" s="55"/>
      <c r="Y71" s="55"/>
      <c r="Z71" s="55"/>
      <c r="AA71" s="55"/>
      <c r="AB71" s="55"/>
      <c r="AC71" s="55"/>
      <c r="AD71" s="55"/>
      <c r="AE71" s="55"/>
      <c r="AF71" s="55"/>
      <c r="AG71" s="102"/>
      <c r="AH71" s="91"/>
      <c r="AI71" s="91"/>
      <c r="AJ71" s="91"/>
      <c r="AK71" s="55"/>
      <c r="AL71" s="55"/>
      <c r="AM71" s="55"/>
      <c r="AN71" s="55"/>
      <c r="AO71" s="55"/>
      <c r="AP71" s="55"/>
      <c r="AQ71" s="55"/>
      <c r="AR71" s="55"/>
      <c r="AS71" s="130">
        <f>'Plan Moyen Terme (PMT)'!E23-BAU_Liquidité_Dynamique!AS68</f>
        <v>1277.8641</v>
      </c>
      <c r="AT71" s="126">
        <f>IF(AND(AS$1&lt;AT$1, AT$1&lt;=$F68),$AS71*($F68-AT$1)/($F68-$AS$1),0)</f>
        <v>1262.6514321428572</v>
      </c>
      <c r="AU71" s="126">
        <f t="shared" ref="AU71:DF71" si="285">IF(AND(AT$1&lt;AU$1, AU$1&lt;=$F68),$AS71*($F68-AU$1)/($F68-$AS$1),0)</f>
        <v>1247.4387642857141</v>
      </c>
      <c r="AV71" s="126">
        <f t="shared" si="285"/>
        <v>1232.2260964285715</v>
      </c>
      <c r="AW71" s="126">
        <f t="shared" si="285"/>
        <v>1217.0134285714284</v>
      </c>
      <c r="AX71" s="126">
        <f t="shared" si="285"/>
        <v>1201.8007607142858</v>
      </c>
      <c r="AY71" s="126">
        <f t="shared" si="285"/>
        <v>1186.5880928571428</v>
      </c>
      <c r="AZ71" s="126">
        <f t="shared" si="285"/>
        <v>1171.3754250000002</v>
      </c>
      <c r="BA71" s="126">
        <f t="shared" si="285"/>
        <v>1156.1627571428571</v>
      </c>
      <c r="BB71" s="126">
        <f t="shared" si="285"/>
        <v>1140.9500892857143</v>
      </c>
      <c r="BC71" s="126">
        <f t="shared" si="285"/>
        <v>1125.7374214285715</v>
      </c>
      <c r="BD71" s="126">
        <f t="shared" si="285"/>
        <v>1110.5247535714286</v>
      </c>
      <c r="BE71" s="126">
        <f t="shared" si="285"/>
        <v>1095.3120857142858</v>
      </c>
      <c r="BF71" s="126">
        <f t="shared" si="285"/>
        <v>1080.099417857143</v>
      </c>
      <c r="BG71" s="126">
        <f t="shared" si="285"/>
        <v>1064.8867499999999</v>
      </c>
      <c r="BH71" s="126">
        <f t="shared" si="285"/>
        <v>1049.6740821428571</v>
      </c>
      <c r="BI71" s="126">
        <f t="shared" si="285"/>
        <v>1034.4614142857142</v>
      </c>
      <c r="BJ71" s="126">
        <f t="shared" si="285"/>
        <v>1019.2487464285715</v>
      </c>
      <c r="BK71" s="126">
        <f t="shared" si="285"/>
        <v>1004.0360785714286</v>
      </c>
      <c r="BL71" s="126">
        <f t="shared" si="285"/>
        <v>988.82341071428584</v>
      </c>
      <c r="BM71" s="126">
        <f t="shared" si="285"/>
        <v>973.6107428571429</v>
      </c>
      <c r="BN71" s="126">
        <f t="shared" si="285"/>
        <v>958.39807499999995</v>
      </c>
      <c r="BO71" s="126">
        <f t="shared" si="285"/>
        <v>943.18540714285723</v>
      </c>
      <c r="BP71" s="126">
        <f t="shared" si="285"/>
        <v>927.97273928571428</v>
      </c>
      <c r="BQ71" s="126">
        <f t="shared" si="285"/>
        <v>912.76007142857145</v>
      </c>
      <c r="BR71" s="126">
        <f t="shared" si="285"/>
        <v>897.5474035714285</v>
      </c>
      <c r="BS71" s="126">
        <f t="shared" si="285"/>
        <v>882.33473571428578</v>
      </c>
      <c r="BT71" s="126">
        <f t="shared" si="285"/>
        <v>867.12206785714284</v>
      </c>
      <c r="BU71" s="126">
        <f t="shared" si="285"/>
        <v>851.90939999999989</v>
      </c>
      <c r="BV71" s="126">
        <f t="shared" si="285"/>
        <v>836.69673214285717</v>
      </c>
      <c r="BW71" s="126">
        <f t="shared" si="285"/>
        <v>821.48406428571423</v>
      </c>
      <c r="BX71" s="126">
        <f t="shared" si="285"/>
        <v>806.27139642857151</v>
      </c>
      <c r="BY71" s="126">
        <f t="shared" si="285"/>
        <v>791.05872857142856</v>
      </c>
      <c r="BZ71" s="126">
        <f t="shared" si="285"/>
        <v>775.84606071428573</v>
      </c>
      <c r="CA71" s="126">
        <f t="shared" si="285"/>
        <v>760.63339285714289</v>
      </c>
      <c r="CB71" s="126">
        <f t="shared" si="285"/>
        <v>745.42072500000006</v>
      </c>
      <c r="CC71" s="126">
        <f t="shared" si="285"/>
        <v>730.20805714285723</v>
      </c>
      <c r="CD71" s="126">
        <f t="shared" si="285"/>
        <v>714.99538928571428</v>
      </c>
      <c r="CE71" s="126">
        <f t="shared" si="285"/>
        <v>699.78272142857145</v>
      </c>
      <c r="CF71" s="126">
        <f t="shared" si="285"/>
        <v>684.57005357142862</v>
      </c>
      <c r="CG71" s="126">
        <f t="shared" si="285"/>
        <v>669.35738571428578</v>
      </c>
      <c r="CH71" s="126">
        <f t="shared" si="285"/>
        <v>654.14471785714284</v>
      </c>
      <c r="CI71" s="126">
        <f t="shared" si="285"/>
        <v>638.93205</v>
      </c>
      <c r="CJ71" s="126">
        <f t="shared" si="285"/>
        <v>623.71938214285706</v>
      </c>
      <c r="CK71" s="126">
        <f t="shared" si="285"/>
        <v>608.50671428571422</v>
      </c>
      <c r="CL71" s="126">
        <f t="shared" si="285"/>
        <v>593.29404642857139</v>
      </c>
      <c r="CM71" s="126">
        <f t="shared" si="285"/>
        <v>578.08137857142856</v>
      </c>
      <c r="CN71" s="126">
        <f t="shared" si="285"/>
        <v>562.86871071428573</v>
      </c>
      <c r="CO71" s="126">
        <f t="shared" si="285"/>
        <v>547.65604285714289</v>
      </c>
      <c r="CP71" s="126">
        <f t="shared" si="285"/>
        <v>532.44337499999995</v>
      </c>
      <c r="CQ71" s="126">
        <f t="shared" si="285"/>
        <v>517.23070714285711</v>
      </c>
      <c r="CR71" s="126">
        <f t="shared" si="285"/>
        <v>502.01803928571428</v>
      </c>
      <c r="CS71" s="126">
        <f t="shared" si="285"/>
        <v>486.80537142857145</v>
      </c>
      <c r="CT71" s="126">
        <f t="shared" si="285"/>
        <v>471.59270357142861</v>
      </c>
      <c r="CU71" s="126">
        <f t="shared" si="285"/>
        <v>456.38003571428573</v>
      </c>
      <c r="CV71" s="126">
        <f t="shared" si="285"/>
        <v>441.16736785714289</v>
      </c>
      <c r="CW71" s="126">
        <f t="shared" si="285"/>
        <v>425.95469999999995</v>
      </c>
      <c r="CX71" s="126">
        <f t="shared" si="285"/>
        <v>410.74203214285711</v>
      </c>
      <c r="CY71" s="126">
        <f t="shared" si="285"/>
        <v>395.52936428571428</v>
      </c>
      <c r="CZ71" s="126">
        <f t="shared" si="285"/>
        <v>380.31669642857145</v>
      </c>
      <c r="DA71" s="126">
        <f t="shared" si="285"/>
        <v>365.10402857142861</v>
      </c>
      <c r="DB71" s="126">
        <f t="shared" si="285"/>
        <v>349.89136071428572</v>
      </c>
      <c r="DC71" s="126">
        <f t="shared" si="285"/>
        <v>334.67869285714289</v>
      </c>
      <c r="DD71" s="126">
        <f t="shared" si="285"/>
        <v>319.466025</v>
      </c>
      <c r="DE71" s="126">
        <f t="shared" si="285"/>
        <v>304.25335714285711</v>
      </c>
      <c r="DF71" s="126">
        <f t="shared" si="285"/>
        <v>289.04068928571428</v>
      </c>
      <c r="DG71" s="126">
        <f t="shared" ref="DG71:DY71" si="286">IF(AND(DF$1&lt;DG$1, DG$1&lt;=$F68),$AS71*($F68-DG$1)/($F68-$AS$1),0)</f>
        <v>273.82802142857145</v>
      </c>
      <c r="DH71" s="126">
        <f t="shared" si="286"/>
        <v>258.61535357142856</v>
      </c>
      <c r="DI71" s="126">
        <f t="shared" si="286"/>
        <v>243.40268571428572</v>
      </c>
      <c r="DJ71" s="126">
        <f t="shared" si="286"/>
        <v>228.19001785714286</v>
      </c>
      <c r="DK71" s="126">
        <f t="shared" si="286"/>
        <v>212.97734999999997</v>
      </c>
      <c r="DL71" s="126">
        <f t="shared" si="286"/>
        <v>197.76468214285714</v>
      </c>
      <c r="DM71" s="126">
        <f t="shared" si="286"/>
        <v>182.55201428571431</v>
      </c>
      <c r="DN71" s="126">
        <f t="shared" si="286"/>
        <v>167.33934642857145</v>
      </c>
      <c r="DO71" s="126">
        <f t="shared" si="286"/>
        <v>152.12667857142856</v>
      </c>
      <c r="DP71" s="126">
        <f t="shared" si="286"/>
        <v>136.91401071428572</v>
      </c>
      <c r="DQ71" s="126">
        <f t="shared" si="286"/>
        <v>121.70134285714286</v>
      </c>
      <c r="DR71" s="126">
        <f t="shared" si="286"/>
        <v>106.48867499999999</v>
      </c>
      <c r="DS71" s="126">
        <f t="shared" si="286"/>
        <v>91.276007142857154</v>
      </c>
      <c r="DT71" s="126">
        <f t="shared" si="286"/>
        <v>76.063339285714278</v>
      </c>
      <c r="DU71" s="126">
        <f t="shared" si="286"/>
        <v>60.850671428571431</v>
      </c>
      <c r="DV71" s="126">
        <f t="shared" si="286"/>
        <v>45.638003571428577</v>
      </c>
      <c r="DW71" s="126">
        <f t="shared" si="286"/>
        <v>30.425335714285715</v>
      </c>
      <c r="DX71" s="126">
        <f t="shared" si="286"/>
        <v>15.212667857142858</v>
      </c>
      <c r="DY71" s="126">
        <f t="shared" si="286"/>
        <v>0</v>
      </c>
    </row>
    <row r="72" spans="1:129" x14ac:dyDescent="0.45">
      <c r="A72" s="3">
        <v>46022</v>
      </c>
      <c r="B72" s="2" t="s">
        <v>19</v>
      </c>
      <c r="C72" s="4" t="s">
        <v>22</v>
      </c>
      <c r="D72" s="17">
        <v>0</v>
      </c>
      <c r="E72" s="2" t="s">
        <v>43</v>
      </c>
      <c r="F72" s="2">
        <v>120</v>
      </c>
      <c r="G72" s="2" t="s">
        <v>43</v>
      </c>
      <c r="H72" s="2">
        <v>120</v>
      </c>
      <c r="I72" s="13">
        <v>2994.7869999999998</v>
      </c>
      <c r="J72" s="58">
        <f t="shared" si="174"/>
        <v>2969.8304416666665</v>
      </c>
      <c r="K72" s="58">
        <f t="shared" si="174"/>
        <v>2944.8738833333332</v>
      </c>
      <c r="L72" s="58">
        <f t="shared" si="174"/>
        <v>2919.9173249999999</v>
      </c>
      <c r="M72" s="58">
        <f t="shared" si="174"/>
        <v>2894.9607666666666</v>
      </c>
      <c r="N72" s="58">
        <f t="shared" si="174"/>
        <v>2870.0042083333333</v>
      </c>
      <c r="O72" s="58">
        <f t="shared" si="174"/>
        <v>2845.0476499999995</v>
      </c>
      <c r="P72" s="58">
        <f t="shared" si="174"/>
        <v>2820.0910916666662</v>
      </c>
      <c r="Q72" s="58">
        <f t="shared" si="174"/>
        <v>2795.1345333333334</v>
      </c>
      <c r="R72" s="58">
        <f t="shared" si="174"/>
        <v>2770.1779750000001</v>
      </c>
      <c r="S72" s="58">
        <f t="shared" si="174"/>
        <v>2745.2214166666663</v>
      </c>
      <c r="T72" s="58">
        <f t="shared" si="174"/>
        <v>2720.264858333333</v>
      </c>
      <c r="U72" s="97">
        <f t="shared" si="174"/>
        <v>2695.3082999999997</v>
      </c>
      <c r="V72" s="58">
        <f t="shared" si="174"/>
        <v>2670.3517416666668</v>
      </c>
      <c r="W72" s="58">
        <f t="shared" si="174"/>
        <v>2645.3951833333331</v>
      </c>
      <c r="X72" s="58">
        <f t="shared" si="174"/>
        <v>2620.4386249999998</v>
      </c>
      <c r="Y72" s="58">
        <f t="shared" si="174"/>
        <v>2595.4820666666665</v>
      </c>
      <c r="Z72" s="58">
        <f t="shared" si="175"/>
        <v>2570.5255083333332</v>
      </c>
      <c r="AA72" s="58">
        <f t="shared" si="175"/>
        <v>2545.5689499999999</v>
      </c>
      <c r="AB72" s="58">
        <f t="shared" si="175"/>
        <v>2520.6123916666666</v>
      </c>
      <c r="AC72" s="58">
        <f t="shared" si="175"/>
        <v>2495.6558333333332</v>
      </c>
      <c r="AD72" s="58">
        <f t="shared" si="175"/>
        <v>2470.6992749999995</v>
      </c>
      <c r="AE72" s="58">
        <f t="shared" si="175"/>
        <v>2445.7427166666666</v>
      </c>
      <c r="AF72" s="58">
        <f t="shared" si="175"/>
        <v>2420.7861583333333</v>
      </c>
      <c r="AG72" s="103">
        <f t="shared" si="175"/>
        <v>2395.8296</v>
      </c>
      <c r="AH72" s="58">
        <f t="shared" si="175"/>
        <v>2370.8730416666663</v>
      </c>
      <c r="AI72" s="58">
        <f t="shared" si="175"/>
        <v>2345.916483333333</v>
      </c>
      <c r="AJ72" s="58">
        <f t="shared" si="175"/>
        <v>2320.9599250000001</v>
      </c>
      <c r="AK72" s="58">
        <f t="shared" si="175"/>
        <v>2296.0033666666668</v>
      </c>
      <c r="AL72" s="58">
        <f t="shared" si="175"/>
        <v>2271.046808333333</v>
      </c>
      <c r="AM72" s="58">
        <f t="shared" si="175"/>
        <v>2246.0902499999997</v>
      </c>
      <c r="AN72" s="58">
        <f t="shared" si="175"/>
        <v>2221.1336916666664</v>
      </c>
      <c r="AO72" s="58">
        <f t="shared" si="175"/>
        <v>2196.1771333333331</v>
      </c>
      <c r="AP72" s="58">
        <f t="shared" si="175"/>
        <v>2171.2205749999998</v>
      </c>
      <c r="AQ72" s="58">
        <f t="shared" si="175"/>
        <v>2146.2640166666665</v>
      </c>
      <c r="AR72" s="58">
        <f t="shared" si="175"/>
        <v>2121.3074583333332</v>
      </c>
      <c r="AS72" s="109">
        <f t="shared" si="175"/>
        <v>2096.3508999999999</v>
      </c>
      <c r="AT72" s="58">
        <f t="shared" si="175"/>
        <v>2071.3943416666666</v>
      </c>
      <c r="AU72" s="58">
        <f t="shared" si="175"/>
        <v>2046.4377833333333</v>
      </c>
      <c r="AV72" s="58">
        <f t="shared" si="175"/>
        <v>2021.481225</v>
      </c>
      <c r="AW72" s="58">
        <f t="shared" si="175"/>
        <v>1996.5246666666665</v>
      </c>
      <c r="AX72" s="58">
        <f t="shared" si="175"/>
        <v>1971.5681083333332</v>
      </c>
      <c r="AY72" s="58">
        <f t="shared" si="175"/>
        <v>1946.6115499999999</v>
      </c>
      <c r="AZ72" s="58">
        <f t="shared" si="175"/>
        <v>1921.6549916666668</v>
      </c>
      <c r="BA72" s="58">
        <f t="shared" si="175"/>
        <v>1896.698433333333</v>
      </c>
      <c r="BB72" s="58">
        <f t="shared" si="175"/>
        <v>1871.7418749999999</v>
      </c>
      <c r="BC72" s="58">
        <f t="shared" si="175"/>
        <v>1846.7853166666666</v>
      </c>
      <c r="BD72" s="58">
        <f t="shared" si="175"/>
        <v>1821.8287583333331</v>
      </c>
      <c r="BE72" s="58">
        <f t="shared" si="175"/>
        <v>1796.8721999999998</v>
      </c>
      <c r="BF72" s="58">
        <f t="shared" si="175"/>
        <v>1771.9156416666665</v>
      </c>
      <c r="BG72" s="58">
        <f t="shared" si="175"/>
        <v>1746.9590833333334</v>
      </c>
      <c r="BH72" s="58">
        <f t="shared" si="175"/>
        <v>1722.0025249999997</v>
      </c>
      <c r="BI72" s="58">
        <f t="shared" si="175"/>
        <v>1697.0459666666666</v>
      </c>
      <c r="BJ72" s="58">
        <f t="shared" si="175"/>
        <v>1672.0894083333333</v>
      </c>
      <c r="BK72" s="58">
        <f t="shared" si="175"/>
        <v>1647.13285</v>
      </c>
      <c r="BL72" s="58">
        <f t="shared" si="175"/>
        <v>1622.1762916666664</v>
      </c>
      <c r="BM72" s="58">
        <f t="shared" si="175"/>
        <v>1597.2197333333331</v>
      </c>
      <c r="BN72" s="58">
        <f t="shared" si="175"/>
        <v>1572.263175</v>
      </c>
      <c r="BO72" s="58">
        <f t="shared" si="175"/>
        <v>1547.3066166666667</v>
      </c>
      <c r="BP72" s="58">
        <f t="shared" si="175"/>
        <v>1522.3500583333332</v>
      </c>
      <c r="BQ72" s="58">
        <f t="shared" si="175"/>
        <v>1497.3934999999999</v>
      </c>
      <c r="BR72" s="58">
        <f t="shared" si="175"/>
        <v>1472.4369416666666</v>
      </c>
      <c r="BS72" s="58">
        <f t="shared" si="175"/>
        <v>1447.4803833333333</v>
      </c>
      <c r="BT72" s="58">
        <f t="shared" si="175"/>
        <v>1422.5238249999998</v>
      </c>
      <c r="BU72" s="58">
        <f t="shared" si="175"/>
        <v>1397.5672666666667</v>
      </c>
      <c r="BV72" s="58">
        <f t="shared" si="175"/>
        <v>1372.6107083333332</v>
      </c>
      <c r="BW72" s="58">
        <f t="shared" si="175"/>
        <v>1347.6541499999998</v>
      </c>
      <c r="BX72" s="58">
        <f t="shared" si="175"/>
        <v>1322.6975916666665</v>
      </c>
      <c r="BY72" s="58">
        <f t="shared" si="175"/>
        <v>1297.7410333333332</v>
      </c>
      <c r="BZ72" s="58">
        <f t="shared" si="175"/>
        <v>1272.7844749999999</v>
      </c>
      <c r="CA72" s="58">
        <f t="shared" si="175"/>
        <v>1247.8279166666666</v>
      </c>
      <c r="CB72" s="58">
        <f t="shared" si="175"/>
        <v>1222.8713583333333</v>
      </c>
      <c r="CC72" s="58">
        <f t="shared" si="175"/>
        <v>1197.9148</v>
      </c>
      <c r="CD72" s="58">
        <f t="shared" si="175"/>
        <v>1172.9582416666665</v>
      </c>
      <c r="CE72" s="58">
        <f t="shared" si="175"/>
        <v>1148.0016833333334</v>
      </c>
      <c r="CF72" s="58">
        <f t="shared" si="175"/>
        <v>1123.0451249999999</v>
      </c>
      <c r="CG72" s="58">
        <f t="shared" si="175"/>
        <v>1098.0885666666666</v>
      </c>
      <c r="CH72" s="58">
        <f t="shared" si="175"/>
        <v>1073.1320083333333</v>
      </c>
      <c r="CI72" s="58">
        <f t="shared" si="175"/>
        <v>1048.17545</v>
      </c>
      <c r="CJ72" s="58">
        <f t="shared" si="175"/>
        <v>1023.2188916666667</v>
      </c>
      <c r="CK72" s="58">
        <f t="shared" si="175"/>
        <v>998.26233333333323</v>
      </c>
      <c r="CL72" s="58">
        <f t="shared" si="176"/>
        <v>973.30577499999993</v>
      </c>
      <c r="CM72" s="58">
        <f t="shared" si="176"/>
        <v>948.34921666666651</v>
      </c>
      <c r="CN72" s="58">
        <f t="shared" si="176"/>
        <v>923.39265833333332</v>
      </c>
      <c r="CO72" s="58">
        <f t="shared" si="176"/>
        <v>898.4360999999999</v>
      </c>
      <c r="CP72" s="58">
        <f t="shared" si="176"/>
        <v>873.47954166666671</v>
      </c>
      <c r="CQ72" s="58">
        <f t="shared" si="176"/>
        <v>848.52298333333329</v>
      </c>
      <c r="CR72" s="58">
        <f t="shared" si="176"/>
        <v>823.56642499999998</v>
      </c>
      <c r="CS72" s="58">
        <f t="shared" si="176"/>
        <v>798.60986666666656</v>
      </c>
      <c r="CT72" s="58">
        <f t="shared" si="176"/>
        <v>773.65330833333337</v>
      </c>
      <c r="CU72" s="58">
        <f t="shared" si="176"/>
        <v>748.69674999999995</v>
      </c>
      <c r="CV72" s="58">
        <f t="shared" si="176"/>
        <v>723.74019166666665</v>
      </c>
      <c r="CW72" s="58">
        <f t="shared" si="176"/>
        <v>698.78363333333334</v>
      </c>
      <c r="CX72" s="58">
        <f t="shared" si="176"/>
        <v>673.82707499999992</v>
      </c>
      <c r="CY72" s="58">
        <f t="shared" si="176"/>
        <v>648.87051666666662</v>
      </c>
      <c r="CZ72" s="58">
        <f t="shared" si="176"/>
        <v>623.91395833333331</v>
      </c>
      <c r="DA72" s="58">
        <f t="shared" si="176"/>
        <v>598.95740000000001</v>
      </c>
      <c r="DB72" s="58">
        <f t="shared" si="176"/>
        <v>574.0008416666667</v>
      </c>
      <c r="DC72" s="58">
        <f t="shared" si="176"/>
        <v>549.04428333333328</v>
      </c>
      <c r="DD72" s="58">
        <f t="shared" si="176"/>
        <v>524.08772499999998</v>
      </c>
      <c r="DE72" s="58">
        <f t="shared" si="176"/>
        <v>499.13116666666662</v>
      </c>
      <c r="DF72" s="58">
        <f t="shared" si="176"/>
        <v>474.17460833333325</v>
      </c>
      <c r="DG72" s="58">
        <f t="shared" si="176"/>
        <v>449.21804999999995</v>
      </c>
      <c r="DH72" s="58">
        <f t="shared" si="176"/>
        <v>424.26149166666664</v>
      </c>
      <c r="DI72" s="58">
        <f t="shared" si="176"/>
        <v>399.30493333333328</v>
      </c>
      <c r="DJ72" s="58">
        <f t="shared" si="176"/>
        <v>374.34837499999998</v>
      </c>
      <c r="DK72" s="58">
        <f t="shared" si="176"/>
        <v>349.39181666666667</v>
      </c>
      <c r="DL72" s="58">
        <f t="shared" si="176"/>
        <v>324.43525833333331</v>
      </c>
      <c r="DM72" s="58">
        <f t="shared" si="176"/>
        <v>299.4787</v>
      </c>
      <c r="DN72" s="58">
        <f t="shared" si="176"/>
        <v>274.52214166666664</v>
      </c>
      <c r="DO72" s="58">
        <f t="shared" si="176"/>
        <v>249.56558333333331</v>
      </c>
      <c r="DP72" s="58">
        <f t="shared" si="176"/>
        <v>224.60902499999997</v>
      </c>
      <c r="DQ72" s="58">
        <f t="shared" si="176"/>
        <v>199.65246666666664</v>
      </c>
      <c r="DR72" s="58">
        <f t="shared" si="176"/>
        <v>174.69590833333334</v>
      </c>
      <c r="DS72" s="58">
        <f t="shared" si="176"/>
        <v>149.73935</v>
      </c>
      <c r="DT72" s="58">
        <f t="shared" si="176"/>
        <v>124.78279166666665</v>
      </c>
      <c r="DU72" s="58">
        <f t="shared" si="176"/>
        <v>99.82623333333332</v>
      </c>
      <c r="DV72" s="58">
        <f t="shared" si="176"/>
        <v>74.869675000000001</v>
      </c>
      <c r="DW72" s="58">
        <f t="shared" si="176"/>
        <v>49.91311666666666</v>
      </c>
      <c r="DX72" s="58">
        <f t="shared" si="176"/>
        <v>24.95655833333333</v>
      </c>
      <c r="DY72" s="58">
        <f t="shared" si="176"/>
        <v>0</v>
      </c>
    </row>
    <row r="73" spans="1:129" x14ac:dyDescent="0.45">
      <c r="A73" s="3"/>
      <c r="B73" s="2"/>
      <c r="C73" s="121" t="s">
        <v>265</v>
      </c>
      <c r="D73" s="17"/>
      <c r="E73" s="2"/>
      <c r="F73" s="2"/>
      <c r="G73" s="2"/>
      <c r="H73" s="2"/>
      <c r="I73" s="13"/>
      <c r="J73" s="58"/>
      <c r="K73" s="58"/>
      <c r="L73" s="58"/>
      <c r="M73" s="58"/>
      <c r="N73" s="58"/>
      <c r="O73" s="58"/>
      <c r="P73" s="58"/>
      <c r="Q73" s="58"/>
      <c r="R73" s="58"/>
      <c r="S73" s="58"/>
      <c r="T73" s="58"/>
      <c r="U73" s="119">
        <f>'Plan Moyen Terme (PMT)'!C24-BAU_Liquidité_Dynamique!U72</f>
        <v>252.69170000000031</v>
      </c>
      <c r="V73" s="120">
        <f>IF(AND(U$1&lt;V$1, V$1&lt;=$F72),$U73*($F72-V$1)/($F72-$U$1),0)</f>
        <v>250.35196203703734</v>
      </c>
      <c r="W73" s="120">
        <f>IF(AND(V$1&lt;W$1, W$1&lt;=$F72),$U73*($F72-W$1)/($F72-$U$1),0)</f>
        <v>248.01222407407437</v>
      </c>
      <c r="X73" s="120">
        <f t="shared" ref="X73" si="287">IF(AND(W$1&lt;X$1, X$1&lt;=$F72),$U73*($F72-X$1)/($F72-$U$1),0)</f>
        <v>245.6724861111114</v>
      </c>
      <c r="Y73" s="120">
        <f t="shared" ref="Y73" si="288">IF(AND(X$1&lt;Y$1, Y$1&lt;=$F72),$U73*($F72-Y$1)/($F72-$U$1),0)</f>
        <v>243.33274814814845</v>
      </c>
      <c r="Z73" s="120">
        <f t="shared" ref="Z73" si="289">IF(AND(Y$1&lt;Z$1, Z$1&lt;=$F72),$U73*($F72-Z$1)/($F72-$U$1),0)</f>
        <v>240.99301018518548</v>
      </c>
      <c r="AA73" s="120">
        <f t="shared" ref="AA73" si="290">IF(AND(Z$1&lt;AA$1, AA$1&lt;=$F72),$U73*($F72-AA$1)/($F72-$U$1),0)</f>
        <v>238.65327222222254</v>
      </c>
      <c r="AB73" s="120">
        <f t="shared" ref="AB73" si="291">IF(AND(AA$1&lt;AB$1, AB$1&lt;=$F72),$U73*($F72-AB$1)/($F72-$U$1),0)</f>
        <v>236.31353425925954</v>
      </c>
      <c r="AC73" s="120">
        <f t="shared" ref="AC73" si="292">IF(AND(AB$1&lt;AC$1, AC$1&lt;=$F72),$U73*($F72-AC$1)/($F72-$U$1),0)</f>
        <v>233.97379629629657</v>
      </c>
      <c r="AD73" s="120">
        <f t="shared" ref="AD73" si="293">IF(AND(AC$1&lt;AD$1, AD$1&lt;=$F72),$U73*($F72-AD$1)/($F72-$U$1),0)</f>
        <v>231.63405833333363</v>
      </c>
      <c r="AE73" s="120">
        <f t="shared" ref="AE73" si="294">IF(AND(AD$1&lt;AE$1, AE$1&lt;=$F72),$U73*($F72-AE$1)/($F72-$U$1),0)</f>
        <v>229.29432037037063</v>
      </c>
      <c r="AF73" s="120">
        <f t="shared" ref="AF73" si="295">IF(AND(AE$1&lt;AF$1, AF$1&lt;=$F72),$U73*($F72-AF$1)/($F72-$U$1),0)</f>
        <v>226.95458240740768</v>
      </c>
      <c r="AG73" s="120">
        <f t="shared" ref="AG73" si="296">IF(AND(AF$1&lt;AG$1, AG$1&lt;=$F72),$U73*($F72-AG$1)/($F72-$U$1),0)</f>
        <v>224.61484444444471</v>
      </c>
      <c r="AH73" s="120">
        <f t="shared" ref="AH73" si="297">IF(AND(AG$1&lt;AH$1, AH$1&lt;=$F72),$U73*($F72-AH$1)/($F72-$U$1),0)</f>
        <v>222.27510648148177</v>
      </c>
      <c r="AI73" s="120">
        <f t="shared" ref="AI73" si="298">IF(AND(AH$1&lt;AI$1, AI$1&lt;=$F72),$U73*($F72-AI$1)/($F72-$U$1),0)</f>
        <v>219.9353685185188</v>
      </c>
      <c r="AJ73" s="120">
        <f t="shared" ref="AJ73" si="299">IF(AND(AI$1&lt;AJ$1, AJ$1&lt;=$F72),$U73*($F72-AJ$1)/($F72-$U$1),0)</f>
        <v>217.5956305555558</v>
      </c>
      <c r="AK73" s="120">
        <f t="shared" ref="AK73" si="300">IF(AND(AJ$1&lt;AK$1, AK$1&lt;=$F72),$U73*($F72-AK$1)/($F72-$U$1),0)</f>
        <v>215.25589259259286</v>
      </c>
      <c r="AL73" s="120">
        <f t="shared" ref="AL73" si="301">IF(AND(AK$1&lt;AL$1, AL$1&lt;=$F72),$U73*($F72-AL$1)/($F72-$U$1),0)</f>
        <v>212.91615462962989</v>
      </c>
      <c r="AM73" s="120">
        <f t="shared" ref="AM73" si="302">IF(AND(AL$1&lt;AM$1, AM$1&lt;=$F72),$U73*($F72-AM$1)/($F72-$U$1),0)</f>
        <v>210.57641666666692</v>
      </c>
      <c r="AN73" s="120">
        <f t="shared" ref="AN73" si="303">IF(AND(AM$1&lt;AN$1, AN$1&lt;=$F72),$U73*($F72-AN$1)/($F72-$U$1),0)</f>
        <v>208.23667870370394</v>
      </c>
      <c r="AO73" s="120">
        <f t="shared" ref="AO73" si="304">IF(AND(AN$1&lt;AO$1, AO$1&lt;=$F72),$U73*($F72-AO$1)/($F72-$U$1),0)</f>
        <v>205.896940740741</v>
      </c>
      <c r="AP73" s="120">
        <f t="shared" ref="AP73" si="305">IF(AND(AO$1&lt;AP$1, AP$1&lt;=$F72),$U73*($F72-AP$1)/($F72-$U$1),0)</f>
        <v>203.55720277777803</v>
      </c>
      <c r="AQ73" s="120">
        <f t="shared" ref="AQ73" si="306">IF(AND(AP$1&lt;AQ$1, AQ$1&lt;=$F72),$U73*($F72-AQ$1)/($F72-$U$1),0)</f>
        <v>201.21746481481509</v>
      </c>
      <c r="AR73" s="120">
        <f t="shared" ref="AR73" si="307">IF(AND(AQ$1&lt;AR$1, AR$1&lt;=$F72),$U73*($F72-AR$1)/($F72-$U$1),0)</f>
        <v>198.87772685185209</v>
      </c>
      <c r="AS73" s="120">
        <f t="shared" ref="AS73" si="308">IF(AND(AR$1&lt;AS$1, AS$1&lt;=$F72),$U73*($F72-AS$1)/($F72-$U$1),0)</f>
        <v>196.53798888888912</v>
      </c>
      <c r="AT73" s="120">
        <f t="shared" ref="AT73" si="309">IF(AND(AS$1&lt;AT$1, AT$1&lt;=$F72),$U73*($F72-AT$1)/($F72-$U$1),0)</f>
        <v>194.19825092592617</v>
      </c>
      <c r="AU73" s="120">
        <f t="shared" ref="AU73" si="310">IF(AND(AT$1&lt;AU$1, AU$1&lt;=$F72),$U73*($F72-AU$1)/($F72-$U$1),0)</f>
        <v>191.85851296296318</v>
      </c>
      <c r="AV73" s="120">
        <f t="shared" ref="AV73" si="311">IF(AND(AU$1&lt;AV$1, AV$1&lt;=$F72),$U73*($F72-AV$1)/($F72-$U$1),0)</f>
        <v>189.51877500000023</v>
      </c>
      <c r="AW73" s="120">
        <f t="shared" ref="AW73" si="312">IF(AND(AV$1&lt;AW$1, AW$1&lt;=$F72),$U73*($F72-AW$1)/($F72-$U$1),0)</f>
        <v>187.17903703703726</v>
      </c>
      <c r="AX73" s="120">
        <f t="shared" ref="AX73" si="313">IF(AND(AW$1&lt;AX$1, AX$1&lt;=$F72),$U73*($F72-AX$1)/($F72-$U$1),0)</f>
        <v>184.83929907407432</v>
      </c>
      <c r="AY73" s="120">
        <f t="shared" ref="AY73" si="314">IF(AND(AX$1&lt;AY$1, AY$1&lt;=$F72),$U73*($F72-AY$1)/($F72-$U$1),0)</f>
        <v>182.49956111111135</v>
      </c>
      <c r="AZ73" s="120">
        <f t="shared" ref="AZ73" si="315">IF(AND(AY$1&lt;AZ$1, AZ$1&lt;=$F72),$U73*($F72-AZ$1)/($F72-$U$1),0)</f>
        <v>180.15982314814835</v>
      </c>
      <c r="BA73" s="120">
        <f t="shared" ref="BA73" si="316">IF(AND(AZ$1&lt;BA$1, BA$1&lt;=$F72),$U73*($F72-BA$1)/($F72-$U$1),0)</f>
        <v>177.82008518518541</v>
      </c>
      <c r="BB73" s="120">
        <f t="shared" ref="BB73" si="317">IF(AND(BA$1&lt;BB$1, BB$1&lt;=$F72),$U73*($F72-BB$1)/($F72-$U$1),0)</f>
        <v>175.48034722222243</v>
      </c>
      <c r="BC73" s="120">
        <f t="shared" ref="BC73" si="318">IF(AND(BB$1&lt;BC$1, BC$1&lt;=$F72),$U73*($F72-BC$1)/($F72-$U$1),0)</f>
        <v>173.14060925925946</v>
      </c>
      <c r="BD73" s="120">
        <f t="shared" ref="BD73" si="319">IF(AND(BC$1&lt;BD$1, BD$1&lt;=$F72),$U73*($F72-BD$1)/($F72-$U$1),0)</f>
        <v>170.80087129629649</v>
      </c>
      <c r="BE73" s="120">
        <f t="shared" ref="BE73" si="320">IF(AND(BD$1&lt;BE$1, BE$1&lt;=$F72),$U73*($F72-BE$1)/($F72-$U$1),0)</f>
        <v>168.46113333333355</v>
      </c>
      <c r="BF73" s="120">
        <f t="shared" ref="BF73" si="321">IF(AND(BE$1&lt;BF$1, BF$1&lt;=$F72),$U73*($F72-BF$1)/($F72-$U$1),0)</f>
        <v>166.12139537037058</v>
      </c>
      <c r="BG73" s="120">
        <f t="shared" ref="BG73" si="322">IF(AND(BF$1&lt;BG$1, BG$1&lt;=$F72),$U73*($F72-BG$1)/($F72-$U$1),0)</f>
        <v>163.78165740740764</v>
      </c>
      <c r="BH73" s="120">
        <f t="shared" ref="BH73" si="323">IF(AND(BG$1&lt;BH$1, BH$1&lt;=$F72),$U73*($F72-BH$1)/($F72-$U$1),0)</f>
        <v>161.44191944444464</v>
      </c>
      <c r="BI73" s="120">
        <f t="shared" ref="BI73" si="324">IF(AND(BH$1&lt;BI$1, BI$1&lt;=$F72),$U73*($F72-BI$1)/($F72-$U$1),0)</f>
        <v>159.10218148148167</v>
      </c>
      <c r="BJ73" s="120">
        <f t="shared" ref="BJ73" si="325">IF(AND(BI$1&lt;BJ$1, BJ$1&lt;=$F72),$U73*($F72-BJ$1)/($F72-$U$1),0)</f>
        <v>156.76244351851872</v>
      </c>
      <c r="BK73" s="120">
        <f t="shared" ref="BK73" si="326">IF(AND(BJ$1&lt;BK$1, BK$1&lt;=$F72),$U73*($F72-BK$1)/($F72-$U$1),0)</f>
        <v>154.42270555555572</v>
      </c>
      <c r="BL73" s="120">
        <f t="shared" ref="BL73" si="327">IF(AND(BK$1&lt;BL$1, BL$1&lt;=$F72),$U73*($F72-BL$1)/($F72-$U$1),0)</f>
        <v>152.08296759259278</v>
      </c>
      <c r="BM73" s="120">
        <f t="shared" ref="BM73" si="328">IF(AND(BL$1&lt;BM$1, BM$1&lt;=$F72),$U73*($F72-BM$1)/($F72-$U$1),0)</f>
        <v>149.74322962962981</v>
      </c>
      <c r="BN73" s="120">
        <f t="shared" ref="BN73" si="329">IF(AND(BM$1&lt;BN$1, BN$1&lt;=$F72),$U73*($F72-BN$1)/($F72-$U$1),0)</f>
        <v>147.40349166666687</v>
      </c>
      <c r="BO73" s="120">
        <f t="shared" ref="BO73" si="330">IF(AND(BN$1&lt;BO$1, BO$1&lt;=$F72),$U73*($F72-BO$1)/($F72-$U$1),0)</f>
        <v>145.0637537037039</v>
      </c>
      <c r="BP73" s="120">
        <f t="shared" ref="BP73" si="331">IF(AND(BO$1&lt;BP$1, BP$1&lt;=$F72),$U73*($F72-BP$1)/($F72-$U$1),0)</f>
        <v>142.7240157407409</v>
      </c>
      <c r="BQ73" s="120">
        <f t="shared" ref="BQ73" si="332">IF(AND(BP$1&lt;BQ$1, BQ$1&lt;=$F72),$U73*($F72-BQ$1)/($F72-$U$1),0)</f>
        <v>140.38427777777795</v>
      </c>
      <c r="BR73" s="120">
        <f t="shared" ref="BR73" si="333">IF(AND(BQ$1&lt;BR$1, BR$1&lt;=$F72),$U73*($F72-BR$1)/($F72-$U$1),0)</f>
        <v>138.04453981481498</v>
      </c>
      <c r="BS73" s="120">
        <f t="shared" ref="BS73" si="334">IF(AND(BR$1&lt;BS$1, BS$1&lt;=$F72),$U73*($F72-BS$1)/($F72-$U$1),0)</f>
        <v>135.70480185185201</v>
      </c>
      <c r="BT73" s="120">
        <f t="shared" ref="BT73" si="335">IF(AND(BS$1&lt;BT$1, BT$1&lt;=$F72),$U73*($F72-BT$1)/($F72-$U$1),0)</f>
        <v>133.36506388888904</v>
      </c>
      <c r="BU73" s="120">
        <f t="shared" ref="BU73" si="336">IF(AND(BT$1&lt;BU$1, BU$1&lt;=$F72),$U73*($F72-BU$1)/($F72-$U$1),0)</f>
        <v>131.0253259259261</v>
      </c>
      <c r="BV73" s="120">
        <f t="shared" ref="BV73" si="337">IF(AND(BU$1&lt;BV$1, BV$1&lt;=$F72),$U73*($F72-BV$1)/($F72-$U$1),0)</f>
        <v>128.68558796296313</v>
      </c>
      <c r="BW73" s="120">
        <f t="shared" ref="BW73" si="338">IF(AND(BV$1&lt;BW$1, BW$1&lt;=$F72),$U73*($F72-BW$1)/($F72-$U$1),0)</f>
        <v>126.34585000000015</v>
      </c>
      <c r="BX73" s="120">
        <f t="shared" ref="BX73" si="339">IF(AND(BW$1&lt;BX$1, BX$1&lt;=$F72),$U73*($F72-BX$1)/($F72-$U$1),0)</f>
        <v>124.00611203703718</v>
      </c>
      <c r="BY73" s="120">
        <f t="shared" ref="BY73" si="340">IF(AND(BX$1&lt;BY$1, BY$1&lt;=$F72),$U73*($F72-BY$1)/($F72-$U$1),0)</f>
        <v>121.66637407407423</v>
      </c>
      <c r="BZ73" s="120">
        <f t="shared" ref="BZ73" si="341">IF(AND(BY$1&lt;BZ$1, BZ$1&lt;=$F72),$U73*($F72-BZ$1)/($F72-$U$1),0)</f>
        <v>119.32663611111127</v>
      </c>
      <c r="CA73" s="120">
        <f t="shared" ref="CA73" si="342">IF(AND(BZ$1&lt;CA$1, CA$1&lt;=$F72),$U73*($F72-CA$1)/($F72-$U$1),0)</f>
        <v>116.98689814814828</v>
      </c>
      <c r="CB73" s="120">
        <f t="shared" ref="CB73" si="343">IF(AND(CA$1&lt;CB$1, CB$1&lt;=$F72),$U73*($F72-CB$1)/($F72-$U$1),0)</f>
        <v>114.64716018518531</v>
      </c>
      <c r="CC73" s="120">
        <f t="shared" ref="CC73" si="344">IF(AND(CB$1&lt;CC$1, CC$1&lt;=$F72),$U73*($F72-CC$1)/($F72-$U$1),0)</f>
        <v>112.30742222222236</v>
      </c>
      <c r="CD73" s="120">
        <f t="shared" ref="CD73" si="345">IF(AND(CC$1&lt;CD$1, CD$1&lt;=$F72),$U73*($F72-CD$1)/($F72-$U$1),0)</f>
        <v>109.9676842592594</v>
      </c>
      <c r="CE73" s="120">
        <f t="shared" ref="CE73" si="346">IF(AND(CD$1&lt;CE$1, CE$1&lt;=$F72),$U73*($F72-CE$1)/($F72-$U$1),0)</f>
        <v>107.62794629629643</v>
      </c>
      <c r="CF73" s="120">
        <f t="shared" ref="CF73" si="347">IF(AND(CE$1&lt;CF$1, CF$1&lt;=$F72),$U73*($F72-CF$1)/($F72-$U$1),0)</f>
        <v>105.28820833333346</v>
      </c>
      <c r="CG73" s="120">
        <f t="shared" ref="CG73" si="348">IF(AND(CF$1&lt;CG$1, CG$1&lt;=$F72),$U73*($F72-CG$1)/($F72-$U$1),0)</f>
        <v>102.9484703703705</v>
      </c>
      <c r="CH73" s="120">
        <f t="shared" ref="CH73" si="349">IF(AND(CG$1&lt;CH$1, CH$1&lt;=$F72),$U73*($F72-CH$1)/($F72-$U$1),0)</f>
        <v>100.60873240740754</v>
      </c>
      <c r="CI73" s="120">
        <f t="shared" ref="CI73" si="350">IF(AND(CH$1&lt;CI$1, CI$1&lt;=$F72),$U73*($F72-CI$1)/($F72-$U$1),0)</f>
        <v>98.268994444444559</v>
      </c>
      <c r="CJ73" s="120">
        <f t="shared" ref="CJ73" si="351">IF(AND(CI$1&lt;CJ$1, CJ$1&lt;=$F72),$U73*($F72-CJ$1)/($F72-$U$1),0)</f>
        <v>95.929256481481588</v>
      </c>
      <c r="CK73" s="120">
        <f t="shared" ref="CK73" si="352">IF(AND(CJ$1&lt;CK$1, CK$1&lt;=$F72),$U73*($F72-CK$1)/($F72-$U$1),0)</f>
        <v>93.589518518518631</v>
      </c>
      <c r="CL73" s="120">
        <f t="shared" ref="CL73" si="353">IF(AND(CK$1&lt;CL$1, CL$1&lt;=$F72),$U73*($F72-CL$1)/($F72-$U$1),0)</f>
        <v>91.249780555555674</v>
      </c>
      <c r="CM73" s="120">
        <f t="shared" ref="CM73" si="354">IF(AND(CL$1&lt;CM$1, CM$1&lt;=$F72),$U73*($F72-CM$1)/($F72-$U$1),0)</f>
        <v>88.910042592592703</v>
      </c>
      <c r="CN73" s="120">
        <f t="shared" ref="CN73" si="355">IF(AND(CM$1&lt;CN$1, CN$1&lt;=$F72),$U73*($F72-CN$1)/($F72-$U$1),0)</f>
        <v>86.570304629629732</v>
      </c>
      <c r="CO73" s="120">
        <f t="shared" ref="CO73" si="356">IF(AND(CN$1&lt;CO$1, CO$1&lt;=$F72),$U73*($F72-CO$1)/($F72-$U$1),0)</f>
        <v>84.230566666666775</v>
      </c>
      <c r="CP73" s="120">
        <f t="shared" ref="CP73" si="357">IF(AND(CO$1&lt;CP$1, CP$1&lt;=$F72),$U73*($F72-CP$1)/($F72-$U$1),0)</f>
        <v>81.890828703703818</v>
      </c>
      <c r="CQ73" s="120">
        <f t="shared" ref="CQ73" si="358">IF(AND(CP$1&lt;CQ$1, CQ$1&lt;=$F72),$U73*($F72-CQ$1)/($F72-$U$1),0)</f>
        <v>79.551090740740833</v>
      </c>
      <c r="CR73" s="120">
        <f t="shared" ref="CR73" si="359">IF(AND(CQ$1&lt;CR$1, CR$1&lt;=$F72),$U73*($F72-CR$1)/($F72-$U$1),0)</f>
        <v>77.211352777777861</v>
      </c>
      <c r="CS73" s="120">
        <f t="shared" ref="CS73" si="360">IF(AND(CR$1&lt;CS$1, CS$1&lt;=$F72),$U73*($F72-CS$1)/($F72-$U$1),0)</f>
        <v>74.871614814814905</v>
      </c>
      <c r="CT73" s="120">
        <f t="shared" ref="CT73" si="361">IF(AND(CS$1&lt;CT$1, CT$1&lt;=$F72),$U73*($F72-CT$1)/($F72-$U$1),0)</f>
        <v>72.531876851851948</v>
      </c>
      <c r="CU73" s="120">
        <f t="shared" ref="CU73" si="362">IF(AND(CT$1&lt;CU$1, CU$1&lt;=$F72),$U73*($F72-CU$1)/($F72-$U$1),0)</f>
        <v>70.192138888888977</v>
      </c>
      <c r="CV73" s="120">
        <f t="shared" ref="CV73" si="363">IF(AND(CU$1&lt;CV$1, CV$1&lt;=$F72),$U73*($F72-CV$1)/($F72-$U$1),0)</f>
        <v>67.852400925926005</v>
      </c>
      <c r="CW73" s="120">
        <f t="shared" ref="CW73" si="364">IF(AND(CV$1&lt;CW$1, CW$1&lt;=$F72),$U73*($F72-CW$1)/($F72-$U$1),0)</f>
        <v>65.512662962963049</v>
      </c>
      <c r="CX73" s="120">
        <f t="shared" ref="CX73" si="365">IF(AND(CW$1&lt;CX$1, CX$1&lt;=$F72),$U73*($F72-CX$1)/($F72-$U$1),0)</f>
        <v>63.172925000000077</v>
      </c>
      <c r="CY73" s="120">
        <f t="shared" ref="CY73" si="366">IF(AND(CX$1&lt;CY$1, CY$1&lt;=$F72),$U73*($F72-CY$1)/($F72-$U$1),0)</f>
        <v>60.833187037037113</v>
      </c>
      <c r="CZ73" s="120">
        <f t="shared" ref="CZ73" si="367">IF(AND(CY$1&lt;CZ$1, CZ$1&lt;=$F72),$U73*($F72-CZ$1)/($F72-$U$1),0)</f>
        <v>58.493449074074142</v>
      </c>
      <c r="DA73" s="120">
        <f t="shared" ref="DA73" si="368">IF(AND(CZ$1&lt;DA$1, DA$1&lt;=$F72),$U73*($F72-DA$1)/($F72-$U$1),0)</f>
        <v>56.153711111111178</v>
      </c>
      <c r="DB73" s="120">
        <f t="shared" ref="DB73" si="369">IF(AND(DA$1&lt;DB$1, DB$1&lt;=$F72),$U73*($F72-DB$1)/($F72-$U$1),0)</f>
        <v>53.813973148148214</v>
      </c>
      <c r="DC73" s="120">
        <f t="shared" ref="DC73" si="370">IF(AND(DB$1&lt;DC$1, DC$1&lt;=$F72),$U73*($F72-DC$1)/($F72-$U$1),0)</f>
        <v>51.47423518518525</v>
      </c>
      <c r="DD73" s="120">
        <f t="shared" ref="DD73" si="371">IF(AND(DC$1&lt;DD$1, DD$1&lt;=$F72),$U73*($F72-DD$1)/($F72-$U$1),0)</f>
        <v>49.134497222222279</v>
      </c>
      <c r="DE73" s="120">
        <f t="shared" ref="DE73" si="372">IF(AND(DD$1&lt;DE$1, DE$1&lt;=$F72),$U73*($F72-DE$1)/($F72-$U$1),0)</f>
        <v>46.794759259259315</v>
      </c>
      <c r="DF73" s="120">
        <f t="shared" ref="DF73" si="373">IF(AND(DE$1&lt;DF$1, DF$1&lt;=$F72),$U73*($F72-DF$1)/($F72-$U$1),0)</f>
        <v>44.455021296296351</v>
      </c>
      <c r="DG73" s="120">
        <f t="shared" ref="DG73" si="374">IF(AND(DF$1&lt;DG$1, DG$1&lt;=$F72),$U73*($F72-DG$1)/($F72-$U$1),0)</f>
        <v>42.115283333333387</v>
      </c>
      <c r="DH73" s="120">
        <f t="shared" ref="DH73" si="375">IF(AND(DG$1&lt;DH$1, DH$1&lt;=$F72),$U73*($F72-DH$1)/($F72-$U$1),0)</f>
        <v>39.775545370370416</v>
      </c>
      <c r="DI73" s="120">
        <f t="shared" ref="DI73" si="376">IF(AND(DH$1&lt;DI$1, DI$1&lt;=$F72),$U73*($F72-DI$1)/($F72-$U$1),0)</f>
        <v>37.435807407407452</v>
      </c>
      <c r="DJ73" s="120">
        <f t="shared" ref="DJ73" si="377">IF(AND(DI$1&lt;DJ$1, DJ$1&lt;=$F72),$U73*($F72-DJ$1)/($F72-$U$1),0)</f>
        <v>35.096069444444488</v>
      </c>
      <c r="DK73" s="120">
        <f t="shared" ref="DK73" si="378">IF(AND(DJ$1&lt;DK$1, DK$1&lt;=$F72),$U73*($F72-DK$1)/($F72-$U$1),0)</f>
        <v>32.756331481481524</v>
      </c>
      <c r="DL73" s="120">
        <f t="shared" ref="DL73" si="379">IF(AND(DK$1&lt;DL$1, DL$1&lt;=$F72),$U73*($F72-DL$1)/($F72-$U$1),0)</f>
        <v>30.416593518518557</v>
      </c>
      <c r="DM73" s="120">
        <f t="shared" ref="DM73" si="380">IF(AND(DL$1&lt;DM$1, DM$1&lt;=$F72),$U73*($F72-DM$1)/($F72-$U$1),0)</f>
        <v>28.076855555555589</v>
      </c>
      <c r="DN73" s="120">
        <f t="shared" ref="DN73" si="381">IF(AND(DM$1&lt;DN$1, DN$1&lt;=$F72),$U73*($F72-DN$1)/($F72-$U$1),0)</f>
        <v>25.737117592592625</v>
      </c>
      <c r="DO73" s="120">
        <f t="shared" ref="DO73" si="382">IF(AND(DN$1&lt;DO$1, DO$1&lt;=$F72),$U73*($F72-DO$1)/($F72-$U$1),0)</f>
        <v>23.397379629629658</v>
      </c>
      <c r="DP73" s="120">
        <f t="shared" ref="DP73" si="383">IF(AND(DO$1&lt;DP$1, DP$1&lt;=$F72),$U73*($F72-DP$1)/($F72-$U$1),0)</f>
        <v>21.057641666666694</v>
      </c>
      <c r="DQ73" s="120">
        <f t="shared" ref="DQ73" si="384">IF(AND(DP$1&lt;DQ$1, DQ$1&lt;=$F72),$U73*($F72-DQ$1)/($F72-$U$1),0)</f>
        <v>18.717903703703726</v>
      </c>
      <c r="DR73" s="120">
        <f t="shared" ref="DR73" si="385">IF(AND(DQ$1&lt;DR$1, DR$1&lt;=$F72),$U73*($F72-DR$1)/($F72-$U$1),0)</f>
        <v>16.378165740740762</v>
      </c>
      <c r="DS73" s="120">
        <f t="shared" ref="DS73" si="386">IF(AND(DR$1&lt;DS$1, DS$1&lt;=$F72),$U73*($F72-DS$1)/($F72-$U$1),0)</f>
        <v>14.038427777777795</v>
      </c>
      <c r="DT73" s="120">
        <f t="shared" ref="DT73" si="387">IF(AND(DS$1&lt;DT$1, DT$1&lt;=$F72),$U73*($F72-DT$1)/($F72-$U$1),0)</f>
        <v>11.698689814814829</v>
      </c>
      <c r="DU73" s="120">
        <f t="shared" ref="DU73" si="388">IF(AND(DT$1&lt;DU$1, DU$1&lt;=$F72),$U73*($F72-DU$1)/($F72-$U$1),0)</f>
        <v>9.3589518518518631</v>
      </c>
      <c r="DV73" s="120">
        <f t="shared" ref="DV73" si="389">IF(AND(DU$1&lt;DV$1, DV$1&lt;=$F72),$U73*($F72-DV$1)/($F72-$U$1),0)</f>
        <v>7.0192138888888973</v>
      </c>
      <c r="DW73" s="120">
        <f t="shared" ref="DW73" si="390">IF(AND(DV$1&lt;DW$1, DW$1&lt;=$F72),$U73*($F72-DW$1)/($F72-$U$1),0)</f>
        <v>4.6794759259259315</v>
      </c>
      <c r="DX73" s="120">
        <f t="shared" ref="DX73" si="391">IF(AND(DW$1&lt;DX$1, DX$1&lt;=$F72),$U73*($F72-DX$1)/($F72-$U$1),0)</f>
        <v>2.3397379629629658</v>
      </c>
      <c r="DY73" s="120">
        <f t="shared" ref="DY73" si="392">IF(AND(DX$1&lt;DY$1, DY$1&lt;=$F72),$U73*($F72-DY$1)/($F72-$U$1),0)</f>
        <v>0</v>
      </c>
    </row>
    <row r="74" spans="1:129" x14ac:dyDescent="0.45">
      <c r="A74" s="3"/>
      <c r="B74" s="2"/>
      <c r="C74" s="122" t="s">
        <v>266</v>
      </c>
      <c r="D74" s="17"/>
      <c r="E74" s="2"/>
      <c r="F74" s="2"/>
      <c r="G74" s="2"/>
      <c r="H74" s="2"/>
      <c r="I74" s="13"/>
      <c r="J74" s="58"/>
      <c r="K74" s="58"/>
      <c r="L74" s="58"/>
      <c r="M74" s="58"/>
      <c r="N74" s="58"/>
      <c r="O74" s="58"/>
      <c r="P74" s="58"/>
      <c r="Q74" s="58"/>
      <c r="R74" s="58"/>
      <c r="S74" s="58"/>
      <c r="T74" s="58"/>
      <c r="U74" s="95"/>
      <c r="V74" s="91"/>
      <c r="W74" s="91"/>
      <c r="X74" s="91"/>
      <c r="Y74" s="91"/>
      <c r="Z74" s="55"/>
      <c r="AA74" s="55"/>
      <c r="AB74" s="55"/>
      <c r="AC74" s="55"/>
      <c r="AD74" s="55"/>
      <c r="AE74" s="55"/>
      <c r="AF74" s="55"/>
      <c r="AG74" s="129">
        <f>'Plan Moyen Terme (PMT)'!D24-BAU_Liquidité_Dynamique!AG72</f>
        <v>-795.82960000000003</v>
      </c>
      <c r="AH74" s="124">
        <f>IF(AND(AG$1&lt;AH$1, AH$1&lt;=$F72),$AG74*($F72-AH$1)/($F72-$AG$1),0)</f>
        <v>-787.53970833333335</v>
      </c>
      <c r="AI74" s="124">
        <f>IF(AND(AH$1&lt;AI$1, AI$1&lt;=$F72),$AG74*($F72-AI$1)/($F72-$AG$1),0)</f>
        <v>-779.24981666666679</v>
      </c>
      <c r="AJ74" s="124">
        <f t="shared" ref="AJ74:CU74" si="393">IF(AND(AI$1&lt;AJ$1, AJ$1&lt;=$F72),$AG74*($F72-AJ$1)/($F72-$AG$1),0)</f>
        <v>-770.959925</v>
      </c>
      <c r="AK74" s="124">
        <f t="shared" si="393"/>
        <v>-762.67003333333332</v>
      </c>
      <c r="AL74" s="124">
        <f t="shared" si="393"/>
        <v>-754.38014166666665</v>
      </c>
      <c r="AM74" s="124">
        <f t="shared" si="393"/>
        <v>-746.09025000000008</v>
      </c>
      <c r="AN74" s="124">
        <f t="shared" si="393"/>
        <v>-737.80035833333341</v>
      </c>
      <c r="AO74" s="124">
        <f t="shared" si="393"/>
        <v>-729.51046666666662</v>
      </c>
      <c r="AP74" s="124">
        <f t="shared" si="393"/>
        <v>-721.22057499999994</v>
      </c>
      <c r="AQ74" s="124">
        <f t="shared" si="393"/>
        <v>-712.93068333333338</v>
      </c>
      <c r="AR74" s="124">
        <f t="shared" si="393"/>
        <v>-704.6407916666667</v>
      </c>
      <c r="AS74" s="124">
        <f t="shared" si="393"/>
        <v>-696.35090000000002</v>
      </c>
      <c r="AT74" s="124">
        <f t="shared" si="393"/>
        <v>-688.06100833333346</v>
      </c>
      <c r="AU74" s="124">
        <f t="shared" si="393"/>
        <v>-679.77111666666667</v>
      </c>
      <c r="AV74" s="124">
        <f t="shared" si="393"/>
        <v>-671.48122499999999</v>
      </c>
      <c r="AW74" s="124">
        <f t="shared" si="393"/>
        <v>-663.19133333333332</v>
      </c>
      <c r="AX74" s="124">
        <f t="shared" si="393"/>
        <v>-654.90144166666676</v>
      </c>
      <c r="AY74" s="124">
        <f t="shared" si="393"/>
        <v>-646.61154999999997</v>
      </c>
      <c r="AZ74" s="124">
        <f t="shared" si="393"/>
        <v>-638.3216583333334</v>
      </c>
      <c r="BA74" s="124">
        <f t="shared" si="393"/>
        <v>-630.03176666666661</v>
      </c>
      <c r="BB74" s="124">
        <f t="shared" si="393"/>
        <v>-621.74187500000005</v>
      </c>
      <c r="BC74" s="124">
        <f t="shared" si="393"/>
        <v>-613.45198333333337</v>
      </c>
      <c r="BD74" s="124">
        <f t="shared" si="393"/>
        <v>-605.1620916666667</v>
      </c>
      <c r="BE74" s="124">
        <f t="shared" si="393"/>
        <v>-596.87220000000002</v>
      </c>
      <c r="BF74" s="124">
        <f t="shared" si="393"/>
        <v>-588.58230833333334</v>
      </c>
      <c r="BG74" s="124">
        <f t="shared" si="393"/>
        <v>-580.29241666666667</v>
      </c>
      <c r="BH74" s="124">
        <f t="shared" si="393"/>
        <v>-572.00252499999999</v>
      </c>
      <c r="BI74" s="124">
        <f t="shared" si="393"/>
        <v>-563.71263333333343</v>
      </c>
      <c r="BJ74" s="124">
        <f t="shared" si="393"/>
        <v>-555.42274166666664</v>
      </c>
      <c r="BK74" s="124">
        <f t="shared" si="393"/>
        <v>-547.13285000000008</v>
      </c>
      <c r="BL74" s="124">
        <f t="shared" si="393"/>
        <v>-538.84295833333329</v>
      </c>
      <c r="BM74" s="124">
        <f t="shared" si="393"/>
        <v>-530.55306666666672</v>
      </c>
      <c r="BN74" s="124">
        <f t="shared" si="393"/>
        <v>-522.26317500000005</v>
      </c>
      <c r="BO74" s="124">
        <f t="shared" si="393"/>
        <v>-513.97328333333337</v>
      </c>
      <c r="BP74" s="124">
        <f t="shared" si="393"/>
        <v>-505.68339166666669</v>
      </c>
      <c r="BQ74" s="124">
        <f t="shared" si="393"/>
        <v>-497.39349999999996</v>
      </c>
      <c r="BR74" s="124">
        <f t="shared" si="393"/>
        <v>-489.10360833333334</v>
      </c>
      <c r="BS74" s="124">
        <f t="shared" si="393"/>
        <v>-480.81371666666672</v>
      </c>
      <c r="BT74" s="124">
        <f t="shared" si="393"/>
        <v>-472.52382499999999</v>
      </c>
      <c r="BU74" s="124">
        <f t="shared" si="393"/>
        <v>-464.23393333333337</v>
      </c>
      <c r="BV74" s="124">
        <f t="shared" si="393"/>
        <v>-455.94404166666669</v>
      </c>
      <c r="BW74" s="124">
        <f t="shared" si="393"/>
        <v>-447.65415000000002</v>
      </c>
      <c r="BX74" s="124">
        <f t="shared" si="393"/>
        <v>-439.36425833333334</v>
      </c>
      <c r="BY74" s="124">
        <f t="shared" si="393"/>
        <v>-431.07436666666672</v>
      </c>
      <c r="BZ74" s="124">
        <f t="shared" si="393"/>
        <v>-422.78447499999999</v>
      </c>
      <c r="CA74" s="124">
        <f t="shared" si="393"/>
        <v>-414.49458333333337</v>
      </c>
      <c r="CB74" s="124">
        <f t="shared" si="393"/>
        <v>-406.20469166666663</v>
      </c>
      <c r="CC74" s="124">
        <f t="shared" si="393"/>
        <v>-397.91480000000001</v>
      </c>
      <c r="CD74" s="124">
        <f t="shared" si="393"/>
        <v>-389.62490833333339</v>
      </c>
      <c r="CE74" s="124">
        <f t="shared" si="393"/>
        <v>-381.33501666666666</v>
      </c>
      <c r="CF74" s="124">
        <f t="shared" si="393"/>
        <v>-373.04512500000004</v>
      </c>
      <c r="CG74" s="124">
        <f t="shared" si="393"/>
        <v>-364.75523333333331</v>
      </c>
      <c r="CH74" s="124">
        <f t="shared" si="393"/>
        <v>-356.46534166666669</v>
      </c>
      <c r="CI74" s="124">
        <f t="shared" si="393"/>
        <v>-348.17545000000001</v>
      </c>
      <c r="CJ74" s="124">
        <f t="shared" si="393"/>
        <v>-339.88555833333334</v>
      </c>
      <c r="CK74" s="124">
        <f t="shared" si="393"/>
        <v>-331.59566666666666</v>
      </c>
      <c r="CL74" s="124">
        <f t="shared" si="393"/>
        <v>-323.30577499999998</v>
      </c>
      <c r="CM74" s="124">
        <f t="shared" si="393"/>
        <v>-315.01588333333331</v>
      </c>
      <c r="CN74" s="124">
        <f t="shared" si="393"/>
        <v>-306.72599166666669</v>
      </c>
      <c r="CO74" s="124">
        <f t="shared" si="393"/>
        <v>-298.43610000000001</v>
      </c>
      <c r="CP74" s="124">
        <f t="shared" si="393"/>
        <v>-290.14620833333333</v>
      </c>
      <c r="CQ74" s="124">
        <f t="shared" si="393"/>
        <v>-281.85631666666671</v>
      </c>
      <c r="CR74" s="124">
        <f t="shared" si="393"/>
        <v>-273.56642500000004</v>
      </c>
      <c r="CS74" s="124">
        <f t="shared" si="393"/>
        <v>-265.27653333333336</v>
      </c>
      <c r="CT74" s="124">
        <f t="shared" si="393"/>
        <v>-256.98664166666669</v>
      </c>
      <c r="CU74" s="124">
        <f t="shared" si="393"/>
        <v>-248.69674999999998</v>
      </c>
      <c r="CV74" s="124">
        <f t="shared" ref="CV74:DY74" si="394">IF(AND(CU$1&lt;CV$1, CV$1&lt;=$F72),$AG74*($F72-CV$1)/($F72-$AG$1),0)</f>
        <v>-240.40685833333336</v>
      </c>
      <c r="CW74" s="124">
        <f t="shared" si="394"/>
        <v>-232.11696666666668</v>
      </c>
      <c r="CX74" s="124">
        <f t="shared" si="394"/>
        <v>-223.82707500000001</v>
      </c>
      <c r="CY74" s="124">
        <f t="shared" si="394"/>
        <v>-215.53718333333336</v>
      </c>
      <c r="CZ74" s="124">
        <f t="shared" si="394"/>
        <v>-207.24729166666668</v>
      </c>
      <c r="DA74" s="124">
        <f t="shared" si="394"/>
        <v>-198.95740000000001</v>
      </c>
      <c r="DB74" s="124">
        <f t="shared" si="394"/>
        <v>-190.66750833333333</v>
      </c>
      <c r="DC74" s="124">
        <f t="shared" si="394"/>
        <v>-182.37761666666665</v>
      </c>
      <c r="DD74" s="124">
        <f t="shared" si="394"/>
        <v>-174.08772500000001</v>
      </c>
      <c r="DE74" s="124">
        <f t="shared" si="394"/>
        <v>-165.79783333333333</v>
      </c>
      <c r="DF74" s="124">
        <f t="shared" si="394"/>
        <v>-157.50794166666665</v>
      </c>
      <c r="DG74" s="124">
        <f t="shared" si="394"/>
        <v>-149.21805000000001</v>
      </c>
      <c r="DH74" s="124">
        <f t="shared" si="394"/>
        <v>-140.92815833333336</v>
      </c>
      <c r="DI74" s="124">
        <f t="shared" si="394"/>
        <v>-132.63826666666668</v>
      </c>
      <c r="DJ74" s="124">
        <f t="shared" si="394"/>
        <v>-124.34837499999999</v>
      </c>
      <c r="DK74" s="124">
        <f t="shared" si="394"/>
        <v>-116.05848333333334</v>
      </c>
      <c r="DL74" s="124">
        <f t="shared" si="394"/>
        <v>-107.76859166666668</v>
      </c>
      <c r="DM74" s="124">
        <f t="shared" si="394"/>
        <v>-99.478700000000003</v>
      </c>
      <c r="DN74" s="124">
        <f t="shared" si="394"/>
        <v>-91.188808333333327</v>
      </c>
      <c r="DO74" s="124">
        <f t="shared" si="394"/>
        <v>-82.898916666666665</v>
      </c>
      <c r="DP74" s="124">
        <f t="shared" si="394"/>
        <v>-74.609025000000003</v>
      </c>
      <c r="DQ74" s="124">
        <f t="shared" si="394"/>
        <v>-66.31913333333334</v>
      </c>
      <c r="DR74" s="124">
        <f t="shared" si="394"/>
        <v>-58.029241666666671</v>
      </c>
      <c r="DS74" s="124">
        <f t="shared" si="394"/>
        <v>-49.739350000000002</v>
      </c>
      <c r="DT74" s="124">
        <f t="shared" si="394"/>
        <v>-41.449458333333332</v>
      </c>
      <c r="DU74" s="124">
        <f t="shared" si="394"/>
        <v>-33.15956666666667</v>
      </c>
      <c r="DV74" s="124">
        <f t="shared" si="394"/>
        <v>-24.869675000000001</v>
      </c>
      <c r="DW74" s="124">
        <f t="shared" si="394"/>
        <v>-16.579783333333335</v>
      </c>
      <c r="DX74" s="124">
        <f t="shared" si="394"/>
        <v>-8.2898916666666675</v>
      </c>
      <c r="DY74" s="124">
        <f t="shared" si="394"/>
        <v>0</v>
      </c>
    </row>
    <row r="75" spans="1:129" x14ac:dyDescent="0.45">
      <c r="A75" s="3"/>
      <c r="B75" s="2"/>
      <c r="C75" s="125" t="s">
        <v>267</v>
      </c>
      <c r="D75" s="17"/>
      <c r="E75" s="2"/>
      <c r="F75" s="2"/>
      <c r="G75" s="2"/>
      <c r="H75" s="2"/>
      <c r="I75" s="13"/>
      <c r="J75" s="58"/>
      <c r="K75" s="58"/>
      <c r="L75" s="58"/>
      <c r="M75" s="58"/>
      <c r="N75" s="58"/>
      <c r="O75" s="58"/>
      <c r="P75" s="58"/>
      <c r="Q75" s="58"/>
      <c r="R75" s="58"/>
      <c r="S75" s="58"/>
      <c r="T75" s="58"/>
      <c r="U75" s="96"/>
      <c r="V75" s="55"/>
      <c r="W75" s="55"/>
      <c r="X75" s="55"/>
      <c r="Y75" s="55"/>
      <c r="Z75" s="55"/>
      <c r="AA75" s="55"/>
      <c r="AB75" s="55"/>
      <c r="AC75" s="55"/>
      <c r="AD75" s="55"/>
      <c r="AE75" s="55"/>
      <c r="AF75" s="55"/>
      <c r="AG75" s="102"/>
      <c r="AH75" s="91"/>
      <c r="AI75" s="91"/>
      <c r="AJ75" s="91"/>
      <c r="AK75" s="55"/>
      <c r="AL75" s="55"/>
      <c r="AM75" s="55"/>
      <c r="AN75" s="55"/>
      <c r="AO75" s="55"/>
      <c r="AP75" s="55"/>
      <c r="AQ75" s="55"/>
      <c r="AR75" s="55"/>
      <c r="AS75" s="130">
        <f>'Plan Moyen Terme (PMT)'!E24-BAU_Liquidité_Dynamique!AS72</f>
        <v>38.649100000000089</v>
      </c>
      <c r="AT75" s="126">
        <f>IF(AND(AS$1&lt;AT$1, AT$1&lt;=$F72),$AS75*($F72-AT$1)/($F72-$AS$1),0)</f>
        <v>38.188991666666752</v>
      </c>
      <c r="AU75" s="126">
        <f t="shared" ref="AU75:DF75" si="395">IF(AND(AT$1&lt;AU$1, AU$1&lt;=$F72),$AS75*($F72-AU$1)/($F72-$AS$1),0)</f>
        <v>37.728883333333421</v>
      </c>
      <c r="AV75" s="126">
        <f t="shared" si="395"/>
        <v>37.268775000000083</v>
      </c>
      <c r="AW75" s="126">
        <f t="shared" si="395"/>
        <v>36.808666666666753</v>
      </c>
      <c r="AX75" s="126">
        <f t="shared" si="395"/>
        <v>36.348558333333415</v>
      </c>
      <c r="AY75" s="126">
        <f t="shared" si="395"/>
        <v>35.888450000000084</v>
      </c>
      <c r="AZ75" s="126">
        <f t="shared" si="395"/>
        <v>35.428341666666746</v>
      </c>
      <c r="BA75" s="126">
        <f t="shared" si="395"/>
        <v>34.968233333333416</v>
      </c>
      <c r="BB75" s="126">
        <f t="shared" si="395"/>
        <v>34.508125000000078</v>
      </c>
      <c r="BC75" s="126">
        <f t="shared" si="395"/>
        <v>34.048016666666747</v>
      </c>
      <c r="BD75" s="126">
        <f t="shared" si="395"/>
        <v>33.587908333333409</v>
      </c>
      <c r="BE75" s="126">
        <f t="shared" si="395"/>
        <v>33.127800000000079</v>
      </c>
      <c r="BF75" s="126">
        <f t="shared" si="395"/>
        <v>32.667691666666741</v>
      </c>
      <c r="BG75" s="126">
        <f t="shared" si="395"/>
        <v>32.20758333333341</v>
      </c>
      <c r="BH75" s="126">
        <f t="shared" si="395"/>
        <v>31.747475000000072</v>
      </c>
      <c r="BI75" s="126">
        <f t="shared" si="395"/>
        <v>31.287366666666738</v>
      </c>
      <c r="BJ75" s="126">
        <f t="shared" si="395"/>
        <v>30.827258333333404</v>
      </c>
      <c r="BK75" s="126">
        <f t="shared" si="395"/>
        <v>30.36715000000007</v>
      </c>
      <c r="BL75" s="126">
        <f t="shared" si="395"/>
        <v>29.907041666666736</v>
      </c>
      <c r="BM75" s="126">
        <f t="shared" si="395"/>
        <v>29.446933333333401</v>
      </c>
      <c r="BN75" s="126">
        <f t="shared" si="395"/>
        <v>28.986825000000067</v>
      </c>
      <c r="BO75" s="126">
        <f t="shared" si="395"/>
        <v>28.526716666666733</v>
      </c>
      <c r="BP75" s="126">
        <f t="shared" si="395"/>
        <v>28.066608333333399</v>
      </c>
      <c r="BQ75" s="126">
        <f t="shared" si="395"/>
        <v>27.606500000000064</v>
      </c>
      <c r="BR75" s="126">
        <f t="shared" si="395"/>
        <v>27.14639166666673</v>
      </c>
      <c r="BS75" s="126">
        <f t="shared" si="395"/>
        <v>26.686283333333396</v>
      </c>
      <c r="BT75" s="126">
        <f t="shared" si="395"/>
        <v>26.226175000000062</v>
      </c>
      <c r="BU75" s="126">
        <f t="shared" si="395"/>
        <v>25.766066666666728</v>
      </c>
      <c r="BV75" s="126">
        <f t="shared" si="395"/>
        <v>25.305958333333393</v>
      </c>
      <c r="BW75" s="126">
        <f t="shared" si="395"/>
        <v>24.845850000000059</v>
      </c>
      <c r="BX75" s="126">
        <f t="shared" si="395"/>
        <v>24.385741666666725</v>
      </c>
      <c r="BY75" s="126">
        <f t="shared" si="395"/>
        <v>23.925633333333387</v>
      </c>
      <c r="BZ75" s="126">
        <f t="shared" si="395"/>
        <v>23.465525000000053</v>
      </c>
      <c r="CA75" s="126">
        <f t="shared" si="395"/>
        <v>23.005416666666719</v>
      </c>
      <c r="CB75" s="126">
        <f t="shared" si="395"/>
        <v>22.545308333333384</v>
      </c>
      <c r="CC75" s="126">
        <f t="shared" si="395"/>
        <v>22.08520000000005</v>
      </c>
      <c r="CD75" s="126">
        <f t="shared" si="395"/>
        <v>21.625091666666716</v>
      </c>
      <c r="CE75" s="126">
        <f t="shared" si="395"/>
        <v>21.164983333333382</v>
      </c>
      <c r="CF75" s="126">
        <f t="shared" si="395"/>
        <v>20.704875000000047</v>
      </c>
      <c r="CG75" s="126">
        <f t="shared" si="395"/>
        <v>20.244766666666713</v>
      </c>
      <c r="CH75" s="126">
        <f t="shared" si="395"/>
        <v>19.784658333333379</v>
      </c>
      <c r="CI75" s="126">
        <f t="shared" si="395"/>
        <v>19.324550000000045</v>
      </c>
      <c r="CJ75" s="126">
        <f t="shared" si="395"/>
        <v>18.864441666666711</v>
      </c>
      <c r="CK75" s="126">
        <f t="shared" si="395"/>
        <v>18.404333333333376</v>
      </c>
      <c r="CL75" s="126">
        <f t="shared" si="395"/>
        <v>17.944225000000042</v>
      </c>
      <c r="CM75" s="126">
        <f t="shared" si="395"/>
        <v>17.484116666666708</v>
      </c>
      <c r="CN75" s="126">
        <f t="shared" si="395"/>
        <v>17.024008333333374</v>
      </c>
      <c r="CO75" s="126">
        <f t="shared" si="395"/>
        <v>16.563900000000039</v>
      </c>
      <c r="CP75" s="126">
        <f t="shared" si="395"/>
        <v>16.103791666666705</v>
      </c>
      <c r="CQ75" s="126">
        <f t="shared" si="395"/>
        <v>15.643683333333369</v>
      </c>
      <c r="CR75" s="126">
        <f t="shared" si="395"/>
        <v>15.183575000000035</v>
      </c>
      <c r="CS75" s="126">
        <f t="shared" si="395"/>
        <v>14.723466666666701</v>
      </c>
      <c r="CT75" s="126">
        <f t="shared" si="395"/>
        <v>14.263358333333366</v>
      </c>
      <c r="CU75" s="126">
        <f t="shared" si="395"/>
        <v>13.803250000000032</v>
      </c>
      <c r="CV75" s="126">
        <f t="shared" si="395"/>
        <v>13.343141666666698</v>
      </c>
      <c r="CW75" s="126">
        <f t="shared" si="395"/>
        <v>12.883033333333364</v>
      </c>
      <c r="CX75" s="126">
        <f t="shared" si="395"/>
        <v>12.42292500000003</v>
      </c>
      <c r="CY75" s="126">
        <f t="shared" si="395"/>
        <v>11.962816666666694</v>
      </c>
      <c r="CZ75" s="126">
        <f t="shared" si="395"/>
        <v>11.502708333333359</v>
      </c>
      <c r="DA75" s="126">
        <f t="shared" si="395"/>
        <v>11.042600000000025</v>
      </c>
      <c r="DB75" s="126">
        <f t="shared" si="395"/>
        <v>10.582491666666691</v>
      </c>
      <c r="DC75" s="126">
        <f t="shared" si="395"/>
        <v>10.122383333333357</v>
      </c>
      <c r="DD75" s="126">
        <f t="shared" si="395"/>
        <v>9.6622750000000224</v>
      </c>
      <c r="DE75" s="126">
        <f t="shared" si="395"/>
        <v>9.2021666666666881</v>
      </c>
      <c r="DF75" s="126">
        <f t="shared" si="395"/>
        <v>8.7420583333333539</v>
      </c>
      <c r="DG75" s="126">
        <f t="shared" ref="DG75:DY75" si="396">IF(AND(DF$1&lt;DG$1, DG$1&lt;=$F72),$AS75*($F72-DG$1)/($F72-$AS$1),0)</f>
        <v>8.2819500000000197</v>
      </c>
      <c r="DH75" s="126">
        <f t="shared" si="396"/>
        <v>7.8218416666666846</v>
      </c>
      <c r="DI75" s="126">
        <f t="shared" si="396"/>
        <v>7.3617333333333503</v>
      </c>
      <c r="DJ75" s="126">
        <f t="shared" si="396"/>
        <v>6.9016250000000161</v>
      </c>
      <c r="DK75" s="126">
        <f t="shared" si="396"/>
        <v>6.4415166666666819</v>
      </c>
      <c r="DL75" s="126">
        <f t="shared" si="396"/>
        <v>5.9814083333333468</v>
      </c>
      <c r="DM75" s="126">
        <f t="shared" si="396"/>
        <v>5.5213000000000125</v>
      </c>
      <c r="DN75" s="126">
        <f t="shared" si="396"/>
        <v>5.0611916666666783</v>
      </c>
      <c r="DO75" s="126">
        <f t="shared" si="396"/>
        <v>4.6010833333333441</v>
      </c>
      <c r="DP75" s="126">
        <f t="shared" si="396"/>
        <v>4.1409750000000098</v>
      </c>
      <c r="DQ75" s="126">
        <f t="shared" si="396"/>
        <v>3.6808666666666752</v>
      </c>
      <c r="DR75" s="126">
        <f t="shared" si="396"/>
        <v>3.2207583333333409</v>
      </c>
      <c r="DS75" s="126">
        <f t="shared" si="396"/>
        <v>2.7606500000000063</v>
      </c>
      <c r="DT75" s="126">
        <f t="shared" si="396"/>
        <v>2.300541666666672</v>
      </c>
      <c r="DU75" s="126">
        <f t="shared" si="396"/>
        <v>1.8404333333333376</v>
      </c>
      <c r="DV75" s="126">
        <f t="shared" si="396"/>
        <v>1.3803250000000031</v>
      </c>
      <c r="DW75" s="126">
        <f t="shared" si="396"/>
        <v>0.92021666666666879</v>
      </c>
      <c r="DX75" s="126">
        <f t="shared" si="396"/>
        <v>0.4601083333333344</v>
      </c>
      <c r="DY75" s="126">
        <f t="shared" si="396"/>
        <v>0</v>
      </c>
    </row>
    <row r="76" spans="1:129" x14ac:dyDescent="0.45">
      <c r="A76" s="3">
        <v>46022</v>
      </c>
      <c r="B76" s="2" t="s">
        <v>19</v>
      </c>
      <c r="C76" s="4" t="s">
        <v>32</v>
      </c>
      <c r="D76" s="17">
        <v>3.5000000000000003E-2</v>
      </c>
      <c r="E76" s="2" t="s">
        <v>45</v>
      </c>
      <c r="F76" s="2">
        <v>72</v>
      </c>
      <c r="G76" s="2" t="s">
        <v>45</v>
      </c>
      <c r="H76" s="2">
        <v>72</v>
      </c>
      <c r="I76" s="59">
        <v>130</v>
      </c>
      <c r="J76" s="58">
        <f t="shared" ref="J76:BU76" si="397">IF(J$1&lt;$F76,$I76,0)</f>
        <v>130</v>
      </c>
      <c r="K76" s="58">
        <f t="shared" si="397"/>
        <v>130</v>
      </c>
      <c r="L76" s="58">
        <f t="shared" si="397"/>
        <v>130</v>
      </c>
      <c r="M76" s="58">
        <f t="shared" si="397"/>
        <v>130</v>
      </c>
      <c r="N76" s="58">
        <f t="shared" si="397"/>
        <v>130</v>
      </c>
      <c r="O76" s="58">
        <f t="shared" si="397"/>
        <v>130</v>
      </c>
      <c r="P76" s="58">
        <f t="shared" si="397"/>
        <v>130</v>
      </c>
      <c r="Q76" s="58">
        <f t="shared" si="397"/>
        <v>130</v>
      </c>
      <c r="R76" s="58">
        <f t="shared" si="397"/>
        <v>130</v>
      </c>
      <c r="S76" s="58">
        <f t="shared" si="397"/>
        <v>130</v>
      </c>
      <c r="T76" s="58">
        <f t="shared" si="397"/>
        <v>130</v>
      </c>
      <c r="U76" s="97">
        <f t="shared" si="397"/>
        <v>130</v>
      </c>
      <c r="V76" s="58">
        <f t="shared" si="397"/>
        <v>130</v>
      </c>
      <c r="W76" s="58">
        <f t="shared" si="397"/>
        <v>130</v>
      </c>
      <c r="X76" s="58">
        <f t="shared" si="397"/>
        <v>130</v>
      </c>
      <c r="Y76" s="58">
        <f t="shared" si="397"/>
        <v>130</v>
      </c>
      <c r="Z76" s="58">
        <f t="shared" si="397"/>
        <v>130</v>
      </c>
      <c r="AA76" s="58">
        <f t="shared" si="397"/>
        <v>130</v>
      </c>
      <c r="AB76" s="58">
        <f t="shared" si="397"/>
        <v>130</v>
      </c>
      <c r="AC76" s="58">
        <f t="shared" si="397"/>
        <v>130</v>
      </c>
      <c r="AD76" s="58">
        <f t="shared" si="397"/>
        <v>130</v>
      </c>
      <c r="AE76" s="58">
        <f t="shared" si="397"/>
        <v>130</v>
      </c>
      <c r="AF76" s="58">
        <f t="shared" si="397"/>
        <v>130</v>
      </c>
      <c r="AG76" s="103">
        <f t="shared" si="397"/>
        <v>130</v>
      </c>
      <c r="AH76" s="58">
        <f t="shared" si="397"/>
        <v>130</v>
      </c>
      <c r="AI76" s="58">
        <f t="shared" si="397"/>
        <v>130</v>
      </c>
      <c r="AJ76" s="58">
        <f t="shared" si="397"/>
        <v>130</v>
      </c>
      <c r="AK76" s="58">
        <f t="shared" si="397"/>
        <v>130</v>
      </c>
      <c r="AL76" s="58">
        <f t="shared" si="397"/>
        <v>130</v>
      </c>
      <c r="AM76" s="58">
        <f t="shared" si="397"/>
        <v>130</v>
      </c>
      <c r="AN76" s="58">
        <f t="shared" si="397"/>
        <v>130</v>
      </c>
      <c r="AO76" s="58">
        <f t="shared" si="397"/>
        <v>130</v>
      </c>
      <c r="AP76" s="58">
        <f t="shared" si="397"/>
        <v>130</v>
      </c>
      <c r="AQ76" s="58">
        <f t="shared" si="397"/>
        <v>130</v>
      </c>
      <c r="AR76" s="58">
        <f t="shared" si="397"/>
        <v>130</v>
      </c>
      <c r="AS76" s="109">
        <f t="shared" si="397"/>
        <v>130</v>
      </c>
      <c r="AT76" s="58">
        <f t="shared" si="397"/>
        <v>130</v>
      </c>
      <c r="AU76" s="58">
        <f t="shared" si="397"/>
        <v>130</v>
      </c>
      <c r="AV76" s="58">
        <f t="shared" si="397"/>
        <v>130</v>
      </c>
      <c r="AW76" s="58">
        <f t="shared" si="397"/>
        <v>130</v>
      </c>
      <c r="AX76" s="58">
        <f t="shared" si="397"/>
        <v>130</v>
      </c>
      <c r="AY76" s="58">
        <f t="shared" si="397"/>
        <v>130</v>
      </c>
      <c r="AZ76" s="58">
        <f t="shared" si="397"/>
        <v>130</v>
      </c>
      <c r="BA76" s="58">
        <f t="shared" si="397"/>
        <v>130</v>
      </c>
      <c r="BB76" s="58">
        <f t="shared" si="397"/>
        <v>130</v>
      </c>
      <c r="BC76" s="58">
        <f t="shared" si="397"/>
        <v>130</v>
      </c>
      <c r="BD76" s="58">
        <f t="shared" si="397"/>
        <v>130</v>
      </c>
      <c r="BE76" s="58">
        <f t="shared" si="397"/>
        <v>130</v>
      </c>
      <c r="BF76" s="58">
        <f t="shared" si="397"/>
        <v>130</v>
      </c>
      <c r="BG76" s="58">
        <f t="shared" si="397"/>
        <v>130</v>
      </c>
      <c r="BH76" s="58">
        <f t="shared" si="397"/>
        <v>130</v>
      </c>
      <c r="BI76" s="58">
        <f t="shared" si="397"/>
        <v>130</v>
      </c>
      <c r="BJ76" s="58">
        <f t="shared" si="397"/>
        <v>130</v>
      </c>
      <c r="BK76" s="58">
        <f t="shared" si="397"/>
        <v>130</v>
      </c>
      <c r="BL76" s="58">
        <f t="shared" si="397"/>
        <v>130</v>
      </c>
      <c r="BM76" s="58">
        <f t="shared" si="397"/>
        <v>130</v>
      </c>
      <c r="BN76" s="58">
        <f t="shared" si="397"/>
        <v>130</v>
      </c>
      <c r="BO76" s="58">
        <f t="shared" si="397"/>
        <v>130</v>
      </c>
      <c r="BP76" s="58">
        <f t="shared" si="397"/>
        <v>130</v>
      </c>
      <c r="BQ76" s="58">
        <f t="shared" si="397"/>
        <v>130</v>
      </c>
      <c r="BR76" s="58">
        <f t="shared" si="397"/>
        <v>130</v>
      </c>
      <c r="BS76" s="58">
        <f t="shared" si="397"/>
        <v>130</v>
      </c>
      <c r="BT76" s="58">
        <f t="shared" si="397"/>
        <v>130</v>
      </c>
      <c r="BU76" s="58">
        <f t="shared" si="397"/>
        <v>130</v>
      </c>
      <c r="BV76" s="58">
        <f t="shared" ref="BV76:DY76" si="398">IF(BV$1&lt;$F76,$I76,0)</f>
        <v>130</v>
      </c>
      <c r="BW76" s="58">
        <f t="shared" si="398"/>
        <v>130</v>
      </c>
      <c r="BX76" s="58">
        <f t="shared" si="398"/>
        <v>130</v>
      </c>
      <c r="BY76" s="58">
        <f t="shared" si="398"/>
        <v>130</v>
      </c>
      <c r="BZ76" s="58">
        <f t="shared" si="398"/>
        <v>130</v>
      </c>
      <c r="CA76" s="58">
        <f t="shared" si="398"/>
        <v>130</v>
      </c>
      <c r="CB76" s="58">
        <f t="shared" si="398"/>
        <v>130</v>
      </c>
      <c r="CC76" s="58">
        <f t="shared" si="398"/>
        <v>0</v>
      </c>
      <c r="CD76" s="58">
        <f t="shared" si="398"/>
        <v>0</v>
      </c>
      <c r="CE76" s="58">
        <f t="shared" si="398"/>
        <v>0</v>
      </c>
      <c r="CF76" s="58">
        <f t="shared" si="398"/>
        <v>0</v>
      </c>
      <c r="CG76" s="58">
        <f t="shared" si="398"/>
        <v>0</v>
      </c>
      <c r="CH76" s="58">
        <f t="shared" si="398"/>
        <v>0</v>
      </c>
      <c r="CI76" s="58">
        <f t="shared" si="398"/>
        <v>0</v>
      </c>
      <c r="CJ76" s="58">
        <f t="shared" si="398"/>
        <v>0</v>
      </c>
      <c r="CK76" s="58">
        <f t="shared" si="398"/>
        <v>0</v>
      </c>
      <c r="CL76" s="58">
        <f t="shared" si="398"/>
        <v>0</v>
      </c>
      <c r="CM76" s="58">
        <f t="shared" si="398"/>
        <v>0</v>
      </c>
      <c r="CN76" s="58">
        <f t="shared" si="398"/>
        <v>0</v>
      </c>
      <c r="CO76" s="58">
        <f t="shared" si="398"/>
        <v>0</v>
      </c>
      <c r="CP76" s="58">
        <f t="shared" si="398"/>
        <v>0</v>
      </c>
      <c r="CQ76" s="58">
        <f t="shared" si="398"/>
        <v>0</v>
      </c>
      <c r="CR76" s="58">
        <f t="shared" si="398"/>
        <v>0</v>
      </c>
      <c r="CS76" s="58">
        <f t="shared" si="398"/>
        <v>0</v>
      </c>
      <c r="CT76" s="58">
        <f t="shared" si="398"/>
        <v>0</v>
      </c>
      <c r="CU76" s="58">
        <f t="shared" si="398"/>
        <v>0</v>
      </c>
      <c r="CV76" s="58">
        <f t="shared" si="398"/>
        <v>0</v>
      </c>
      <c r="CW76" s="58">
        <f t="shared" si="398"/>
        <v>0</v>
      </c>
      <c r="CX76" s="58">
        <f t="shared" si="398"/>
        <v>0</v>
      </c>
      <c r="CY76" s="58">
        <f t="shared" si="398"/>
        <v>0</v>
      </c>
      <c r="CZ76" s="58">
        <f t="shared" si="398"/>
        <v>0</v>
      </c>
      <c r="DA76" s="58">
        <f t="shared" si="398"/>
        <v>0</v>
      </c>
      <c r="DB76" s="58">
        <f t="shared" si="398"/>
        <v>0</v>
      </c>
      <c r="DC76" s="58">
        <f t="shared" si="398"/>
        <v>0</v>
      </c>
      <c r="DD76" s="58">
        <f t="shared" si="398"/>
        <v>0</v>
      </c>
      <c r="DE76" s="58">
        <f t="shared" si="398"/>
        <v>0</v>
      </c>
      <c r="DF76" s="58">
        <f t="shared" si="398"/>
        <v>0</v>
      </c>
      <c r="DG76" s="58">
        <f t="shared" si="398"/>
        <v>0</v>
      </c>
      <c r="DH76" s="58">
        <f t="shared" si="398"/>
        <v>0</v>
      </c>
      <c r="DI76" s="58">
        <f t="shared" si="398"/>
        <v>0</v>
      </c>
      <c r="DJ76" s="58">
        <f t="shared" si="398"/>
        <v>0</v>
      </c>
      <c r="DK76" s="58">
        <f t="shared" si="398"/>
        <v>0</v>
      </c>
      <c r="DL76" s="58">
        <f t="shared" si="398"/>
        <v>0</v>
      </c>
      <c r="DM76" s="58">
        <f t="shared" si="398"/>
        <v>0</v>
      </c>
      <c r="DN76" s="58">
        <f t="shared" si="398"/>
        <v>0</v>
      </c>
      <c r="DO76" s="58">
        <f t="shared" si="398"/>
        <v>0</v>
      </c>
      <c r="DP76" s="58">
        <f t="shared" si="398"/>
        <v>0</v>
      </c>
      <c r="DQ76" s="58">
        <f t="shared" si="398"/>
        <v>0</v>
      </c>
      <c r="DR76" s="58">
        <f t="shared" si="398"/>
        <v>0</v>
      </c>
      <c r="DS76" s="58">
        <f t="shared" si="398"/>
        <v>0</v>
      </c>
      <c r="DT76" s="58">
        <f t="shared" si="398"/>
        <v>0</v>
      </c>
      <c r="DU76" s="58">
        <f t="shared" si="398"/>
        <v>0</v>
      </c>
      <c r="DV76" s="58">
        <f t="shared" si="398"/>
        <v>0</v>
      </c>
      <c r="DW76" s="58">
        <f t="shared" si="398"/>
        <v>0</v>
      </c>
      <c r="DX76" s="58">
        <f t="shared" si="398"/>
        <v>0</v>
      </c>
      <c r="DY76" s="58">
        <f t="shared" si="398"/>
        <v>0</v>
      </c>
    </row>
    <row r="77" spans="1:129" x14ac:dyDescent="0.45">
      <c r="A77" s="3"/>
      <c r="B77" s="2"/>
      <c r="C77" s="121" t="s">
        <v>265</v>
      </c>
      <c r="D77" s="17"/>
      <c r="E77" s="2"/>
      <c r="F77" s="2"/>
      <c r="G77" s="2"/>
      <c r="H77" s="2"/>
      <c r="I77" s="13"/>
      <c r="J77" s="58"/>
      <c r="K77" s="58"/>
      <c r="L77" s="58"/>
      <c r="M77" s="58"/>
      <c r="N77" s="58"/>
      <c r="O77" s="58"/>
      <c r="P77" s="58"/>
      <c r="Q77" s="58"/>
      <c r="R77" s="58"/>
      <c r="S77" s="58"/>
      <c r="T77" s="58"/>
      <c r="U77" s="97">
        <f>'Plan Moyen Terme (PMT)'!C25-BAU_Liquidité_Dynamique!U76</f>
        <v>6344.1510000000126</v>
      </c>
      <c r="V77" s="127">
        <f>IF(AND($U$1&lt;V$1, V$1&lt;$F$76),$U$77,0)</f>
        <v>6344.1510000000126</v>
      </c>
      <c r="W77" s="127">
        <f t="shared" ref="W77:CC77" si="399">IF(AND($U$1&lt;W$1, W$1&lt;$F$76),$U$77,0)</f>
        <v>6344.1510000000126</v>
      </c>
      <c r="X77" s="127">
        <f t="shared" si="399"/>
        <v>6344.1510000000126</v>
      </c>
      <c r="Y77" s="127">
        <f t="shared" si="399"/>
        <v>6344.1510000000126</v>
      </c>
      <c r="Z77" s="127">
        <f t="shared" si="399"/>
        <v>6344.1510000000126</v>
      </c>
      <c r="AA77" s="127">
        <f t="shared" si="399"/>
        <v>6344.1510000000126</v>
      </c>
      <c r="AB77" s="127">
        <f t="shared" si="399"/>
        <v>6344.1510000000126</v>
      </c>
      <c r="AC77" s="127">
        <f t="shared" si="399"/>
        <v>6344.1510000000126</v>
      </c>
      <c r="AD77" s="127">
        <f t="shared" si="399"/>
        <v>6344.1510000000126</v>
      </c>
      <c r="AE77" s="127">
        <f t="shared" si="399"/>
        <v>6344.1510000000126</v>
      </c>
      <c r="AF77" s="127">
        <f t="shared" si="399"/>
        <v>6344.1510000000126</v>
      </c>
      <c r="AG77" s="127">
        <f t="shared" si="399"/>
        <v>6344.1510000000126</v>
      </c>
      <c r="AH77" s="127">
        <f t="shared" si="399"/>
        <v>6344.1510000000126</v>
      </c>
      <c r="AI77" s="127">
        <f t="shared" si="399"/>
        <v>6344.1510000000126</v>
      </c>
      <c r="AJ77" s="127">
        <f t="shared" si="399"/>
        <v>6344.1510000000126</v>
      </c>
      <c r="AK77" s="127">
        <f t="shared" si="399"/>
        <v>6344.1510000000126</v>
      </c>
      <c r="AL77" s="127">
        <f t="shared" si="399"/>
        <v>6344.1510000000126</v>
      </c>
      <c r="AM77" s="127">
        <f t="shared" si="399"/>
        <v>6344.1510000000126</v>
      </c>
      <c r="AN77" s="127">
        <f t="shared" si="399"/>
        <v>6344.1510000000126</v>
      </c>
      <c r="AO77" s="127">
        <f t="shared" si="399"/>
        <v>6344.1510000000126</v>
      </c>
      <c r="AP77" s="127">
        <f t="shared" si="399"/>
        <v>6344.1510000000126</v>
      </c>
      <c r="AQ77" s="127">
        <f t="shared" si="399"/>
        <v>6344.1510000000126</v>
      </c>
      <c r="AR77" s="127">
        <f t="shared" si="399"/>
        <v>6344.1510000000126</v>
      </c>
      <c r="AS77" s="127">
        <f t="shared" si="399"/>
        <v>6344.1510000000126</v>
      </c>
      <c r="AT77" s="127">
        <f t="shared" si="399"/>
        <v>6344.1510000000126</v>
      </c>
      <c r="AU77" s="127">
        <f t="shared" si="399"/>
        <v>6344.1510000000126</v>
      </c>
      <c r="AV77" s="127">
        <f t="shared" si="399"/>
        <v>6344.1510000000126</v>
      </c>
      <c r="AW77" s="127">
        <f t="shared" si="399"/>
        <v>6344.1510000000126</v>
      </c>
      <c r="AX77" s="127">
        <f t="shared" si="399"/>
        <v>6344.1510000000126</v>
      </c>
      <c r="AY77" s="127">
        <f t="shared" si="399"/>
        <v>6344.1510000000126</v>
      </c>
      <c r="AZ77" s="127">
        <f t="shared" si="399"/>
        <v>6344.1510000000126</v>
      </c>
      <c r="BA77" s="127">
        <f t="shared" si="399"/>
        <v>6344.1510000000126</v>
      </c>
      <c r="BB77" s="127">
        <f t="shared" si="399"/>
        <v>6344.1510000000126</v>
      </c>
      <c r="BC77" s="127">
        <f t="shared" si="399"/>
        <v>6344.1510000000126</v>
      </c>
      <c r="BD77" s="127">
        <f t="shared" si="399"/>
        <v>6344.1510000000126</v>
      </c>
      <c r="BE77" s="127">
        <f t="shared" si="399"/>
        <v>6344.1510000000126</v>
      </c>
      <c r="BF77" s="127">
        <f t="shared" si="399"/>
        <v>6344.1510000000126</v>
      </c>
      <c r="BG77" s="127">
        <f t="shared" si="399"/>
        <v>6344.1510000000126</v>
      </c>
      <c r="BH77" s="127">
        <f t="shared" si="399"/>
        <v>6344.1510000000126</v>
      </c>
      <c r="BI77" s="127">
        <f t="shared" si="399"/>
        <v>6344.1510000000126</v>
      </c>
      <c r="BJ77" s="127">
        <f t="shared" si="399"/>
        <v>6344.1510000000126</v>
      </c>
      <c r="BK77" s="127">
        <f t="shared" si="399"/>
        <v>6344.1510000000126</v>
      </c>
      <c r="BL77" s="127">
        <f t="shared" si="399"/>
        <v>6344.1510000000126</v>
      </c>
      <c r="BM77" s="127">
        <f t="shared" si="399"/>
        <v>6344.1510000000126</v>
      </c>
      <c r="BN77" s="127">
        <f t="shared" si="399"/>
        <v>6344.1510000000126</v>
      </c>
      <c r="BO77" s="127">
        <f t="shared" si="399"/>
        <v>6344.1510000000126</v>
      </c>
      <c r="BP77" s="127">
        <f t="shared" si="399"/>
        <v>6344.1510000000126</v>
      </c>
      <c r="BQ77" s="127">
        <f t="shared" si="399"/>
        <v>6344.1510000000126</v>
      </c>
      <c r="BR77" s="127">
        <f t="shared" si="399"/>
        <v>6344.1510000000126</v>
      </c>
      <c r="BS77" s="127">
        <f t="shared" si="399"/>
        <v>6344.1510000000126</v>
      </c>
      <c r="BT77" s="127">
        <f t="shared" si="399"/>
        <v>6344.1510000000126</v>
      </c>
      <c r="BU77" s="127">
        <f t="shared" si="399"/>
        <v>6344.1510000000126</v>
      </c>
      <c r="BV77" s="127">
        <f t="shared" si="399"/>
        <v>6344.1510000000126</v>
      </c>
      <c r="BW77" s="127">
        <f t="shared" si="399"/>
        <v>6344.1510000000126</v>
      </c>
      <c r="BX77" s="127">
        <f t="shared" si="399"/>
        <v>6344.1510000000126</v>
      </c>
      <c r="BY77" s="127">
        <f t="shared" si="399"/>
        <v>6344.1510000000126</v>
      </c>
      <c r="BZ77" s="127">
        <f t="shared" si="399"/>
        <v>6344.1510000000126</v>
      </c>
      <c r="CA77" s="127">
        <f t="shared" si="399"/>
        <v>6344.1510000000126</v>
      </c>
      <c r="CB77" s="127">
        <f t="shared" si="399"/>
        <v>6344.1510000000126</v>
      </c>
      <c r="CC77" s="127">
        <f t="shared" si="399"/>
        <v>0</v>
      </c>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row>
    <row r="78" spans="1:129" x14ac:dyDescent="0.45">
      <c r="A78" s="3"/>
      <c r="B78" s="2"/>
      <c r="C78" s="122" t="s">
        <v>266</v>
      </c>
      <c r="D78" s="17"/>
      <c r="E78" s="2"/>
      <c r="F78" s="2"/>
      <c r="G78" s="2"/>
      <c r="H78" s="2"/>
      <c r="I78" s="13"/>
      <c r="J78" s="58"/>
      <c r="K78" s="58"/>
      <c r="L78" s="58"/>
      <c r="M78" s="58"/>
      <c r="N78" s="58"/>
      <c r="O78" s="58"/>
      <c r="P78" s="58"/>
      <c r="Q78" s="58"/>
      <c r="R78" s="58"/>
      <c r="S78" s="58"/>
      <c r="T78" s="58"/>
      <c r="U78" s="97"/>
      <c r="V78" s="58"/>
      <c r="W78" s="58"/>
      <c r="X78" s="58"/>
      <c r="Y78" s="58"/>
      <c r="Z78" s="58"/>
      <c r="AA78" s="58"/>
      <c r="AB78" s="58"/>
      <c r="AC78" s="58"/>
      <c r="AD78" s="58"/>
      <c r="AE78" s="58"/>
      <c r="AF78" s="58"/>
      <c r="AG78" s="129">
        <f>'Plan Moyen Terme (PMT)'!D25-BAU_Liquidité_Dynamique!AG76</f>
        <v>3444.003320000018</v>
      </c>
      <c r="AH78" s="123">
        <f>IF(AND($AG$1&lt;AH$1, AH$1&lt;$F$76),$AG$78,0)</f>
        <v>3444.003320000018</v>
      </c>
      <c r="AI78" s="123">
        <f t="shared" ref="AI78:CC78" si="400">IF(AND($AG$1&lt;AI$1, AI$1&lt;$F$76),$AG$78,0)</f>
        <v>3444.003320000018</v>
      </c>
      <c r="AJ78" s="123">
        <f t="shared" si="400"/>
        <v>3444.003320000018</v>
      </c>
      <c r="AK78" s="123">
        <f t="shared" si="400"/>
        <v>3444.003320000018</v>
      </c>
      <c r="AL78" s="123">
        <f t="shared" si="400"/>
        <v>3444.003320000018</v>
      </c>
      <c r="AM78" s="123">
        <f t="shared" si="400"/>
        <v>3444.003320000018</v>
      </c>
      <c r="AN78" s="123">
        <f t="shared" si="400"/>
        <v>3444.003320000018</v>
      </c>
      <c r="AO78" s="123">
        <f t="shared" si="400"/>
        <v>3444.003320000018</v>
      </c>
      <c r="AP78" s="123">
        <f t="shared" si="400"/>
        <v>3444.003320000018</v>
      </c>
      <c r="AQ78" s="123">
        <f t="shared" si="400"/>
        <v>3444.003320000018</v>
      </c>
      <c r="AR78" s="123">
        <f t="shared" si="400"/>
        <v>3444.003320000018</v>
      </c>
      <c r="AS78" s="123">
        <f t="shared" si="400"/>
        <v>3444.003320000018</v>
      </c>
      <c r="AT78" s="123">
        <f t="shared" si="400"/>
        <v>3444.003320000018</v>
      </c>
      <c r="AU78" s="123">
        <f t="shared" si="400"/>
        <v>3444.003320000018</v>
      </c>
      <c r="AV78" s="123">
        <f t="shared" si="400"/>
        <v>3444.003320000018</v>
      </c>
      <c r="AW78" s="123">
        <f t="shared" si="400"/>
        <v>3444.003320000018</v>
      </c>
      <c r="AX78" s="123">
        <f t="shared" si="400"/>
        <v>3444.003320000018</v>
      </c>
      <c r="AY78" s="123">
        <f t="shared" si="400"/>
        <v>3444.003320000018</v>
      </c>
      <c r="AZ78" s="123">
        <f t="shared" si="400"/>
        <v>3444.003320000018</v>
      </c>
      <c r="BA78" s="123">
        <f t="shared" si="400"/>
        <v>3444.003320000018</v>
      </c>
      <c r="BB78" s="123">
        <f t="shared" si="400"/>
        <v>3444.003320000018</v>
      </c>
      <c r="BC78" s="123">
        <f t="shared" si="400"/>
        <v>3444.003320000018</v>
      </c>
      <c r="BD78" s="123">
        <f t="shared" si="400"/>
        <v>3444.003320000018</v>
      </c>
      <c r="BE78" s="123">
        <f t="shared" si="400"/>
        <v>3444.003320000018</v>
      </c>
      <c r="BF78" s="123">
        <f t="shared" si="400"/>
        <v>3444.003320000018</v>
      </c>
      <c r="BG78" s="123">
        <f t="shared" si="400"/>
        <v>3444.003320000018</v>
      </c>
      <c r="BH78" s="123">
        <f t="shared" si="400"/>
        <v>3444.003320000018</v>
      </c>
      <c r="BI78" s="123">
        <f t="shared" si="400"/>
        <v>3444.003320000018</v>
      </c>
      <c r="BJ78" s="123">
        <f t="shared" si="400"/>
        <v>3444.003320000018</v>
      </c>
      <c r="BK78" s="123">
        <f t="shared" si="400"/>
        <v>3444.003320000018</v>
      </c>
      <c r="BL78" s="123">
        <f t="shared" si="400"/>
        <v>3444.003320000018</v>
      </c>
      <c r="BM78" s="123">
        <f t="shared" si="400"/>
        <v>3444.003320000018</v>
      </c>
      <c r="BN78" s="123">
        <f t="shared" si="400"/>
        <v>3444.003320000018</v>
      </c>
      <c r="BO78" s="123">
        <f t="shared" si="400"/>
        <v>3444.003320000018</v>
      </c>
      <c r="BP78" s="123">
        <f t="shared" si="400"/>
        <v>3444.003320000018</v>
      </c>
      <c r="BQ78" s="123">
        <f t="shared" si="400"/>
        <v>3444.003320000018</v>
      </c>
      <c r="BR78" s="123">
        <f t="shared" si="400"/>
        <v>3444.003320000018</v>
      </c>
      <c r="BS78" s="123">
        <f t="shared" si="400"/>
        <v>3444.003320000018</v>
      </c>
      <c r="BT78" s="123">
        <f t="shared" si="400"/>
        <v>3444.003320000018</v>
      </c>
      <c r="BU78" s="123">
        <f t="shared" si="400"/>
        <v>3444.003320000018</v>
      </c>
      <c r="BV78" s="123">
        <f t="shared" si="400"/>
        <v>3444.003320000018</v>
      </c>
      <c r="BW78" s="123">
        <f t="shared" si="400"/>
        <v>3444.003320000018</v>
      </c>
      <c r="BX78" s="123">
        <f t="shared" si="400"/>
        <v>3444.003320000018</v>
      </c>
      <c r="BY78" s="123">
        <f t="shared" si="400"/>
        <v>3444.003320000018</v>
      </c>
      <c r="BZ78" s="123">
        <f t="shared" si="400"/>
        <v>3444.003320000018</v>
      </c>
      <c r="CA78" s="123">
        <f t="shared" si="400"/>
        <v>3444.003320000018</v>
      </c>
      <c r="CB78" s="123">
        <f t="shared" si="400"/>
        <v>3444.003320000018</v>
      </c>
      <c r="CC78" s="123">
        <f t="shared" si="400"/>
        <v>0</v>
      </c>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row>
    <row r="79" spans="1:129" x14ac:dyDescent="0.45">
      <c r="A79" s="3"/>
      <c r="B79" s="2"/>
      <c r="C79" s="125" t="s">
        <v>267</v>
      </c>
      <c r="D79" s="17"/>
      <c r="E79" s="2"/>
      <c r="F79" s="2"/>
      <c r="G79" s="2"/>
      <c r="H79" s="2"/>
      <c r="I79" s="13"/>
      <c r="J79" s="58"/>
      <c r="K79" s="58"/>
      <c r="L79" s="58"/>
      <c r="M79" s="58"/>
      <c r="N79" s="58"/>
      <c r="O79" s="58"/>
      <c r="P79" s="58"/>
      <c r="Q79" s="58"/>
      <c r="R79" s="58"/>
      <c r="S79" s="58"/>
      <c r="T79" s="58"/>
      <c r="U79" s="97"/>
      <c r="V79" s="58"/>
      <c r="W79" s="58"/>
      <c r="X79" s="58"/>
      <c r="Y79" s="58"/>
      <c r="Z79" s="58"/>
      <c r="AA79" s="58"/>
      <c r="AB79" s="58"/>
      <c r="AC79" s="58"/>
      <c r="AD79" s="58"/>
      <c r="AE79" s="58"/>
      <c r="AF79" s="58"/>
      <c r="AG79" s="103"/>
      <c r="AH79" s="58"/>
      <c r="AI79" s="58"/>
      <c r="AJ79" s="58"/>
      <c r="AK79" s="58"/>
      <c r="AL79" s="58"/>
      <c r="AM79" s="58"/>
      <c r="AN79" s="58"/>
      <c r="AO79" s="58"/>
      <c r="AP79" s="58"/>
      <c r="AQ79" s="58"/>
      <c r="AR79" s="58"/>
      <c r="AS79" s="130">
        <f>'Plan Moyen Terme (PMT)'!E25-BAU_Liquidité_Dynamique!AS76</f>
        <v>116.55586000002222</v>
      </c>
      <c r="AT79" s="128">
        <f>IF(AND($AS$1&lt;AT$1, AT$1&lt;$F$76),$AS$79,0)</f>
        <v>116.55586000002222</v>
      </c>
      <c r="AU79" s="128">
        <f t="shared" ref="AU79:CC79" si="401">IF(AND($AS$1&lt;AU$1, AU$1&lt;$F$76),$AS$79,0)</f>
        <v>116.55586000002222</v>
      </c>
      <c r="AV79" s="128">
        <f t="shared" si="401"/>
        <v>116.55586000002222</v>
      </c>
      <c r="AW79" s="128">
        <f t="shared" si="401"/>
        <v>116.55586000002222</v>
      </c>
      <c r="AX79" s="128">
        <f t="shared" si="401"/>
        <v>116.55586000002222</v>
      </c>
      <c r="AY79" s="128">
        <f t="shared" si="401"/>
        <v>116.55586000002222</v>
      </c>
      <c r="AZ79" s="128">
        <f t="shared" si="401"/>
        <v>116.55586000002222</v>
      </c>
      <c r="BA79" s="128">
        <f t="shared" si="401"/>
        <v>116.55586000002222</v>
      </c>
      <c r="BB79" s="128">
        <f t="shared" si="401"/>
        <v>116.55586000002222</v>
      </c>
      <c r="BC79" s="128">
        <f t="shared" si="401"/>
        <v>116.55586000002222</v>
      </c>
      <c r="BD79" s="128">
        <f t="shared" si="401"/>
        <v>116.55586000002222</v>
      </c>
      <c r="BE79" s="128">
        <f t="shared" si="401"/>
        <v>116.55586000002222</v>
      </c>
      <c r="BF79" s="128">
        <f t="shared" si="401"/>
        <v>116.55586000002222</v>
      </c>
      <c r="BG79" s="128">
        <f t="shared" si="401"/>
        <v>116.55586000002222</v>
      </c>
      <c r="BH79" s="128">
        <f t="shared" si="401"/>
        <v>116.55586000002222</v>
      </c>
      <c r="BI79" s="128">
        <f t="shared" si="401"/>
        <v>116.55586000002222</v>
      </c>
      <c r="BJ79" s="128">
        <f t="shared" si="401"/>
        <v>116.55586000002222</v>
      </c>
      <c r="BK79" s="128">
        <f t="shared" si="401"/>
        <v>116.55586000002222</v>
      </c>
      <c r="BL79" s="128">
        <f t="shared" si="401"/>
        <v>116.55586000002222</v>
      </c>
      <c r="BM79" s="128">
        <f t="shared" si="401"/>
        <v>116.55586000002222</v>
      </c>
      <c r="BN79" s="128">
        <f t="shared" si="401"/>
        <v>116.55586000002222</v>
      </c>
      <c r="BO79" s="128">
        <f t="shared" si="401"/>
        <v>116.55586000002222</v>
      </c>
      <c r="BP79" s="128">
        <f t="shared" si="401"/>
        <v>116.55586000002222</v>
      </c>
      <c r="BQ79" s="128">
        <f t="shared" si="401"/>
        <v>116.55586000002222</v>
      </c>
      <c r="BR79" s="128">
        <f t="shared" si="401"/>
        <v>116.55586000002222</v>
      </c>
      <c r="BS79" s="128">
        <f t="shared" si="401"/>
        <v>116.55586000002222</v>
      </c>
      <c r="BT79" s="128">
        <f t="shared" si="401"/>
        <v>116.55586000002222</v>
      </c>
      <c r="BU79" s="128">
        <f t="shared" si="401"/>
        <v>116.55586000002222</v>
      </c>
      <c r="BV79" s="128">
        <f t="shared" si="401"/>
        <v>116.55586000002222</v>
      </c>
      <c r="BW79" s="128">
        <f t="shared" si="401"/>
        <v>116.55586000002222</v>
      </c>
      <c r="BX79" s="128">
        <f t="shared" si="401"/>
        <v>116.55586000002222</v>
      </c>
      <c r="BY79" s="128">
        <f t="shared" si="401"/>
        <v>116.55586000002222</v>
      </c>
      <c r="BZ79" s="128">
        <f t="shared" si="401"/>
        <v>116.55586000002222</v>
      </c>
      <c r="CA79" s="128">
        <f t="shared" si="401"/>
        <v>116.55586000002222</v>
      </c>
      <c r="CB79" s="128">
        <f t="shared" si="401"/>
        <v>116.55586000002222</v>
      </c>
      <c r="CC79" s="128">
        <f t="shared" si="401"/>
        <v>0</v>
      </c>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row>
    <row r="80" spans="1:129" x14ac:dyDescent="0.45">
      <c r="A80" s="3">
        <v>46022</v>
      </c>
      <c r="B80" s="2" t="s">
        <v>19</v>
      </c>
      <c r="C80" s="4" t="s">
        <v>23</v>
      </c>
      <c r="D80" s="16"/>
      <c r="E80" s="54"/>
      <c r="F80" s="54"/>
      <c r="G80" s="54"/>
      <c r="H80" s="54"/>
      <c r="I80" s="13">
        <f>I81+I85+I89+I93+I97</f>
        <v>25913.849000000002</v>
      </c>
      <c r="J80" s="58">
        <f>SUM(J81:J105)</f>
        <v>25697.900258333335</v>
      </c>
      <c r="K80" s="58">
        <f t="shared" ref="K80:BV80" si="402">SUM(K81:K105)</f>
        <v>25481.951516666664</v>
      </c>
      <c r="L80" s="58">
        <f t="shared" si="402"/>
        <v>25266.002774999997</v>
      </c>
      <c r="M80" s="58">
        <f t="shared" si="402"/>
        <v>25050.054033333334</v>
      </c>
      <c r="N80" s="58">
        <f t="shared" si="402"/>
        <v>24834.105291666667</v>
      </c>
      <c r="O80" s="58">
        <f t="shared" si="402"/>
        <v>24618.15655</v>
      </c>
      <c r="P80" s="58">
        <f t="shared" si="402"/>
        <v>24402.207808333333</v>
      </c>
      <c r="Q80" s="58">
        <f t="shared" si="402"/>
        <v>24186.259066666669</v>
      </c>
      <c r="R80" s="58">
        <f t="shared" si="402"/>
        <v>23970.310325000002</v>
      </c>
      <c r="S80" s="58">
        <f t="shared" si="402"/>
        <v>23754.361583333332</v>
      </c>
      <c r="T80" s="58">
        <f t="shared" si="402"/>
        <v>23538.412841666668</v>
      </c>
      <c r="U80" s="97">
        <f t="shared" si="402"/>
        <v>25914.849000000006</v>
      </c>
      <c r="V80" s="58">
        <f t="shared" si="402"/>
        <v>25674.896694444451</v>
      </c>
      <c r="W80" s="58">
        <f t="shared" si="402"/>
        <v>25434.944388888882</v>
      </c>
      <c r="X80" s="58">
        <f t="shared" si="402"/>
        <v>25194.992083333331</v>
      </c>
      <c r="Y80" s="58">
        <f t="shared" si="402"/>
        <v>24955.03977777778</v>
      </c>
      <c r="Z80" s="58">
        <f t="shared" si="402"/>
        <v>24715.087472222222</v>
      </c>
      <c r="AA80" s="58">
        <f t="shared" si="402"/>
        <v>24475.135166666667</v>
      </c>
      <c r="AB80" s="58">
        <f t="shared" si="402"/>
        <v>24235.182861111112</v>
      </c>
      <c r="AC80" s="58">
        <f t="shared" si="402"/>
        <v>23995.230555555554</v>
      </c>
      <c r="AD80" s="58">
        <f t="shared" si="402"/>
        <v>23755.278249999996</v>
      </c>
      <c r="AE80" s="58">
        <f t="shared" si="402"/>
        <v>23515.325944444445</v>
      </c>
      <c r="AF80" s="58">
        <f t="shared" si="402"/>
        <v>23275.37363888889</v>
      </c>
      <c r="AG80" s="103">
        <f t="shared" si="402"/>
        <v>28219.191133333341</v>
      </c>
      <c r="AH80" s="58">
        <f t="shared" si="402"/>
        <v>27925.241225694444</v>
      </c>
      <c r="AI80" s="58">
        <f t="shared" si="402"/>
        <v>27631.291318055555</v>
      </c>
      <c r="AJ80" s="58">
        <f t="shared" si="402"/>
        <v>27337.341410416666</v>
      </c>
      <c r="AK80" s="58">
        <f t="shared" si="402"/>
        <v>27043.39150277778</v>
      </c>
      <c r="AL80" s="58">
        <f t="shared" si="402"/>
        <v>26749.441595138887</v>
      </c>
      <c r="AM80" s="58">
        <f t="shared" si="402"/>
        <v>26455.491687500002</v>
      </c>
      <c r="AN80" s="58">
        <f t="shared" si="402"/>
        <v>26161.541779861105</v>
      </c>
      <c r="AO80" s="58">
        <f t="shared" si="402"/>
        <v>25867.591872222216</v>
      </c>
      <c r="AP80" s="58">
        <f t="shared" si="402"/>
        <v>25573.641964583334</v>
      </c>
      <c r="AQ80" s="58">
        <f t="shared" si="402"/>
        <v>25279.692056944448</v>
      </c>
      <c r="AR80" s="58">
        <f t="shared" si="402"/>
        <v>24985.742149305552</v>
      </c>
      <c r="AS80" s="109">
        <f t="shared" si="402"/>
        <v>65720.638941666679</v>
      </c>
      <c r="AT80" s="58">
        <f t="shared" si="402"/>
        <v>64938.250382837301</v>
      </c>
      <c r="AU80" s="58">
        <f t="shared" si="402"/>
        <v>64155.86182400793</v>
      </c>
      <c r="AV80" s="58">
        <f t="shared" si="402"/>
        <v>63373.473265178567</v>
      </c>
      <c r="AW80" s="58">
        <f t="shared" si="402"/>
        <v>62591.084706349211</v>
      </c>
      <c r="AX80" s="58">
        <f t="shared" si="402"/>
        <v>61808.69614751984</v>
      </c>
      <c r="AY80" s="58">
        <f t="shared" si="402"/>
        <v>61026.307588690477</v>
      </c>
      <c r="AZ80" s="58">
        <f t="shared" si="402"/>
        <v>60243.919029861121</v>
      </c>
      <c r="BA80" s="58">
        <f t="shared" si="402"/>
        <v>59461.530471031743</v>
      </c>
      <c r="BB80" s="58">
        <f t="shared" si="402"/>
        <v>58679.141912202373</v>
      </c>
      <c r="BC80" s="58">
        <f t="shared" si="402"/>
        <v>57896.753353373017</v>
      </c>
      <c r="BD80" s="58">
        <f t="shared" si="402"/>
        <v>57114.364794543631</v>
      </c>
      <c r="BE80" s="58">
        <f t="shared" si="402"/>
        <v>56331.97623571429</v>
      </c>
      <c r="BF80" s="58">
        <f t="shared" si="402"/>
        <v>55549.587676884912</v>
      </c>
      <c r="BG80" s="58">
        <f t="shared" si="402"/>
        <v>54767.199118055549</v>
      </c>
      <c r="BH80" s="58">
        <f t="shared" si="402"/>
        <v>53984.8105592262</v>
      </c>
      <c r="BI80" s="58">
        <f t="shared" si="402"/>
        <v>53202.422000396815</v>
      </c>
      <c r="BJ80" s="58">
        <f t="shared" si="402"/>
        <v>52420.033441567481</v>
      </c>
      <c r="BK80" s="58">
        <f t="shared" si="402"/>
        <v>51637.644882738088</v>
      </c>
      <c r="BL80" s="58">
        <f t="shared" si="402"/>
        <v>50855.256323908718</v>
      </c>
      <c r="BM80" s="58">
        <f t="shared" si="402"/>
        <v>50072.867765079376</v>
      </c>
      <c r="BN80" s="58">
        <f t="shared" si="402"/>
        <v>49290.479206249998</v>
      </c>
      <c r="BO80" s="58">
        <f t="shared" si="402"/>
        <v>48508.09064742062</v>
      </c>
      <c r="BP80" s="58">
        <f t="shared" si="402"/>
        <v>47725.702088591264</v>
      </c>
      <c r="BQ80" s="58">
        <f t="shared" si="402"/>
        <v>46943.313529761908</v>
      </c>
      <c r="BR80" s="58">
        <f t="shared" si="402"/>
        <v>46160.924970932538</v>
      </c>
      <c r="BS80" s="58">
        <f t="shared" si="402"/>
        <v>45378.536412103174</v>
      </c>
      <c r="BT80" s="58">
        <f t="shared" si="402"/>
        <v>44596.147853273811</v>
      </c>
      <c r="BU80" s="58">
        <f t="shared" si="402"/>
        <v>43813.75929444444</v>
      </c>
      <c r="BV80" s="58">
        <f t="shared" si="402"/>
        <v>43031.370735615084</v>
      </c>
      <c r="BW80" s="58">
        <f t="shared" ref="BW80:DY80" si="403">SUM(BW81:BW105)</f>
        <v>42248.982176785721</v>
      </c>
      <c r="BX80" s="58">
        <f t="shared" si="403"/>
        <v>41466.593617956343</v>
      </c>
      <c r="BY80" s="58">
        <f t="shared" si="403"/>
        <v>40684.205059126994</v>
      </c>
      <c r="BZ80" s="58">
        <f t="shared" si="403"/>
        <v>39901.816500297602</v>
      </c>
      <c r="CA80" s="58">
        <f t="shared" si="403"/>
        <v>39119.427941468268</v>
      </c>
      <c r="CB80" s="58">
        <f t="shared" si="403"/>
        <v>38337.039382638897</v>
      </c>
      <c r="CC80" s="58">
        <f t="shared" si="403"/>
        <v>37554.650823809519</v>
      </c>
      <c r="CD80" s="58">
        <f t="shared" si="403"/>
        <v>36772.262264980171</v>
      </c>
      <c r="CE80" s="58">
        <f t="shared" si="403"/>
        <v>35989.873706150793</v>
      </c>
      <c r="CF80" s="58">
        <f t="shared" si="403"/>
        <v>35207.485147321422</v>
      </c>
      <c r="CG80" s="58">
        <f t="shared" si="403"/>
        <v>34425.096588492066</v>
      </c>
      <c r="CH80" s="58">
        <f t="shared" si="403"/>
        <v>33642.708029662695</v>
      </c>
      <c r="CI80" s="58">
        <f t="shared" si="403"/>
        <v>32860.319470833339</v>
      </c>
      <c r="CJ80" s="58">
        <f t="shared" si="403"/>
        <v>32077.930912003965</v>
      </c>
      <c r="CK80" s="58">
        <f t="shared" si="403"/>
        <v>31295.542353174606</v>
      </c>
      <c r="CL80" s="58">
        <f t="shared" si="403"/>
        <v>30513.153794345239</v>
      </c>
      <c r="CM80" s="58">
        <f t="shared" si="403"/>
        <v>29730.765235515872</v>
      </c>
      <c r="CN80" s="58">
        <f t="shared" si="403"/>
        <v>28948.376676686508</v>
      </c>
      <c r="CO80" s="58">
        <f t="shared" si="403"/>
        <v>28165.988117857145</v>
      </c>
      <c r="CP80" s="58">
        <f t="shared" si="403"/>
        <v>27383.599559027774</v>
      </c>
      <c r="CQ80" s="58">
        <f t="shared" si="403"/>
        <v>26601.211000198407</v>
      </c>
      <c r="CR80" s="58">
        <f t="shared" si="403"/>
        <v>25818.822441369044</v>
      </c>
      <c r="CS80" s="58">
        <f t="shared" si="403"/>
        <v>25036.433882539688</v>
      </c>
      <c r="CT80" s="58">
        <f t="shared" si="403"/>
        <v>24254.04532371031</v>
      </c>
      <c r="CU80" s="58">
        <f t="shared" si="403"/>
        <v>23471.656764880954</v>
      </c>
      <c r="CV80" s="58">
        <f t="shared" si="403"/>
        <v>22689.268206051587</v>
      </c>
      <c r="CW80" s="58">
        <f t="shared" si="403"/>
        <v>21906.87964722222</v>
      </c>
      <c r="CX80" s="58">
        <f t="shared" si="403"/>
        <v>21124.491088392861</v>
      </c>
      <c r="CY80" s="58">
        <f t="shared" si="403"/>
        <v>20342.102529563497</v>
      </c>
      <c r="CZ80" s="58">
        <f t="shared" si="403"/>
        <v>19559.713970734134</v>
      </c>
      <c r="DA80" s="58">
        <f t="shared" si="403"/>
        <v>18777.32541190476</v>
      </c>
      <c r="DB80" s="58">
        <f t="shared" si="403"/>
        <v>17994.936853075396</v>
      </c>
      <c r="DC80" s="58">
        <f t="shared" si="403"/>
        <v>17212.548294246033</v>
      </c>
      <c r="DD80" s="58">
        <f t="shared" si="403"/>
        <v>16430.15973541667</v>
      </c>
      <c r="DE80" s="58">
        <f t="shared" si="403"/>
        <v>15647.771176587303</v>
      </c>
      <c r="DF80" s="58">
        <f t="shared" si="403"/>
        <v>14865.382617757936</v>
      </c>
      <c r="DG80" s="58">
        <f t="shared" si="403"/>
        <v>14082.994058928572</v>
      </c>
      <c r="DH80" s="58">
        <f t="shared" si="403"/>
        <v>13300.605500099204</v>
      </c>
      <c r="DI80" s="58">
        <f t="shared" si="403"/>
        <v>12518.216941269844</v>
      </c>
      <c r="DJ80" s="58">
        <f t="shared" si="403"/>
        <v>11735.828382440477</v>
      </c>
      <c r="DK80" s="58">
        <f t="shared" si="403"/>
        <v>10953.43982361111</v>
      </c>
      <c r="DL80" s="58">
        <f t="shared" si="403"/>
        <v>10171.051264781749</v>
      </c>
      <c r="DM80" s="58">
        <f t="shared" si="403"/>
        <v>9388.6627059523798</v>
      </c>
      <c r="DN80" s="58">
        <f t="shared" si="403"/>
        <v>8606.2741471230165</v>
      </c>
      <c r="DO80" s="58">
        <f t="shared" si="403"/>
        <v>7823.8855882936514</v>
      </c>
      <c r="DP80" s="58">
        <f t="shared" si="403"/>
        <v>7041.4970294642862</v>
      </c>
      <c r="DQ80" s="58">
        <f t="shared" si="403"/>
        <v>6259.108470634922</v>
      </c>
      <c r="DR80" s="58">
        <f t="shared" si="403"/>
        <v>5476.7199118055551</v>
      </c>
      <c r="DS80" s="58">
        <f t="shared" si="403"/>
        <v>4694.3313529761899</v>
      </c>
      <c r="DT80" s="58">
        <f t="shared" si="403"/>
        <v>3911.9427941468257</v>
      </c>
      <c r="DU80" s="58">
        <f t="shared" si="403"/>
        <v>3129.554235317461</v>
      </c>
      <c r="DV80" s="58">
        <f t="shared" si="403"/>
        <v>2347.165676488095</v>
      </c>
      <c r="DW80" s="58">
        <f t="shared" si="403"/>
        <v>1564.7771176587305</v>
      </c>
      <c r="DX80" s="58">
        <f t="shared" si="403"/>
        <v>782.38855882936525</v>
      </c>
      <c r="DY80" s="58">
        <f t="shared" si="403"/>
        <v>0</v>
      </c>
    </row>
    <row r="81" spans="1:129" x14ac:dyDescent="0.45">
      <c r="A81" s="3">
        <v>46022</v>
      </c>
      <c r="B81" s="2" t="s">
        <v>19</v>
      </c>
      <c r="C81" s="6" t="s">
        <v>24</v>
      </c>
      <c r="D81" s="17">
        <v>0</v>
      </c>
      <c r="E81" s="2" t="s">
        <v>43</v>
      </c>
      <c r="F81" s="2">
        <v>120</v>
      </c>
      <c r="G81" s="2" t="s">
        <v>43</v>
      </c>
      <c r="H81" s="2">
        <v>120</v>
      </c>
      <c r="I81" s="14">
        <v>476.541</v>
      </c>
      <c r="J81" s="55">
        <f t="shared" ref="J81:Y105" si="404">IF(J$1&lt;$F81,$I81*(($F81-J$1)/$F81),0)</f>
        <v>472.56982500000004</v>
      </c>
      <c r="K81" s="55">
        <f t="shared" si="404"/>
        <v>468.59864999999996</v>
      </c>
      <c r="L81" s="55">
        <f t="shared" si="404"/>
        <v>464.627475</v>
      </c>
      <c r="M81" s="55">
        <f t="shared" si="404"/>
        <v>460.65629999999999</v>
      </c>
      <c r="N81" s="55">
        <f t="shared" si="404"/>
        <v>456.68512500000003</v>
      </c>
      <c r="O81" s="55">
        <f t="shared" si="404"/>
        <v>452.71394999999995</v>
      </c>
      <c r="P81" s="55">
        <f t="shared" si="404"/>
        <v>448.74277499999999</v>
      </c>
      <c r="Q81" s="55">
        <f t="shared" si="404"/>
        <v>444.77159999999998</v>
      </c>
      <c r="R81" s="55">
        <f t="shared" si="404"/>
        <v>440.80042500000002</v>
      </c>
      <c r="S81" s="55">
        <f t="shared" si="404"/>
        <v>436.82925</v>
      </c>
      <c r="T81" s="55">
        <f t="shared" si="404"/>
        <v>432.85807499999999</v>
      </c>
      <c r="U81" s="96">
        <f t="shared" si="404"/>
        <v>428.88690000000003</v>
      </c>
      <c r="V81" s="55">
        <f t="shared" si="404"/>
        <v>424.91572500000001</v>
      </c>
      <c r="W81" s="55">
        <f t="shared" si="404"/>
        <v>420.94454999999999</v>
      </c>
      <c r="X81" s="55">
        <f t="shared" si="404"/>
        <v>416.97337499999998</v>
      </c>
      <c r="Y81" s="55">
        <f t="shared" si="404"/>
        <v>413.00220000000002</v>
      </c>
      <c r="Z81" s="55">
        <f t="shared" ref="Z81:CK93" si="405">IF(Z$1&lt;$F81,$I81*(($F81-Z$1)/$F81),0)</f>
        <v>409.031025</v>
      </c>
      <c r="AA81" s="55">
        <f t="shared" si="405"/>
        <v>405.05984999999998</v>
      </c>
      <c r="AB81" s="55">
        <f t="shared" si="405"/>
        <v>401.08867500000002</v>
      </c>
      <c r="AC81" s="55">
        <f t="shared" si="405"/>
        <v>397.11750000000001</v>
      </c>
      <c r="AD81" s="55">
        <f t="shared" si="405"/>
        <v>393.14632499999999</v>
      </c>
      <c r="AE81" s="55">
        <f t="shared" si="405"/>
        <v>389.17514999999997</v>
      </c>
      <c r="AF81" s="55">
        <f t="shared" si="405"/>
        <v>385.20397500000001</v>
      </c>
      <c r="AG81" s="102">
        <f t="shared" si="405"/>
        <v>381.2328</v>
      </c>
      <c r="AH81" s="55">
        <f t="shared" si="405"/>
        <v>377.26162499999998</v>
      </c>
      <c r="AI81" s="55">
        <f t="shared" si="405"/>
        <v>373.29045000000002</v>
      </c>
      <c r="AJ81" s="55">
        <f t="shared" si="405"/>
        <v>369.319275</v>
      </c>
      <c r="AK81" s="55">
        <f t="shared" si="405"/>
        <v>365.34810000000004</v>
      </c>
      <c r="AL81" s="55">
        <f t="shared" si="405"/>
        <v>361.37692499999997</v>
      </c>
      <c r="AM81" s="55">
        <f t="shared" si="405"/>
        <v>357.40575000000001</v>
      </c>
      <c r="AN81" s="55">
        <f t="shared" si="405"/>
        <v>353.434575</v>
      </c>
      <c r="AO81" s="55">
        <f t="shared" si="405"/>
        <v>349.46339999999998</v>
      </c>
      <c r="AP81" s="55">
        <f t="shared" si="405"/>
        <v>345.49222499999996</v>
      </c>
      <c r="AQ81" s="55">
        <f t="shared" si="405"/>
        <v>341.52105</v>
      </c>
      <c r="AR81" s="55">
        <f t="shared" si="405"/>
        <v>337.54987500000004</v>
      </c>
      <c r="AS81" s="108">
        <f t="shared" si="405"/>
        <v>333.57869999999997</v>
      </c>
      <c r="AT81" s="55">
        <f t="shared" si="405"/>
        <v>329.60752500000001</v>
      </c>
      <c r="AU81" s="55">
        <f t="shared" si="405"/>
        <v>325.63634999999999</v>
      </c>
      <c r="AV81" s="55">
        <f t="shared" si="405"/>
        <v>321.66517500000003</v>
      </c>
      <c r="AW81" s="55">
        <f t="shared" si="405"/>
        <v>317.69399999999996</v>
      </c>
      <c r="AX81" s="55">
        <f t="shared" si="405"/>
        <v>313.722825</v>
      </c>
      <c r="AY81" s="55">
        <f t="shared" si="405"/>
        <v>309.75164999999998</v>
      </c>
      <c r="AZ81" s="55">
        <f t="shared" si="405"/>
        <v>305.78047500000002</v>
      </c>
      <c r="BA81" s="55">
        <f t="shared" si="405"/>
        <v>301.80930000000001</v>
      </c>
      <c r="BB81" s="55">
        <f t="shared" si="405"/>
        <v>297.83812499999999</v>
      </c>
      <c r="BC81" s="55">
        <f t="shared" si="405"/>
        <v>293.86695000000003</v>
      </c>
      <c r="BD81" s="55">
        <f t="shared" si="405"/>
        <v>289.89577499999996</v>
      </c>
      <c r="BE81" s="55">
        <f t="shared" si="405"/>
        <v>285.9246</v>
      </c>
      <c r="BF81" s="55">
        <f t="shared" si="405"/>
        <v>281.95342499999998</v>
      </c>
      <c r="BG81" s="55">
        <f t="shared" si="405"/>
        <v>277.98225000000002</v>
      </c>
      <c r="BH81" s="55">
        <f t="shared" si="405"/>
        <v>274.01107500000001</v>
      </c>
      <c r="BI81" s="55">
        <f t="shared" si="405"/>
        <v>270.03989999999999</v>
      </c>
      <c r="BJ81" s="55">
        <f t="shared" si="405"/>
        <v>266.06872500000003</v>
      </c>
      <c r="BK81" s="55">
        <f t="shared" si="405"/>
        <v>262.09755000000001</v>
      </c>
      <c r="BL81" s="55">
        <f t="shared" si="405"/>
        <v>258.126375</v>
      </c>
      <c r="BM81" s="55">
        <f t="shared" si="405"/>
        <v>254.15520000000001</v>
      </c>
      <c r="BN81" s="55">
        <f t="shared" si="405"/>
        <v>250.18402500000002</v>
      </c>
      <c r="BO81" s="55">
        <f t="shared" si="405"/>
        <v>246.21285000000003</v>
      </c>
      <c r="BP81" s="55">
        <f t="shared" si="405"/>
        <v>242.24167499999999</v>
      </c>
      <c r="BQ81" s="55">
        <f t="shared" si="405"/>
        <v>238.2705</v>
      </c>
      <c r="BR81" s="55">
        <f t="shared" si="405"/>
        <v>234.29932499999998</v>
      </c>
      <c r="BS81" s="55">
        <f t="shared" si="405"/>
        <v>230.32814999999999</v>
      </c>
      <c r="BT81" s="55">
        <f t="shared" si="405"/>
        <v>226.35697499999998</v>
      </c>
      <c r="BU81" s="55">
        <f t="shared" si="405"/>
        <v>222.38579999999999</v>
      </c>
      <c r="BV81" s="55">
        <f t="shared" si="405"/>
        <v>218.414625</v>
      </c>
      <c r="BW81" s="55">
        <f t="shared" si="405"/>
        <v>214.44345000000001</v>
      </c>
      <c r="BX81" s="55">
        <f t="shared" si="405"/>
        <v>210.472275</v>
      </c>
      <c r="BY81" s="55">
        <f t="shared" si="405"/>
        <v>206.50110000000001</v>
      </c>
      <c r="BZ81" s="55">
        <f t="shared" si="405"/>
        <v>202.52992499999999</v>
      </c>
      <c r="CA81" s="55">
        <f t="shared" si="405"/>
        <v>198.55875</v>
      </c>
      <c r="CB81" s="55">
        <f t="shared" si="405"/>
        <v>194.58757499999999</v>
      </c>
      <c r="CC81" s="55">
        <f t="shared" si="405"/>
        <v>190.6164</v>
      </c>
      <c r="CD81" s="55">
        <f t="shared" si="405"/>
        <v>186.64522500000001</v>
      </c>
      <c r="CE81" s="55">
        <f t="shared" si="405"/>
        <v>182.67405000000002</v>
      </c>
      <c r="CF81" s="55">
        <f t="shared" si="405"/>
        <v>178.70287500000001</v>
      </c>
      <c r="CG81" s="55">
        <f t="shared" si="405"/>
        <v>174.73169999999999</v>
      </c>
      <c r="CH81" s="55">
        <f t="shared" si="405"/>
        <v>170.760525</v>
      </c>
      <c r="CI81" s="55">
        <f t="shared" si="405"/>
        <v>166.78934999999998</v>
      </c>
      <c r="CJ81" s="55">
        <f t="shared" si="405"/>
        <v>162.818175</v>
      </c>
      <c r="CK81" s="55">
        <f t="shared" si="405"/>
        <v>158.84699999999998</v>
      </c>
      <c r="CL81" s="55">
        <f t="shared" ref="CL81:DY105" si="406">IF(CL$1&lt;$F81,$I81*(($F81-CL$1)/$F81),0)</f>
        <v>154.87582499999999</v>
      </c>
      <c r="CM81" s="55">
        <f t="shared" si="406"/>
        <v>150.90465</v>
      </c>
      <c r="CN81" s="55">
        <f t="shared" si="406"/>
        <v>146.93347500000002</v>
      </c>
      <c r="CO81" s="55">
        <f t="shared" si="406"/>
        <v>142.9623</v>
      </c>
      <c r="CP81" s="55">
        <f t="shared" si="406"/>
        <v>138.99112500000001</v>
      </c>
      <c r="CQ81" s="55">
        <f t="shared" si="406"/>
        <v>135.01994999999999</v>
      </c>
      <c r="CR81" s="55">
        <f t="shared" si="406"/>
        <v>131.04877500000001</v>
      </c>
      <c r="CS81" s="55">
        <f t="shared" si="406"/>
        <v>127.0776</v>
      </c>
      <c r="CT81" s="55">
        <f t="shared" si="406"/>
        <v>123.10642500000002</v>
      </c>
      <c r="CU81" s="55">
        <f t="shared" si="406"/>
        <v>119.13525</v>
      </c>
      <c r="CV81" s="55">
        <f t="shared" si="406"/>
        <v>115.164075</v>
      </c>
      <c r="CW81" s="55">
        <f t="shared" si="406"/>
        <v>111.19289999999999</v>
      </c>
      <c r="CX81" s="55">
        <f t="shared" si="406"/>
        <v>107.22172500000001</v>
      </c>
      <c r="CY81" s="55">
        <f t="shared" si="406"/>
        <v>103.25055</v>
      </c>
      <c r="CZ81" s="55">
        <f t="shared" si="406"/>
        <v>99.279375000000002</v>
      </c>
      <c r="DA81" s="55">
        <f t="shared" si="406"/>
        <v>95.308199999999999</v>
      </c>
      <c r="DB81" s="55">
        <f t="shared" si="406"/>
        <v>91.337025000000011</v>
      </c>
      <c r="DC81" s="55">
        <f t="shared" si="406"/>
        <v>87.365849999999995</v>
      </c>
      <c r="DD81" s="55">
        <f t="shared" si="406"/>
        <v>83.394674999999992</v>
      </c>
      <c r="DE81" s="55">
        <f t="shared" si="406"/>
        <v>79.42349999999999</v>
      </c>
      <c r="DF81" s="55">
        <f t="shared" si="406"/>
        <v>75.452325000000002</v>
      </c>
      <c r="DG81" s="55">
        <f t="shared" si="406"/>
        <v>71.48115</v>
      </c>
      <c r="DH81" s="55">
        <f t="shared" si="406"/>
        <v>67.509974999999997</v>
      </c>
      <c r="DI81" s="55">
        <f t="shared" si="406"/>
        <v>63.538800000000002</v>
      </c>
      <c r="DJ81" s="55">
        <f t="shared" si="406"/>
        <v>59.567625</v>
      </c>
      <c r="DK81" s="55">
        <f t="shared" si="406"/>
        <v>55.596449999999997</v>
      </c>
      <c r="DL81" s="55">
        <f t="shared" si="406"/>
        <v>51.625275000000002</v>
      </c>
      <c r="DM81" s="55">
        <f t="shared" si="406"/>
        <v>47.6541</v>
      </c>
      <c r="DN81" s="55">
        <f t="shared" si="406"/>
        <v>43.682924999999997</v>
      </c>
      <c r="DO81" s="55">
        <f t="shared" si="406"/>
        <v>39.711749999999995</v>
      </c>
      <c r="DP81" s="55">
        <f t="shared" si="406"/>
        <v>35.740575</v>
      </c>
      <c r="DQ81" s="55">
        <f t="shared" si="406"/>
        <v>31.769400000000001</v>
      </c>
      <c r="DR81" s="55">
        <f t="shared" si="406"/>
        <v>27.798224999999999</v>
      </c>
      <c r="DS81" s="55">
        <f t="shared" si="406"/>
        <v>23.82705</v>
      </c>
      <c r="DT81" s="55">
        <f t="shared" si="406"/>
        <v>19.855874999999997</v>
      </c>
      <c r="DU81" s="55">
        <f t="shared" si="406"/>
        <v>15.8847</v>
      </c>
      <c r="DV81" s="55">
        <f t="shared" si="406"/>
        <v>11.913525</v>
      </c>
      <c r="DW81" s="55">
        <f t="shared" si="406"/>
        <v>7.9423500000000002</v>
      </c>
      <c r="DX81" s="55">
        <f t="shared" si="406"/>
        <v>3.9711750000000001</v>
      </c>
      <c r="DY81" s="55">
        <f t="shared" si="406"/>
        <v>0</v>
      </c>
    </row>
    <row r="82" spans="1:129" x14ac:dyDescent="0.45">
      <c r="A82" s="3"/>
      <c r="B82" s="2"/>
      <c r="C82" s="121" t="s">
        <v>265</v>
      </c>
      <c r="D82" s="17"/>
      <c r="E82" s="2"/>
      <c r="F82" s="2"/>
      <c r="G82" s="2"/>
      <c r="H82" s="2"/>
      <c r="I82" s="13"/>
      <c r="J82" s="58"/>
      <c r="K82" s="58"/>
      <c r="L82" s="58"/>
      <c r="M82" s="58"/>
      <c r="N82" s="58"/>
      <c r="O82" s="58"/>
      <c r="P82" s="58"/>
      <c r="Q82" s="58"/>
      <c r="R82" s="58"/>
      <c r="S82" s="58"/>
      <c r="T82" s="58"/>
      <c r="U82" s="119">
        <f>'Plan Moyen Terme (PMT)'!C27-BAU_Liquidité_Dynamique!U81</f>
        <v>47.654099999999971</v>
      </c>
      <c r="V82" s="120">
        <f>IF(AND(U$1&lt;V$1, V$1&lt;=$F81),$U82*($F81-V$1)/($F81-$U$1),0)</f>
        <v>47.212858333333308</v>
      </c>
      <c r="W82" s="120">
        <f>IF(AND(V$1&lt;W$1, W$1&lt;=$F81),$U82*($F81-W$1)/($F81-$U$1),0)</f>
        <v>46.771616666666631</v>
      </c>
      <c r="X82" s="120">
        <f t="shared" ref="X82" si="407">IF(AND(W$1&lt;X$1, X$1&lt;=$F81),$U82*($F81-X$1)/($F81-$U$1),0)</f>
        <v>46.330374999999968</v>
      </c>
      <c r="Y82" s="120">
        <f t="shared" ref="Y82" si="408">IF(AND(X$1&lt;Y$1, Y$1&lt;=$F81),$U82*($F81-Y$1)/($F81-$U$1),0)</f>
        <v>45.889133333333305</v>
      </c>
      <c r="Z82" s="120">
        <f t="shared" ref="Z82" si="409">IF(AND(Y$1&lt;Z$1, Z$1&lt;=$F81),$U82*($F81-Z$1)/($F81-$U$1),0)</f>
        <v>45.447891666666642</v>
      </c>
      <c r="AA82" s="120">
        <f t="shared" ref="AA82" si="410">IF(AND(Z$1&lt;AA$1, AA$1&lt;=$F81),$U82*($F81-AA$1)/($F81-$U$1),0)</f>
        <v>45.006649999999979</v>
      </c>
      <c r="AB82" s="120">
        <f t="shared" ref="AB82" si="411">IF(AND(AA$1&lt;AB$1, AB$1&lt;=$F81),$U82*($F81-AB$1)/($F81-$U$1),0)</f>
        <v>44.565408333333302</v>
      </c>
      <c r="AC82" s="120">
        <f t="shared" ref="AC82" si="412">IF(AND(AB$1&lt;AC$1, AC$1&lt;=$F81),$U82*($F81-AC$1)/($F81-$U$1),0)</f>
        <v>44.124166666666639</v>
      </c>
      <c r="AD82" s="120">
        <f t="shared" ref="AD82" si="413">IF(AND(AC$1&lt;AD$1, AD$1&lt;=$F81),$U82*($F81-AD$1)/($F81-$U$1),0)</f>
        <v>43.682924999999976</v>
      </c>
      <c r="AE82" s="120">
        <f t="shared" ref="AE82" si="414">IF(AND(AD$1&lt;AE$1, AE$1&lt;=$F81),$U82*($F81-AE$1)/($F81-$U$1),0)</f>
        <v>43.241683333333306</v>
      </c>
      <c r="AF82" s="120">
        <f t="shared" ref="AF82" si="415">IF(AND(AE$1&lt;AF$1, AF$1&lt;=$F81),$U82*($F81-AF$1)/($F81-$U$1),0)</f>
        <v>42.800441666666636</v>
      </c>
      <c r="AG82" s="120">
        <f t="shared" ref="AG82" si="416">IF(AND(AF$1&lt;AG$1, AG$1&lt;=$F81),$U82*($F81-AG$1)/($F81-$U$1),0)</f>
        <v>42.359199999999973</v>
      </c>
      <c r="AH82" s="120">
        <f t="shared" ref="AH82" si="417">IF(AND(AG$1&lt;AH$1, AH$1&lt;=$F81),$U82*($F81-AH$1)/($F81-$U$1),0)</f>
        <v>41.91795833333331</v>
      </c>
      <c r="AI82" s="120">
        <f t="shared" ref="AI82" si="418">IF(AND(AH$1&lt;AI$1, AI$1&lt;=$F81),$U82*($F81-AI$1)/($F81-$U$1),0)</f>
        <v>41.476716666666647</v>
      </c>
      <c r="AJ82" s="120">
        <f t="shared" ref="AJ82" si="419">IF(AND(AI$1&lt;AJ$1, AJ$1&lt;=$F81),$U82*($F81-AJ$1)/($F81-$U$1),0)</f>
        <v>41.03547499999997</v>
      </c>
      <c r="AK82" s="120">
        <f t="shared" ref="AK82" si="420">IF(AND(AJ$1&lt;AK$1, AK$1&lt;=$F81),$U82*($F81-AK$1)/($F81-$U$1),0)</f>
        <v>40.594233333333307</v>
      </c>
      <c r="AL82" s="120">
        <f t="shared" ref="AL82" si="421">IF(AND(AK$1&lt;AL$1, AL$1&lt;=$F81),$U82*($F81-AL$1)/($F81-$U$1),0)</f>
        <v>40.152991666666644</v>
      </c>
      <c r="AM82" s="120">
        <f t="shared" ref="AM82" si="422">IF(AND(AL$1&lt;AM$1, AM$1&lt;=$F81),$U82*($F81-AM$1)/($F81-$U$1),0)</f>
        <v>39.711749999999974</v>
      </c>
      <c r="AN82" s="120">
        <f t="shared" ref="AN82" si="423">IF(AND(AM$1&lt;AN$1, AN$1&lt;=$F81),$U82*($F81-AN$1)/($F81-$U$1),0)</f>
        <v>39.270508333333311</v>
      </c>
      <c r="AO82" s="120">
        <f t="shared" ref="AO82" si="424">IF(AND(AN$1&lt;AO$1, AO$1&lt;=$F81),$U82*($F81-AO$1)/($F81-$U$1),0)</f>
        <v>38.829266666666641</v>
      </c>
      <c r="AP82" s="120">
        <f t="shared" ref="AP82" si="425">IF(AND(AO$1&lt;AP$1, AP$1&lt;=$F81),$U82*($F81-AP$1)/($F81-$U$1),0)</f>
        <v>38.388024999999978</v>
      </c>
      <c r="AQ82" s="120">
        <f t="shared" ref="AQ82" si="426">IF(AND(AP$1&lt;AQ$1, AQ$1&lt;=$F81),$U82*($F81-AQ$1)/($F81-$U$1),0)</f>
        <v>37.946783333333315</v>
      </c>
      <c r="AR82" s="120">
        <f t="shared" ref="AR82" si="427">IF(AND(AQ$1&lt;AR$1, AR$1&lt;=$F81),$U82*($F81-AR$1)/($F81-$U$1),0)</f>
        <v>37.505541666666645</v>
      </c>
      <c r="AS82" s="120">
        <f t="shared" ref="AS82" si="428">IF(AND(AR$1&lt;AS$1, AS$1&lt;=$F81),$U82*($F81-AS$1)/($F81-$U$1),0)</f>
        <v>37.064299999999974</v>
      </c>
      <c r="AT82" s="120">
        <f t="shared" ref="AT82" si="429">IF(AND(AS$1&lt;AT$1, AT$1&lt;=$F81),$U82*($F81-AT$1)/($F81-$U$1),0)</f>
        <v>36.623058333333312</v>
      </c>
      <c r="AU82" s="120">
        <f t="shared" ref="AU82" si="430">IF(AND(AT$1&lt;AU$1, AU$1&lt;=$F81),$U82*($F81-AU$1)/($F81-$U$1),0)</f>
        <v>36.181816666666641</v>
      </c>
      <c r="AV82" s="120">
        <f t="shared" ref="AV82" si="431">IF(AND(AU$1&lt;AV$1, AV$1&lt;=$F81),$U82*($F81-AV$1)/($F81-$U$1),0)</f>
        <v>35.740574999999978</v>
      </c>
      <c r="AW82" s="120">
        <f t="shared" ref="AW82" si="432">IF(AND(AV$1&lt;AW$1, AW$1&lt;=$F81),$U82*($F81-AW$1)/($F81-$U$1),0)</f>
        <v>35.299333333333315</v>
      </c>
      <c r="AX82" s="120">
        <f t="shared" ref="AX82" si="433">IF(AND(AW$1&lt;AX$1, AX$1&lt;=$F81),$U82*($F81-AX$1)/($F81-$U$1),0)</f>
        <v>34.858091666666645</v>
      </c>
      <c r="AY82" s="120">
        <f t="shared" ref="AY82" si="434">IF(AND(AX$1&lt;AY$1, AY$1&lt;=$F81),$U82*($F81-AY$1)/($F81-$U$1),0)</f>
        <v>34.416849999999982</v>
      </c>
      <c r="AZ82" s="120">
        <f t="shared" ref="AZ82" si="435">IF(AND(AY$1&lt;AZ$1, AZ$1&lt;=$F81),$U82*($F81-AZ$1)/($F81-$U$1),0)</f>
        <v>33.975608333333312</v>
      </c>
      <c r="BA82" s="120">
        <f t="shared" ref="BA82" si="436">IF(AND(AZ$1&lt;BA$1, BA$1&lt;=$F81),$U82*($F81-BA$1)/($F81-$U$1),0)</f>
        <v>33.534366666666649</v>
      </c>
      <c r="BB82" s="120">
        <f t="shared" ref="BB82" si="437">IF(AND(BA$1&lt;BB$1, BB$1&lt;=$F81),$U82*($F81-BB$1)/($F81-$U$1),0)</f>
        <v>33.093124999999979</v>
      </c>
      <c r="BC82" s="120">
        <f t="shared" ref="BC82" si="438">IF(AND(BB$1&lt;BC$1, BC$1&lt;=$F81),$U82*($F81-BC$1)/($F81-$U$1),0)</f>
        <v>32.651883333333316</v>
      </c>
      <c r="BD82" s="120">
        <f t="shared" ref="BD82" si="439">IF(AND(BC$1&lt;BD$1, BD$1&lt;=$F81),$U82*($F81-BD$1)/($F81-$U$1),0)</f>
        <v>32.210641666666646</v>
      </c>
      <c r="BE82" s="120">
        <f t="shared" ref="BE82" si="440">IF(AND(BD$1&lt;BE$1, BE$1&lt;=$F81),$U82*($F81-BE$1)/($F81-$U$1),0)</f>
        <v>31.76939999999998</v>
      </c>
      <c r="BF82" s="120">
        <f t="shared" ref="BF82" si="441">IF(AND(BE$1&lt;BF$1, BF$1&lt;=$F81),$U82*($F81-BF$1)/($F81-$U$1),0)</f>
        <v>31.328158333333317</v>
      </c>
      <c r="BG82" s="120">
        <f t="shared" ref="BG82" si="442">IF(AND(BF$1&lt;BG$1, BG$1&lt;=$F81),$U82*($F81-BG$1)/($F81-$U$1),0)</f>
        <v>30.886916666666647</v>
      </c>
      <c r="BH82" s="120">
        <f t="shared" ref="BH82" si="443">IF(AND(BG$1&lt;BH$1, BH$1&lt;=$F81),$U82*($F81-BH$1)/($F81-$U$1),0)</f>
        <v>30.44567499999998</v>
      </c>
      <c r="BI82" s="120">
        <f t="shared" ref="BI82" si="444">IF(AND(BH$1&lt;BI$1, BI$1&lt;=$F81),$U82*($F81-BI$1)/($F81-$U$1),0)</f>
        <v>30.004433333333314</v>
      </c>
      <c r="BJ82" s="120">
        <f t="shared" ref="BJ82" si="445">IF(AND(BI$1&lt;BJ$1, BJ$1&lt;=$F81),$U82*($F81-BJ$1)/($F81-$U$1),0)</f>
        <v>29.563191666666651</v>
      </c>
      <c r="BK82" s="120">
        <f t="shared" ref="BK82" si="446">IF(AND(BJ$1&lt;BK$1, BK$1&lt;=$F81),$U82*($F81-BK$1)/($F81-$U$1),0)</f>
        <v>29.121949999999984</v>
      </c>
      <c r="BL82" s="120">
        <f t="shared" ref="BL82" si="447">IF(AND(BK$1&lt;BL$1, BL$1&lt;=$F81),$U82*($F81-BL$1)/($F81-$U$1),0)</f>
        <v>28.680708333333314</v>
      </c>
      <c r="BM82" s="120">
        <f t="shared" ref="BM82" si="448">IF(AND(BL$1&lt;BM$1, BM$1&lt;=$F81),$U82*($F81-BM$1)/($F81-$U$1),0)</f>
        <v>28.239466666666651</v>
      </c>
      <c r="BN82" s="120">
        <f t="shared" ref="BN82" si="449">IF(AND(BM$1&lt;BN$1, BN$1&lt;=$F81),$U82*($F81-BN$1)/($F81-$U$1),0)</f>
        <v>27.798224999999984</v>
      </c>
      <c r="BO82" s="120">
        <f t="shared" ref="BO82" si="450">IF(AND(BN$1&lt;BO$1, BO$1&lt;=$F81),$U82*($F81-BO$1)/($F81-$U$1),0)</f>
        <v>27.356983333333318</v>
      </c>
      <c r="BP82" s="120">
        <f t="shared" ref="BP82" si="451">IF(AND(BO$1&lt;BP$1, BP$1&lt;=$F81),$U82*($F81-BP$1)/($F81-$U$1),0)</f>
        <v>26.915741666666648</v>
      </c>
      <c r="BQ82" s="120">
        <f t="shared" ref="BQ82" si="452">IF(AND(BP$1&lt;BQ$1, BQ$1&lt;=$F81),$U82*($F81-BQ$1)/($F81-$U$1),0)</f>
        <v>26.474499999999985</v>
      </c>
      <c r="BR82" s="120">
        <f t="shared" ref="BR82" si="453">IF(AND(BQ$1&lt;BR$1, BR$1&lt;=$F81),$U82*($F81-BR$1)/($F81-$U$1),0)</f>
        <v>26.033258333333318</v>
      </c>
      <c r="BS82" s="120">
        <f t="shared" ref="BS82" si="454">IF(AND(BR$1&lt;BS$1, BS$1&lt;=$F81),$U82*($F81-BS$1)/($F81-$U$1),0)</f>
        <v>25.592016666666652</v>
      </c>
      <c r="BT82" s="120">
        <f t="shared" ref="BT82" si="455">IF(AND(BS$1&lt;BT$1, BT$1&lt;=$F81),$U82*($F81-BT$1)/($F81-$U$1),0)</f>
        <v>25.150774999999982</v>
      </c>
      <c r="BU82" s="120">
        <f t="shared" ref="BU82" si="456">IF(AND(BT$1&lt;BU$1, BU$1&lt;=$F81),$U82*($F81-BU$1)/($F81-$U$1),0)</f>
        <v>24.709533333333319</v>
      </c>
      <c r="BV82" s="120">
        <f t="shared" ref="BV82" si="457">IF(AND(BU$1&lt;BV$1, BV$1&lt;=$F81),$U82*($F81-BV$1)/($F81-$U$1),0)</f>
        <v>24.268291666666656</v>
      </c>
      <c r="BW82" s="120">
        <f t="shared" ref="BW82" si="458">IF(AND(BV$1&lt;BW$1, BW$1&lt;=$F81),$U82*($F81-BW$1)/($F81-$U$1),0)</f>
        <v>23.827049999999986</v>
      </c>
      <c r="BX82" s="120">
        <f t="shared" ref="BX82" si="459">IF(AND(BW$1&lt;BX$1, BX$1&lt;=$F81),$U82*($F81-BX$1)/($F81-$U$1),0)</f>
        <v>23.385808333333316</v>
      </c>
      <c r="BY82" s="120">
        <f t="shared" ref="BY82" si="460">IF(AND(BX$1&lt;BY$1, BY$1&lt;=$F81),$U82*($F81-BY$1)/($F81-$U$1),0)</f>
        <v>22.944566666666653</v>
      </c>
      <c r="BZ82" s="120">
        <f t="shared" ref="BZ82" si="461">IF(AND(BY$1&lt;BZ$1, BZ$1&lt;=$F81),$U82*($F81-BZ$1)/($F81-$U$1),0)</f>
        <v>22.50332499999999</v>
      </c>
      <c r="CA82" s="120">
        <f t="shared" ref="CA82" si="462">IF(AND(BZ$1&lt;CA$1, CA$1&lt;=$F81),$U82*($F81-CA$1)/($F81-$U$1),0)</f>
        <v>22.06208333333332</v>
      </c>
      <c r="CB82" s="120">
        <f t="shared" ref="CB82" si="463">IF(AND(CA$1&lt;CB$1, CB$1&lt;=$F81),$U82*($F81-CB$1)/($F81-$U$1),0)</f>
        <v>21.620841666666653</v>
      </c>
      <c r="CC82" s="120">
        <f t="shared" ref="CC82" si="464">IF(AND(CB$1&lt;CC$1, CC$1&lt;=$F81),$U82*($F81-CC$1)/($F81-$U$1),0)</f>
        <v>21.179599999999986</v>
      </c>
      <c r="CD82" s="120">
        <f t="shared" ref="CD82" si="465">IF(AND(CC$1&lt;CD$1, CD$1&lt;=$F81),$U82*($F81-CD$1)/($F81-$U$1),0)</f>
        <v>20.738358333333323</v>
      </c>
      <c r="CE82" s="120">
        <f t="shared" ref="CE82" si="466">IF(AND(CD$1&lt;CE$1, CE$1&lt;=$F81),$U82*($F81-CE$1)/($F81-$U$1),0)</f>
        <v>20.297116666666653</v>
      </c>
      <c r="CF82" s="120">
        <f t="shared" ref="CF82" si="467">IF(AND(CE$1&lt;CF$1, CF$1&lt;=$F81),$U82*($F81-CF$1)/($F81-$U$1),0)</f>
        <v>19.855874999999987</v>
      </c>
      <c r="CG82" s="120">
        <f t="shared" ref="CG82" si="468">IF(AND(CF$1&lt;CG$1, CG$1&lt;=$F81),$U82*($F81-CG$1)/($F81-$U$1),0)</f>
        <v>19.41463333333332</v>
      </c>
      <c r="CH82" s="120">
        <f t="shared" ref="CH82" si="469">IF(AND(CG$1&lt;CH$1, CH$1&lt;=$F81),$U82*($F81-CH$1)/($F81-$U$1),0)</f>
        <v>18.973391666666657</v>
      </c>
      <c r="CI82" s="120">
        <f t="shared" ref="CI82" si="470">IF(AND(CH$1&lt;CI$1, CI$1&lt;=$F81),$U82*($F81-CI$1)/($F81-$U$1),0)</f>
        <v>18.532149999999987</v>
      </c>
      <c r="CJ82" s="120">
        <f t="shared" ref="CJ82" si="471">IF(AND(CI$1&lt;CJ$1, CJ$1&lt;=$F81),$U82*($F81-CJ$1)/($F81-$U$1),0)</f>
        <v>18.090908333333321</v>
      </c>
      <c r="CK82" s="120">
        <f t="shared" ref="CK82" si="472">IF(AND(CJ$1&lt;CK$1, CK$1&lt;=$F81),$U82*($F81-CK$1)/($F81-$U$1),0)</f>
        <v>17.649666666666658</v>
      </c>
      <c r="CL82" s="120">
        <f t="shared" ref="CL82" si="473">IF(AND(CK$1&lt;CL$1, CL$1&lt;=$F81),$U82*($F81-CL$1)/($F81-$U$1),0)</f>
        <v>17.208424999999991</v>
      </c>
      <c r="CM82" s="120">
        <f t="shared" ref="CM82" si="474">IF(AND(CL$1&lt;CM$1, CM$1&lt;=$F81),$U82*($F81-CM$1)/($F81-$U$1),0)</f>
        <v>16.767183333333325</v>
      </c>
      <c r="CN82" s="120">
        <f t="shared" ref="CN82" si="475">IF(AND(CM$1&lt;CN$1, CN$1&lt;=$F81),$U82*($F81-CN$1)/($F81-$U$1),0)</f>
        <v>16.325941666666658</v>
      </c>
      <c r="CO82" s="120">
        <f t="shared" ref="CO82" si="476">IF(AND(CN$1&lt;CO$1, CO$1&lt;=$F81),$U82*($F81-CO$1)/($F81-$U$1),0)</f>
        <v>15.88469999999999</v>
      </c>
      <c r="CP82" s="120">
        <f t="shared" ref="CP82" si="477">IF(AND(CO$1&lt;CP$1, CP$1&lt;=$F81),$U82*($F81-CP$1)/($F81-$U$1),0)</f>
        <v>15.443458333333323</v>
      </c>
      <c r="CQ82" s="120">
        <f t="shared" ref="CQ82" si="478">IF(AND(CP$1&lt;CQ$1, CQ$1&lt;=$F81),$U82*($F81-CQ$1)/($F81-$U$1),0)</f>
        <v>15.002216666666657</v>
      </c>
      <c r="CR82" s="120">
        <f t="shared" ref="CR82" si="479">IF(AND(CQ$1&lt;CR$1, CR$1&lt;=$F81),$U82*($F81-CR$1)/($F81-$U$1),0)</f>
        <v>14.560974999999992</v>
      </c>
      <c r="CS82" s="120">
        <f t="shared" ref="CS82" si="480">IF(AND(CR$1&lt;CS$1, CS$1&lt;=$F81),$U82*($F81-CS$1)/($F81-$U$1),0)</f>
        <v>14.119733333333325</v>
      </c>
      <c r="CT82" s="120">
        <f t="shared" ref="CT82" si="481">IF(AND(CS$1&lt;CT$1, CT$1&lt;=$F81),$U82*($F81-CT$1)/($F81-$U$1),0)</f>
        <v>13.678491666666659</v>
      </c>
      <c r="CU82" s="120">
        <f t="shared" ref="CU82" si="482">IF(AND(CT$1&lt;CU$1, CU$1&lt;=$F81),$U82*($F81-CU$1)/($F81-$U$1),0)</f>
        <v>13.237249999999992</v>
      </c>
      <c r="CV82" s="120">
        <f t="shared" ref="CV82" si="483">IF(AND(CU$1&lt;CV$1, CV$1&lt;=$F81),$U82*($F81-CV$1)/($F81-$U$1),0)</f>
        <v>12.796008333333326</v>
      </c>
      <c r="CW82" s="120">
        <f t="shared" ref="CW82" si="484">IF(AND(CV$1&lt;CW$1, CW$1&lt;=$F81),$U82*($F81-CW$1)/($F81-$U$1),0)</f>
        <v>12.354766666666659</v>
      </c>
      <c r="CX82" s="120">
        <f t="shared" ref="CX82" si="485">IF(AND(CW$1&lt;CX$1, CX$1&lt;=$F81),$U82*($F81-CX$1)/($F81-$U$1),0)</f>
        <v>11.913524999999993</v>
      </c>
      <c r="CY82" s="120">
        <f t="shared" ref="CY82" si="486">IF(AND(CX$1&lt;CY$1, CY$1&lt;=$F81),$U82*($F81-CY$1)/($F81-$U$1),0)</f>
        <v>11.472283333333326</v>
      </c>
      <c r="CZ82" s="120">
        <f t="shared" ref="CZ82" si="487">IF(AND(CY$1&lt;CZ$1, CZ$1&lt;=$F81),$U82*($F81-CZ$1)/($F81-$U$1),0)</f>
        <v>11.03104166666666</v>
      </c>
      <c r="DA82" s="120">
        <f t="shared" ref="DA82" si="488">IF(AND(CZ$1&lt;DA$1, DA$1&lt;=$F81),$U82*($F81-DA$1)/($F81-$U$1),0)</f>
        <v>10.589799999999993</v>
      </c>
      <c r="DB82" s="120">
        <f t="shared" ref="DB82" si="489">IF(AND(DA$1&lt;DB$1, DB$1&lt;=$F81),$U82*($F81-DB$1)/($F81-$U$1),0)</f>
        <v>10.148558333333327</v>
      </c>
      <c r="DC82" s="120">
        <f t="shared" ref="DC82" si="490">IF(AND(DB$1&lt;DC$1, DC$1&lt;=$F81),$U82*($F81-DC$1)/($F81-$U$1),0)</f>
        <v>9.7073166666666602</v>
      </c>
      <c r="DD82" s="120">
        <f t="shared" ref="DD82" si="491">IF(AND(DC$1&lt;DD$1, DD$1&lt;=$F81),$U82*($F81-DD$1)/($F81-$U$1),0)</f>
        <v>9.2660749999999936</v>
      </c>
      <c r="DE82" s="120">
        <f t="shared" ref="DE82" si="492">IF(AND(DD$1&lt;DE$1, DE$1&lt;=$F81),$U82*($F81-DE$1)/($F81-$U$1),0)</f>
        <v>8.8248333333333289</v>
      </c>
      <c r="DF82" s="120">
        <f t="shared" ref="DF82" si="493">IF(AND(DE$1&lt;DF$1, DF$1&lt;=$F81),$U82*($F81-DF$1)/($F81-$U$1),0)</f>
        <v>8.3835916666666623</v>
      </c>
      <c r="DG82" s="120">
        <f t="shared" ref="DG82" si="494">IF(AND(DF$1&lt;DG$1, DG$1&lt;=$F81),$U82*($F81-DG$1)/($F81-$U$1),0)</f>
        <v>7.9423499999999949</v>
      </c>
      <c r="DH82" s="120">
        <f t="shared" ref="DH82" si="495">IF(AND(DG$1&lt;DH$1, DH$1&lt;=$F81),$U82*($F81-DH$1)/($F81-$U$1),0)</f>
        <v>7.5011083333333284</v>
      </c>
      <c r="DI82" s="120">
        <f t="shared" ref="DI82" si="496">IF(AND(DH$1&lt;DI$1, DI$1&lt;=$F81),$U82*($F81-DI$1)/($F81-$U$1),0)</f>
        <v>7.0598666666666627</v>
      </c>
      <c r="DJ82" s="120">
        <f t="shared" ref="DJ82" si="497">IF(AND(DI$1&lt;DJ$1, DJ$1&lt;=$F81),$U82*($F81-DJ$1)/($F81-$U$1),0)</f>
        <v>6.6186249999999962</v>
      </c>
      <c r="DK82" s="120">
        <f t="shared" ref="DK82" si="498">IF(AND(DJ$1&lt;DK$1, DK$1&lt;=$F81),$U82*($F81-DK$1)/($F81-$U$1),0)</f>
        <v>6.1773833333333297</v>
      </c>
      <c r="DL82" s="120">
        <f t="shared" ref="DL82" si="499">IF(AND(DK$1&lt;DL$1, DL$1&lt;=$F81),$U82*($F81-DL$1)/($F81-$U$1),0)</f>
        <v>5.7361416666666631</v>
      </c>
      <c r="DM82" s="120">
        <f t="shared" ref="DM82" si="500">IF(AND(DL$1&lt;DM$1, DM$1&lt;=$F81),$U82*($F81-DM$1)/($F81-$U$1),0)</f>
        <v>5.2948999999999966</v>
      </c>
      <c r="DN82" s="120">
        <f t="shared" ref="DN82" si="501">IF(AND(DM$1&lt;DN$1, DN$1&lt;=$F81),$U82*($F81-DN$1)/($F81-$U$1),0)</f>
        <v>4.8536583333333301</v>
      </c>
      <c r="DO82" s="120">
        <f t="shared" ref="DO82" si="502">IF(AND(DN$1&lt;DO$1, DO$1&lt;=$F81),$U82*($F81-DO$1)/($F81-$U$1),0)</f>
        <v>4.4124166666666644</v>
      </c>
      <c r="DP82" s="120">
        <f t="shared" ref="DP82" si="503">IF(AND(DO$1&lt;DP$1, DP$1&lt;=$F81),$U82*($F81-DP$1)/($F81-$U$1),0)</f>
        <v>3.9711749999999975</v>
      </c>
      <c r="DQ82" s="120">
        <f t="shared" ref="DQ82" si="504">IF(AND(DP$1&lt;DQ$1, DQ$1&lt;=$F81),$U82*($F81-DQ$1)/($F81-$U$1),0)</f>
        <v>3.5299333333333314</v>
      </c>
      <c r="DR82" s="120">
        <f t="shared" ref="DR82" si="505">IF(AND(DQ$1&lt;DR$1, DR$1&lt;=$F81),$U82*($F81-DR$1)/($F81-$U$1),0)</f>
        <v>3.0886916666666648</v>
      </c>
      <c r="DS82" s="120">
        <f t="shared" ref="DS82" si="506">IF(AND(DR$1&lt;DS$1, DS$1&lt;=$F81),$U82*($F81-DS$1)/($F81-$U$1),0)</f>
        <v>2.6474499999999983</v>
      </c>
      <c r="DT82" s="120">
        <f t="shared" ref="DT82" si="507">IF(AND(DS$1&lt;DT$1, DT$1&lt;=$F81),$U82*($F81-DT$1)/($F81-$U$1),0)</f>
        <v>2.2062083333333322</v>
      </c>
      <c r="DU82" s="120">
        <f t="shared" ref="DU82" si="508">IF(AND(DT$1&lt;DU$1, DU$1&lt;=$F81),$U82*($F81-DU$1)/($F81-$U$1),0)</f>
        <v>1.7649666666666657</v>
      </c>
      <c r="DV82" s="120">
        <f t="shared" ref="DV82" si="509">IF(AND(DU$1&lt;DV$1, DV$1&lt;=$F81),$U82*($F81-DV$1)/($F81-$U$1),0)</f>
        <v>1.3237249999999992</v>
      </c>
      <c r="DW82" s="120">
        <f t="shared" ref="DW82" si="510">IF(AND(DV$1&lt;DW$1, DW$1&lt;=$F81),$U82*($F81-DW$1)/($F81-$U$1),0)</f>
        <v>0.88248333333333284</v>
      </c>
      <c r="DX82" s="120">
        <f t="shared" ref="DX82" si="511">IF(AND(DW$1&lt;DX$1, DX$1&lt;=$F81),$U82*($F81-DX$1)/($F81-$U$1),0)</f>
        <v>0.44124166666666642</v>
      </c>
      <c r="DY82" s="120">
        <f t="shared" ref="DY82" si="512">IF(AND(DX$1&lt;DY$1, DY$1&lt;=$F81),$U82*($F81-DY$1)/($F81-$U$1),0)</f>
        <v>0</v>
      </c>
    </row>
    <row r="83" spans="1:129" x14ac:dyDescent="0.45">
      <c r="A83" s="3"/>
      <c r="B83" s="2"/>
      <c r="C83" s="122" t="s">
        <v>266</v>
      </c>
      <c r="D83" s="17"/>
      <c r="E83" s="2"/>
      <c r="F83" s="2"/>
      <c r="G83" s="2"/>
      <c r="H83" s="2"/>
      <c r="I83" s="13"/>
      <c r="J83" s="58"/>
      <c r="K83" s="58"/>
      <c r="L83" s="58"/>
      <c r="M83" s="58"/>
      <c r="N83" s="58"/>
      <c r="O83" s="58"/>
      <c r="P83" s="58"/>
      <c r="Q83" s="58"/>
      <c r="R83" s="58"/>
      <c r="S83" s="58"/>
      <c r="T83" s="58"/>
      <c r="U83" s="95"/>
      <c r="V83" s="91"/>
      <c r="W83" s="91"/>
      <c r="X83" s="91"/>
      <c r="Y83" s="91"/>
      <c r="Z83" s="55"/>
      <c r="AA83" s="55"/>
      <c r="AB83" s="55"/>
      <c r="AC83" s="55"/>
      <c r="AD83" s="55"/>
      <c r="AE83" s="55"/>
      <c r="AF83" s="55"/>
      <c r="AG83" s="129">
        <f>'Plan Moyen Terme (PMT)'!D27-BAU_Liquidité_Dynamique!AG81</f>
        <v>95.308199999999999</v>
      </c>
      <c r="AH83" s="124">
        <f>IF(AND(AG$1&lt;AH$1, AH$1&lt;=$F81),$AG83*($F81-AH$1)/($F81-$AG$1),0)</f>
        <v>94.315406250000009</v>
      </c>
      <c r="AI83" s="124">
        <f>IF(AND(AH$1&lt;AI$1, AI$1&lt;=$F81),$AG83*($F81-AI$1)/($F81-$AG$1),0)</f>
        <v>93.322612499999991</v>
      </c>
      <c r="AJ83" s="124">
        <f t="shared" ref="AJ83:CU83" si="513">IF(AND(AI$1&lt;AJ$1, AJ$1&lt;=$F81),$AG83*($F81-AJ$1)/($F81-$AG$1),0)</f>
        <v>92.329818750000001</v>
      </c>
      <c r="AK83" s="124">
        <f t="shared" si="513"/>
        <v>91.337024999999997</v>
      </c>
      <c r="AL83" s="124">
        <f t="shared" si="513"/>
        <v>90.344231250000007</v>
      </c>
      <c r="AM83" s="124">
        <f t="shared" si="513"/>
        <v>89.351437499999989</v>
      </c>
      <c r="AN83" s="124">
        <f t="shared" si="513"/>
        <v>88.358643749999999</v>
      </c>
      <c r="AO83" s="124">
        <f t="shared" si="513"/>
        <v>87.365850000000009</v>
      </c>
      <c r="AP83" s="124">
        <f t="shared" si="513"/>
        <v>86.373056249999991</v>
      </c>
      <c r="AQ83" s="124">
        <f t="shared" si="513"/>
        <v>85.380262500000001</v>
      </c>
      <c r="AR83" s="124">
        <f t="shared" si="513"/>
        <v>84.387468749999996</v>
      </c>
      <c r="AS83" s="124">
        <f t="shared" si="513"/>
        <v>83.394674999999992</v>
      </c>
      <c r="AT83" s="124">
        <f t="shared" si="513"/>
        <v>82.401881250000002</v>
      </c>
      <c r="AU83" s="124">
        <f t="shared" si="513"/>
        <v>81.409087499999998</v>
      </c>
      <c r="AV83" s="124">
        <f t="shared" si="513"/>
        <v>80.416293750000008</v>
      </c>
      <c r="AW83" s="124">
        <f t="shared" si="513"/>
        <v>79.423500000000004</v>
      </c>
      <c r="AX83" s="124">
        <f t="shared" si="513"/>
        <v>78.43070625</v>
      </c>
      <c r="AY83" s="124">
        <f t="shared" si="513"/>
        <v>77.437912499999996</v>
      </c>
      <c r="AZ83" s="124">
        <f t="shared" si="513"/>
        <v>76.445118749999992</v>
      </c>
      <c r="BA83" s="124">
        <f t="shared" si="513"/>
        <v>75.452325000000002</v>
      </c>
      <c r="BB83" s="124">
        <f t="shared" si="513"/>
        <v>74.459531249999998</v>
      </c>
      <c r="BC83" s="124">
        <f t="shared" si="513"/>
        <v>73.466737500000008</v>
      </c>
      <c r="BD83" s="124">
        <f t="shared" si="513"/>
        <v>72.473943750000004</v>
      </c>
      <c r="BE83" s="124">
        <f t="shared" si="513"/>
        <v>71.48115</v>
      </c>
      <c r="BF83" s="124">
        <f t="shared" si="513"/>
        <v>70.488356249999995</v>
      </c>
      <c r="BG83" s="124">
        <f t="shared" si="513"/>
        <v>69.495562499999991</v>
      </c>
      <c r="BH83" s="124">
        <f t="shared" si="513"/>
        <v>68.502768750000001</v>
      </c>
      <c r="BI83" s="124">
        <f t="shared" si="513"/>
        <v>67.509974999999997</v>
      </c>
      <c r="BJ83" s="124">
        <f t="shared" si="513"/>
        <v>66.517181250000007</v>
      </c>
      <c r="BK83" s="124">
        <f t="shared" si="513"/>
        <v>65.524387500000003</v>
      </c>
      <c r="BL83" s="124">
        <f t="shared" si="513"/>
        <v>64.531593749999999</v>
      </c>
      <c r="BM83" s="124">
        <f t="shared" si="513"/>
        <v>63.538800000000002</v>
      </c>
      <c r="BN83" s="124">
        <f t="shared" si="513"/>
        <v>62.546006249999998</v>
      </c>
      <c r="BO83" s="124">
        <f t="shared" si="513"/>
        <v>61.553212500000001</v>
      </c>
      <c r="BP83" s="124">
        <f t="shared" si="513"/>
        <v>60.560418749999997</v>
      </c>
      <c r="BQ83" s="124">
        <f t="shared" si="513"/>
        <v>59.567625</v>
      </c>
      <c r="BR83" s="124">
        <f t="shared" si="513"/>
        <v>58.574831249999995</v>
      </c>
      <c r="BS83" s="124">
        <f t="shared" si="513"/>
        <v>57.582037500000006</v>
      </c>
      <c r="BT83" s="124">
        <f t="shared" si="513"/>
        <v>56.589243750000001</v>
      </c>
      <c r="BU83" s="124">
        <f t="shared" si="513"/>
        <v>55.596450000000004</v>
      </c>
      <c r="BV83" s="124">
        <f t="shared" si="513"/>
        <v>54.60365625</v>
      </c>
      <c r="BW83" s="124">
        <f t="shared" si="513"/>
        <v>53.610862499999996</v>
      </c>
      <c r="BX83" s="124">
        <f t="shared" si="513"/>
        <v>52.618068749999999</v>
      </c>
      <c r="BY83" s="124">
        <f t="shared" si="513"/>
        <v>51.625274999999995</v>
      </c>
      <c r="BZ83" s="124">
        <f t="shared" si="513"/>
        <v>50.632481250000005</v>
      </c>
      <c r="CA83" s="124">
        <f t="shared" si="513"/>
        <v>49.639687500000001</v>
      </c>
      <c r="CB83" s="124">
        <f t="shared" si="513"/>
        <v>48.646893750000004</v>
      </c>
      <c r="CC83" s="124">
        <f t="shared" si="513"/>
        <v>47.6541</v>
      </c>
      <c r="CD83" s="124">
        <f t="shared" si="513"/>
        <v>46.661306249999996</v>
      </c>
      <c r="CE83" s="124">
        <f t="shared" si="513"/>
        <v>45.668512499999999</v>
      </c>
      <c r="CF83" s="124">
        <f t="shared" si="513"/>
        <v>44.675718749999994</v>
      </c>
      <c r="CG83" s="124">
        <f t="shared" si="513"/>
        <v>43.682925000000004</v>
      </c>
      <c r="CH83" s="124">
        <f t="shared" si="513"/>
        <v>42.69013125</v>
      </c>
      <c r="CI83" s="124">
        <f t="shared" si="513"/>
        <v>41.697337499999996</v>
      </c>
      <c r="CJ83" s="124">
        <f t="shared" si="513"/>
        <v>40.704543749999999</v>
      </c>
      <c r="CK83" s="124">
        <f t="shared" si="513"/>
        <v>39.711750000000002</v>
      </c>
      <c r="CL83" s="124">
        <f t="shared" si="513"/>
        <v>38.718956249999998</v>
      </c>
      <c r="CM83" s="124">
        <f t="shared" si="513"/>
        <v>37.726162500000001</v>
      </c>
      <c r="CN83" s="124">
        <f t="shared" si="513"/>
        <v>36.733368750000004</v>
      </c>
      <c r="CO83" s="124">
        <f t="shared" si="513"/>
        <v>35.740575</v>
      </c>
      <c r="CP83" s="124">
        <f t="shared" si="513"/>
        <v>34.747781249999996</v>
      </c>
      <c r="CQ83" s="124">
        <f t="shared" si="513"/>
        <v>33.754987499999999</v>
      </c>
      <c r="CR83" s="124">
        <f t="shared" si="513"/>
        <v>32.762193750000002</v>
      </c>
      <c r="CS83" s="124">
        <f t="shared" si="513"/>
        <v>31.769400000000001</v>
      </c>
      <c r="CT83" s="124">
        <f t="shared" si="513"/>
        <v>30.77660625</v>
      </c>
      <c r="CU83" s="124">
        <f t="shared" si="513"/>
        <v>29.7838125</v>
      </c>
      <c r="CV83" s="124">
        <f t="shared" ref="CV83:DY83" si="514">IF(AND(CU$1&lt;CV$1, CV$1&lt;=$F81),$AG83*($F81-CV$1)/($F81-$AG$1),0)</f>
        <v>28.791018750000003</v>
      </c>
      <c r="CW83" s="124">
        <f t="shared" si="514"/>
        <v>27.798225000000002</v>
      </c>
      <c r="CX83" s="124">
        <f t="shared" si="514"/>
        <v>26.805431249999998</v>
      </c>
      <c r="CY83" s="124">
        <f t="shared" si="514"/>
        <v>25.812637499999997</v>
      </c>
      <c r="CZ83" s="124">
        <f t="shared" si="514"/>
        <v>24.81984375</v>
      </c>
      <c r="DA83" s="124">
        <f t="shared" si="514"/>
        <v>23.82705</v>
      </c>
      <c r="DB83" s="124">
        <f t="shared" si="514"/>
        <v>22.834256249999999</v>
      </c>
      <c r="DC83" s="124">
        <f t="shared" si="514"/>
        <v>21.841462500000002</v>
      </c>
      <c r="DD83" s="124">
        <f t="shared" si="514"/>
        <v>20.848668749999998</v>
      </c>
      <c r="DE83" s="124">
        <f t="shared" si="514"/>
        <v>19.855875000000001</v>
      </c>
      <c r="DF83" s="124">
        <f t="shared" si="514"/>
        <v>18.86308125</v>
      </c>
      <c r="DG83" s="124">
        <f t="shared" si="514"/>
        <v>17.8702875</v>
      </c>
      <c r="DH83" s="124">
        <f t="shared" si="514"/>
        <v>16.877493749999999</v>
      </c>
      <c r="DI83" s="124">
        <f t="shared" si="514"/>
        <v>15.8847</v>
      </c>
      <c r="DJ83" s="124">
        <f t="shared" si="514"/>
        <v>14.89190625</v>
      </c>
      <c r="DK83" s="124">
        <f t="shared" si="514"/>
        <v>13.899112500000001</v>
      </c>
      <c r="DL83" s="124">
        <f t="shared" si="514"/>
        <v>12.906318749999999</v>
      </c>
      <c r="DM83" s="124">
        <f t="shared" si="514"/>
        <v>11.913525</v>
      </c>
      <c r="DN83" s="124">
        <f t="shared" si="514"/>
        <v>10.920731250000001</v>
      </c>
      <c r="DO83" s="124">
        <f t="shared" si="514"/>
        <v>9.9279375000000005</v>
      </c>
      <c r="DP83" s="124">
        <f t="shared" si="514"/>
        <v>8.9351437499999999</v>
      </c>
      <c r="DQ83" s="124">
        <f t="shared" si="514"/>
        <v>7.9423500000000002</v>
      </c>
      <c r="DR83" s="124">
        <f t="shared" si="514"/>
        <v>6.9495562500000005</v>
      </c>
      <c r="DS83" s="124">
        <f t="shared" si="514"/>
        <v>5.9567625</v>
      </c>
      <c r="DT83" s="124">
        <f t="shared" si="514"/>
        <v>4.9639687500000003</v>
      </c>
      <c r="DU83" s="124">
        <f t="shared" si="514"/>
        <v>3.9711750000000001</v>
      </c>
      <c r="DV83" s="124">
        <f t="shared" si="514"/>
        <v>2.97838125</v>
      </c>
      <c r="DW83" s="124">
        <f t="shared" si="514"/>
        <v>1.9855875000000001</v>
      </c>
      <c r="DX83" s="124">
        <f t="shared" si="514"/>
        <v>0.99279375000000003</v>
      </c>
      <c r="DY83" s="124">
        <f t="shared" si="514"/>
        <v>0</v>
      </c>
    </row>
    <row r="84" spans="1:129" x14ac:dyDescent="0.45">
      <c r="A84" s="3"/>
      <c r="B84" s="2"/>
      <c r="C84" s="125" t="s">
        <v>267</v>
      </c>
      <c r="D84" s="17"/>
      <c r="E84" s="2"/>
      <c r="F84" s="2"/>
      <c r="G84" s="2"/>
      <c r="H84" s="2"/>
      <c r="I84" s="13"/>
      <c r="J84" s="58"/>
      <c r="K84" s="58"/>
      <c r="L84" s="58"/>
      <c r="M84" s="58"/>
      <c r="N84" s="58"/>
      <c r="O84" s="58"/>
      <c r="P84" s="58"/>
      <c r="Q84" s="58"/>
      <c r="R84" s="58"/>
      <c r="S84" s="58"/>
      <c r="T84" s="58"/>
      <c r="U84" s="96"/>
      <c r="V84" s="55"/>
      <c r="W84" s="55"/>
      <c r="X84" s="55"/>
      <c r="Y84" s="55"/>
      <c r="Z84" s="55"/>
      <c r="AA84" s="55"/>
      <c r="AB84" s="55"/>
      <c r="AC84" s="55"/>
      <c r="AD84" s="55"/>
      <c r="AE84" s="55"/>
      <c r="AF84" s="55"/>
      <c r="AG84" s="102"/>
      <c r="AH84" s="91"/>
      <c r="AI84" s="91"/>
      <c r="AJ84" s="91"/>
      <c r="AK84" s="55"/>
      <c r="AL84" s="55"/>
      <c r="AM84" s="55"/>
      <c r="AN84" s="55"/>
      <c r="AO84" s="55"/>
      <c r="AP84" s="55"/>
      <c r="AQ84" s="55"/>
      <c r="AR84" s="55"/>
      <c r="AS84" s="130">
        <f>'Plan Moyen Terme (PMT)'!E27-BAU_Liquidité_Dynamique!AS81</f>
        <v>142.96230000000003</v>
      </c>
      <c r="AT84" s="126">
        <f>IF(AND(AS$1&lt;AT$1, AT$1&lt;=$F81),$AS84*($F81-AT$1)/($F81-$AS$1),0)</f>
        <v>141.26036785714288</v>
      </c>
      <c r="AU84" s="126">
        <f t="shared" ref="AU84:DF84" si="515">IF(AND(AT$1&lt;AU$1, AU$1&lt;=$F81),$AS84*($F81-AU$1)/($F81-$AS$1),0)</f>
        <v>139.55843571428574</v>
      </c>
      <c r="AV84" s="126">
        <f t="shared" si="515"/>
        <v>137.85650357142859</v>
      </c>
      <c r="AW84" s="126">
        <f t="shared" si="515"/>
        <v>136.15457142857144</v>
      </c>
      <c r="AX84" s="126">
        <f t="shared" si="515"/>
        <v>134.45263928571433</v>
      </c>
      <c r="AY84" s="126">
        <f t="shared" si="515"/>
        <v>132.75070714285715</v>
      </c>
      <c r="AZ84" s="126">
        <f t="shared" si="515"/>
        <v>131.04877500000003</v>
      </c>
      <c r="BA84" s="126">
        <f t="shared" si="515"/>
        <v>129.34684285714289</v>
      </c>
      <c r="BB84" s="126">
        <f t="shared" si="515"/>
        <v>127.64491071428574</v>
      </c>
      <c r="BC84" s="126">
        <f t="shared" si="515"/>
        <v>125.94297857142858</v>
      </c>
      <c r="BD84" s="126">
        <f t="shared" si="515"/>
        <v>124.24104642857145</v>
      </c>
      <c r="BE84" s="126">
        <f t="shared" si="515"/>
        <v>122.53911428571432</v>
      </c>
      <c r="BF84" s="126">
        <f t="shared" si="515"/>
        <v>120.83718214285716</v>
      </c>
      <c r="BG84" s="126">
        <f t="shared" si="515"/>
        <v>119.13525000000003</v>
      </c>
      <c r="BH84" s="126">
        <f t="shared" si="515"/>
        <v>117.43331785714288</v>
      </c>
      <c r="BI84" s="126">
        <f t="shared" si="515"/>
        <v>115.73138571428574</v>
      </c>
      <c r="BJ84" s="126">
        <f t="shared" si="515"/>
        <v>114.02945357142859</v>
      </c>
      <c r="BK84" s="126">
        <f t="shared" si="515"/>
        <v>112.32752142857146</v>
      </c>
      <c r="BL84" s="126">
        <f t="shared" si="515"/>
        <v>110.6255892857143</v>
      </c>
      <c r="BM84" s="126">
        <f t="shared" si="515"/>
        <v>108.92365714285717</v>
      </c>
      <c r="BN84" s="126">
        <f t="shared" si="515"/>
        <v>107.22172500000003</v>
      </c>
      <c r="BO84" s="126">
        <f t="shared" si="515"/>
        <v>105.51979285714287</v>
      </c>
      <c r="BP84" s="126">
        <f t="shared" si="515"/>
        <v>103.81786071428574</v>
      </c>
      <c r="BQ84" s="126">
        <f t="shared" si="515"/>
        <v>102.11592857142858</v>
      </c>
      <c r="BR84" s="126">
        <f t="shared" si="515"/>
        <v>100.41399642857145</v>
      </c>
      <c r="BS84" s="126">
        <f t="shared" si="515"/>
        <v>98.712064285714291</v>
      </c>
      <c r="BT84" s="126">
        <f t="shared" si="515"/>
        <v>97.010132142857159</v>
      </c>
      <c r="BU84" s="126">
        <f t="shared" si="515"/>
        <v>95.308200000000014</v>
      </c>
      <c r="BV84" s="126">
        <f t="shared" si="515"/>
        <v>93.606267857142868</v>
      </c>
      <c r="BW84" s="126">
        <f t="shared" si="515"/>
        <v>91.904335714285736</v>
      </c>
      <c r="BX84" s="126">
        <f t="shared" si="515"/>
        <v>90.20240357142859</v>
      </c>
      <c r="BY84" s="126">
        <f t="shared" si="515"/>
        <v>88.500471428571444</v>
      </c>
      <c r="BZ84" s="126">
        <f t="shared" si="515"/>
        <v>86.798539285714313</v>
      </c>
      <c r="CA84" s="126">
        <f t="shared" si="515"/>
        <v>85.096607142857167</v>
      </c>
      <c r="CB84" s="126">
        <f t="shared" si="515"/>
        <v>83.394675000000021</v>
      </c>
      <c r="CC84" s="126">
        <f t="shared" si="515"/>
        <v>81.692742857142875</v>
      </c>
      <c r="CD84" s="126">
        <f t="shared" si="515"/>
        <v>79.990810714285729</v>
      </c>
      <c r="CE84" s="126">
        <f t="shared" si="515"/>
        <v>78.288878571428583</v>
      </c>
      <c r="CF84" s="126">
        <f t="shared" si="515"/>
        <v>76.586946428571437</v>
      </c>
      <c r="CG84" s="126">
        <f t="shared" si="515"/>
        <v>74.885014285714291</v>
      </c>
      <c r="CH84" s="126">
        <f t="shared" si="515"/>
        <v>73.18308214285716</v>
      </c>
      <c r="CI84" s="126">
        <f t="shared" si="515"/>
        <v>71.481150000000014</v>
      </c>
      <c r="CJ84" s="126">
        <f t="shared" si="515"/>
        <v>69.779217857142868</v>
      </c>
      <c r="CK84" s="126">
        <f t="shared" si="515"/>
        <v>68.077285714285722</v>
      </c>
      <c r="CL84" s="126">
        <f t="shared" si="515"/>
        <v>66.375353571428576</v>
      </c>
      <c r="CM84" s="126">
        <f t="shared" si="515"/>
        <v>64.673421428571444</v>
      </c>
      <c r="CN84" s="126">
        <f t="shared" si="515"/>
        <v>62.971489285714291</v>
      </c>
      <c r="CO84" s="126">
        <f t="shared" si="515"/>
        <v>61.26955714285716</v>
      </c>
      <c r="CP84" s="126">
        <f t="shared" si="515"/>
        <v>59.567625000000014</v>
      </c>
      <c r="CQ84" s="126">
        <f t="shared" si="515"/>
        <v>57.865692857142868</v>
      </c>
      <c r="CR84" s="126">
        <f t="shared" si="515"/>
        <v>56.163760714285729</v>
      </c>
      <c r="CS84" s="126">
        <f t="shared" si="515"/>
        <v>54.461828571428583</v>
      </c>
      <c r="CT84" s="126">
        <f t="shared" si="515"/>
        <v>52.759896428571437</v>
      </c>
      <c r="CU84" s="126">
        <f t="shared" si="515"/>
        <v>51.057964285714291</v>
      </c>
      <c r="CV84" s="126">
        <f t="shared" si="515"/>
        <v>49.356032142857146</v>
      </c>
      <c r="CW84" s="126">
        <f t="shared" si="515"/>
        <v>47.654100000000007</v>
      </c>
      <c r="CX84" s="126">
        <f t="shared" si="515"/>
        <v>45.952167857142868</v>
      </c>
      <c r="CY84" s="126">
        <f t="shared" si="515"/>
        <v>44.250235714285722</v>
      </c>
      <c r="CZ84" s="126">
        <f t="shared" si="515"/>
        <v>42.548303571428583</v>
      </c>
      <c r="DA84" s="126">
        <f t="shared" si="515"/>
        <v>40.846371428571437</v>
      </c>
      <c r="DB84" s="126">
        <f t="shared" si="515"/>
        <v>39.144439285714292</v>
      </c>
      <c r="DC84" s="126">
        <f t="shared" si="515"/>
        <v>37.442507142857146</v>
      </c>
      <c r="DD84" s="126">
        <f t="shared" si="515"/>
        <v>35.740575000000007</v>
      </c>
      <c r="DE84" s="126">
        <f t="shared" si="515"/>
        <v>34.038642857142861</v>
      </c>
      <c r="DF84" s="126">
        <f t="shared" si="515"/>
        <v>32.336710714285722</v>
      </c>
      <c r="DG84" s="126">
        <f t="shared" ref="DG84:DY84" si="516">IF(AND(DF$1&lt;DG$1, DG$1&lt;=$F81),$AS84*($F81-DG$1)/($F81-$AS$1),0)</f>
        <v>30.63477857142858</v>
      </c>
      <c r="DH84" s="126">
        <f t="shared" si="516"/>
        <v>28.932846428571434</v>
      </c>
      <c r="DI84" s="126">
        <f t="shared" si="516"/>
        <v>27.230914285714292</v>
      </c>
      <c r="DJ84" s="126">
        <f t="shared" si="516"/>
        <v>25.528982142857146</v>
      </c>
      <c r="DK84" s="126">
        <f t="shared" si="516"/>
        <v>23.827050000000003</v>
      </c>
      <c r="DL84" s="126">
        <f t="shared" si="516"/>
        <v>22.125117857142861</v>
      </c>
      <c r="DM84" s="126">
        <f t="shared" si="516"/>
        <v>20.423185714285719</v>
      </c>
      <c r="DN84" s="126">
        <f t="shared" si="516"/>
        <v>18.721253571428573</v>
      </c>
      <c r="DO84" s="126">
        <f t="shared" si="516"/>
        <v>17.01932142857143</v>
      </c>
      <c r="DP84" s="126">
        <f t="shared" si="516"/>
        <v>15.31738928571429</v>
      </c>
      <c r="DQ84" s="126">
        <f t="shared" si="516"/>
        <v>13.615457142857146</v>
      </c>
      <c r="DR84" s="126">
        <f t="shared" si="516"/>
        <v>11.913525000000002</v>
      </c>
      <c r="DS84" s="126">
        <f t="shared" si="516"/>
        <v>10.211592857142859</v>
      </c>
      <c r="DT84" s="126">
        <f t="shared" si="516"/>
        <v>8.5096607142857152</v>
      </c>
      <c r="DU84" s="126">
        <f t="shared" si="516"/>
        <v>6.8077285714285729</v>
      </c>
      <c r="DV84" s="126">
        <f t="shared" si="516"/>
        <v>5.1057964285714297</v>
      </c>
      <c r="DW84" s="126">
        <f t="shared" si="516"/>
        <v>3.4038642857142865</v>
      </c>
      <c r="DX84" s="126">
        <f t="shared" si="516"/>
        <v>1.7019321428571432</v>
      </c>
      <c r="DY84" s="126">
        <f t="shared" si="516"/>
        <v>0</v>
      </c>
    </row>
    <row r="85" spans="1:129" x14ac:dyDescent="0.45">
      <c r="A85" s="3">
        <v>46022</v>
      </c>
      <c r="B85" s="2" t="s">
        <v>19</v>
      </c>
      <c r="C85" s="6" t="s">
        <v>25</v>
      </c>
      <c r="D85" s="17">
        <v>0</v>
      </c>
      <c r="E85" s="2" t="s">
        <v>43</v>
      </c>
      <c r="F85" s="2">
        <v>120</v>
      </c>
      <c r="G85" s="2" t="s">
        <v>43</v>
      </c>
      <c r="H85" s="2">
        <v>120</v>
      </c>
      <c r="I85" s="14">
        <v>18000.179</v>
      </c>
      <c r="J85" s="55">
        <f t="shared" si="404"/>
        <v>17850.177508333334</v>
      </c>
      <c r="K85" s="55">
        <f t="shared" si="404"/>
        <v>17700.176016666665</v>
      </c>
      <c r="L85" s="55">
        <f t="shared" si="404"/>
        <v>17550.174524999999</v>
      </c>
      <c r="M85" s="55">
        <f t="shared" si="404"/>
        <v>17400.173033333333</v>
      </c>
      <c r="N85" s="55">
        <f t="shared" si="404"/>
        <v>17250.171541666667</v>
      </c>
      <c r="O85" s="55">
        <f t="shared" si="404"/>
        <v>17100.170050000001</v>
      </c>
      <c r="P85" s="55">
        <f t="shared" si="404"/>
        <v>16950.168558333335</v>
      </c>
      <c r="Q85" s="55">
        <f t="shared" si="404"/>
        <v>16800.167066666669</v>
      </c>
      <c r="R85" s="55">
        <f t="shared" si="404"/>
        <v>16650.165574999999</v>
      </c>
      <c r="S85" s="55">
        <f t="shared" si="404"/>
        <v>16500.164083333333</v>
      </c>
      <c r="T85" s="55">
        <f t="shared" si="404"/>
        <v>16350.162591666667</v>
      </c>
      <c r="U85" s="96">
        <f t="shared" si="404"/>
        <v>16200.161100000001</v>
      </c>
      <c r="V85" s="55">
        <f t="shared" si="404"/>
        <v>16050.159608333335</v>
      </c>
      <c r="W85" s="55">
        <f t="shared" si="404"/>
        <v>15900.158116666666</v>
      </c>
      <c r="X85" s="55">
        <f t="shared" si="404"/>
        <v>15750.156625</v>
      </c>
      <c r="Y85" s="55">
        <f t="shared" si="404"/>
        <v>15600.155133333334</v>
      </c>
      <c r="Z85" s="55">
        <f t="shared" si="405"/>
        <v>15450.153641666666</v>
      </c>
      <c r="AA85" s="55">
        <f t="shared" si="405"/>
        <v>15300.15215</v>
      </c>
      <c r="AB85" s="55">
        <f t="shared" si="405"/>
        <v>15150.150658333334</v>
      </c>
      <c r="AC85" s="55">
        <f t="shared" si="405"/>
        <v>15000.149166666668</v>
      </c>
      <c r="AD85" s="55">
        <f t="shared" si="405"/>
        <v>14850.147675</v>
      </c>
      <c r="AE85" s="55">
        <f t="shared" si="405"/>
        <v>14700.146183333332</v>
      </c>
      <c r="AF85" s="55">
        <f t="shared" si="405"/>
        <v>14550.144691666666</v>
      </c>
      <c r="AG85" s="102">
        <f t="shared" si="405"/>
        <v>14400.1432</v>
      </c>
      <c r="AH85" s="55">
        <f t="shared" si="405"/>
        <v>14250.141708333333</v>
      </c>
      <c r="AI85" s="55">
        <f t="shared" si="405"/>
        <v>14100.140216666667</v>
      </c>
      <c r="AJ85" s="55">
        <f t="shared" si="405"/>
        <v>13950.138725000001</v>
      </c>
      <c r="AK85" s="55">
        <f t="shared" si="405"/>
        <v>13800.137233333335</v>
      </c>
      <c r="AL85" s="55">
        <f t="shared" si="405"/>
        <v>13650.135741666667</v>
      </c>
      <c r="AM85" s="55">
        <f t="shared" si="405"/>
        <v>13500.134249999999</v>
      </c>
      <c r="AN85" s="55">
        <f t="shared" si="405"/>
        <v>13350.132758333333</v>
      </c>
      <c r="AO85" s="55">
        <f t="shared" si="405"/>
        <v>13200.131266666665</v>
      </c>
      <c r="AP85" s="55">
        <f t="shared" si="405"/>
        <v>13050.129774999999</v>
      </c>
      <c r="AQ85" s="55">
        <f t="shared" si="405"/>
        <v>12900.128283333333</v>
      </c>
      <c r="AR85" s="55">
        <f t="shared" si="405"/>
        <v>12750.126791666667</v>
      </c>
      <c r="AS85" s="108">
        <f t="shared" si="405"/>
        <v>12600.1253</v>
      </c>
      <c r="AT85" s="55">
        <f t="shared" si="405"/>
        <v>12450.123808333334</v>
      </c>
      <c r="AU85" s="55">
        <f t="shared" si="405"/>
        <v>12300.122316666668</v>
      </c>
      <c r="AV85" s="55">
        <f t="shared" si="405"/>
        <v>12150.120825</v>
      </c>
      <c r="AW85" s="55">
        <f t="shared" si="405"/>
        <v>12000.119333333332</v>
      </c>
      <c r="AX85" s="55">
        <f t="shared" si="405"/>
        <v>11850.117841666666</v>
      </c>
      <c r="AY85" s="55">
        <f t="shared" si="405"/>
        <v>11700.11635</v>
      </c>
      <c r="AZ85" s="55">
        <f t="shared" si="405"/>
        <v>11550.114858333334</v>
      </c>
      <c r="BA85" s="55">
        <f t="shared" si="405"/>
        <v>11400.113366666666</v>
      </c>
      <c r="BB85" s="55">
        <f t="shared" si="405"/>
        <v>11250.111875000001</v>
      </c>
      <c r="BC85" s="55">
        <f t="shared" si="405"/>
        <v>11100.110383333335</v>
      </c>
      <c r="BD85" s="55">
        <f t="shared" si="405"/>
        <v>10950.108891666665</v>
      </c>
      <c r="BE85" s="55">
        <f t="shared" si="405"/>
        <v>10800.107399999999</v>
      </c>
      <c r="BF85" s="55">
        <f t="shared" si="405"/>
        <v>10650.105908333333</v>
      </c>
      <c r="BG85" s="55">
        <f t="shared" si="405"/>
        <v>10500.104416666667</v>
      </c>
      <c r="BH85" s="55">
        <f t="shared" si="405"/>
        <v>10350.102924999999</v>
      </c>
      <c r="BI85" s="55">
        <f t="shared" si="405"/>
        <v>10200.101433333333</v>
      </c>
      <c r="BJ85" s="55">
        <f t="shared" si="405"/>
        <v>10050.099941666667</v>
      </c>
      <c r="BK85" s="55">
        <f t="shared" si="405"/>
        <v>9900.0984500000013</v>
      </c>
      <c r="BL85" s="55">
        <f t="shared" si="405"/>
        <v>9750.0969583333335</v>
      </c>
      <c r="BM85" s="55">
        <f t="shared" si="405"/>
        <v>9600.0954666666657</v>
      </c>
      <c r="BN85" s="55">
        <f t="shared" si="405"/>
        <v>9450.0939749999998</v>
      </c>
      <c r="BO85" s="55">
        <f t="shared" si="405"/>
        <v>9300.0924833333338</v>
      </c>
      <c r="BP85" s="55">
        <f t="shared" si="405"/>
        <v>9150.090991666666</v>
      </c>
      <c r="BQ85" s="55">
        <f t="shared" si="405"/>
        <v>9000.0895</v>
      </c>
      <c r="BR85" s="55">
        <f t="shared" si="405"/>
        <v>8850.0880083333323</v>
      </c>
      <c r="BS85" s="55">
        <f t="shared" si="405"/>
        <v>8700.0865166666663</v>
      </c>
      <c r="BT85" s="55">
        <f t="shared" si="405"/>
        <v>8550.0850250000003</v>
      </c>
      <c r="BU85" s="55">
        <f t="shared" si="405"/>
        <v>8400.0835333333343</v>
      </c>
      <c r="BV85" s="55">
        <f t="shared" si="405"/>
        <v>8250.0820416666666</v>
      </c>
      <c r="BW85" s="55">
        <f t="shared" si="405"/>
        <v>8100.0805500000006</v>
      </c>
      <c r="BX85" s="55">
        <f t="shared" si="405"/>
        <v>7950.0790583333328</v>
      </c>
      <c r="BY85" s="55">
        <f t="shared" si="405"/>
        <v>7800.0775666666668</v>
      </c>
      <c r="BZ85" s="55">
        <f t="shared" si="405"/>
        <v>7650.0760749999999</v>
      </c>
      <c r="CA85" s="55">
        <f t="shared" si="405"/>
        <v>7500.074583333334</v>
      </c>
      <c r="CB85" s="55">
        <f t="shared" si="405"/>
        <v>7350.0730916666662</v>
      </c>
      <c r="CC85" s="55">
        <f t="shared" si="405"/>
        <v>7200.0716000000002</v>
      </c>
      <c r="CD85" s="55">
        <f t="shared" si="405"/>
        <v>7050.0701083333333</v>
      </c>
      <c r="CE85" s="55">
        <f t="shared" si="405"/>
        <v>6900.0686166666674</v>
      </c>
      <c r="CF85" s="55">
        <f t="shared" si="405"/>
        <v>6750.0671249999996</v>
      </c>
      <c r="CG85" s="55">
        <f t="shared" si="405"/>
        <v>6600.0656333333327</v>
      </c>
      <c r="CH85" s="55">
        <f t="shared" si="405"/>
        <v>6450.0641416666667</v>
      </c>
      <c r="CI85" s="55">
        <f t="shared" si="405"/>
        <v>6300.0626499999998</v>
      </c>
      <c r="CJ85" s="55">
        <f t="shared" si="405"/>
        <v>6150.0611583333339</v>
      </c>
      <c r="CK85" s="55">
        <f t="shared" si="405"/>
        <v>6000.0596666666661</v>
      </c>
      <c r="CL85" s="55">
        <f t="shared" si="406"/>
        <v>5850.0581750000001</v>
      </c>
      <c r="CM85" s="55">
        <f t="shared" si="406"/>
        <v>5700.0566833333332</v>
      </c>
      <c r="CN85" s="55">
        <f t="shared" si="406"/>
        <v>5550.0551916666673</v>
      </c>
      <c r="CO85" s="55">
        <f t="shared" si="406"/>
        <v>5400.0536999999995</v>
      </c>
      <c r="CP85" s="55">
        <f t="shared" si="406"/>
        <v>5250.0522083333335</v>
      </c>
      <c r="CQ85" s="55">
        <f t="shared" si="406"/>
        <v>5100.0507166666666</v>
      </c>
      <c r="CR85" s="55">
        <f t="shared" si="406"/>
        <v>4950.0492250000007</v>
      </c>
      <c r="CS85" s="55">
        <f t="shared" si="406"/>
        <v>4800.0477333333329</v>
      </c>
      <c r="CT85" s="55">
        <f t="shared" si="406"/>
        <v>4650.0462416666669</v>
      </c>
      <c r="CU85" s="55">
        <f t="shared" si="406"/>
        <v>4500.04475</v>
      </c>
      <c r="CV85" s="55">
        <f t="shared" si="406"/>
        <v>4350.0432583333331</v>
      </c>
      <c r="CW85" s="55">
        <f t="shared" si="406"/>
        <v>4200.0417666666672</v>
      </c>
      <c r="CX85" s="55">
        <f t="shared" si="406"/>
        <v>4050.0402750000003</v>
      </c>
      <c r="CY85" s="55">
        <f t="shared" si="406"/>
        <v>3900.0387833333334</v>
      </c>
      <c r="CZ85" s="55">
        <f t="shared" si="406"/>
        <v>3750.037291666667</v>
      </c>
      <c r="DA85" s="55">
        <f t="shared" si="406"/>
        <v>3600.0358000000001</v>
      </c>
      <c r="DB85" s="55">
        <f t="shared" si="406"/>
        <v>3450.0343083333337</v>
      </c>
      <c r="DC85" s="55">
        <f t="shared" si="406"/>
        <v>3300.0328166666663</v>
      </c>
      <c r="DD85" s="55">
        <f t="shared" si="406"/>
        <v>3150.0313249999999</v>
      </c>
      <c r="DE85" s="55">
        <f t="shared" si="406"/>
        <v>3000.029833333333</v>
      </c>
      <c r="DF85" s="55">
        <f t="shared" si="406"/>
        <v>2850.0283416666666</v>
      </c>
      <c r="DG85" s="55">
        <f t="shared" si="406"/>
        <v>2700.0268499999997</v>
      </c>
      <c r="DH85" s="55">
        <f t="shared" si="406"/>
        <v>2550.0253583333333</v>
      </c>
      <c r="DI85" s="55">
        <f t="shared" si="406"/>
        <v>2400.0238666666664</v>
      </c>
      <c r="DJ85" s="55">
        <f t="shared" si="406"/>
        <v>2250.022375</v>
      </c>
      <c r="DK85" s="55">
        <f t="shared" si="406"/>
        <v>2100.0208833333336</v>
      </c>
      <c r="DL85" s="55">
        <f t="shared" si="406"/>
        <v>1950.0193916666667</v>
      </c>
      <c r="DM85" s="55">
        <f t="shared" si="406"/>
        <v>1800.0179000000001</v>
      </c>
      <c r="DN85" s="55">
        <f t="shared" si="406"/>
        <v>1650.0164083333332</v>
      </c>
      <c r="DO85" s="55">
        <f t="shared" si="406"/>
        <v>1500.0149166666665</v>
      </c>
      <c r="DP85" s="55">
        <f t="shared" si="406"/>
        <v>1350.0134249999999</v>
      </c>
      <c r="DQ85" s="55">
        <f t="shared" si="406"/>
        <v>1200.0119333333332</v>
      </c>
      <c r="DR85" s="55">
        <f t="shared" si="406"/>
        <v>1050.0104416666668</v>
      </c>
      <c r="DS85" s="55">
        <f t="shared" si="406"/>
        <v>900.00895000000003</v>
      </c>
      <c r="DT85" s="55">
        <f t="shared" si="406"/>
        <v>750.00745833333326</v>
      </c>
      <c r="DU85" s="55">
        <f t="shared" si="406"/>
        <v>600.00596666666661</v>
      </c>
      <c r="DV85" s="55">
        <f t="shared" si="406"/>
        <v>450.00447500000001</v>
      </c>
      <c r="DW85" s="55">
        <f t="shared" si="406"/>
        <v>300.0029833333333</v>
      </c>
      <c r="DX85" s="55">
        <f t="shared" si="406"/>
        <v>150.00149166666665</v>
      </c>
      <c r="DY85" s="55">
        <f t="shared" si="406"/>
        <v>0</v>
      </c>
    </row>
    <row r="86" spans="1:129" x14ac:dyDescent="0.45">
      <c r="A86" s="3"/>
      <c r="B86" s="2"/>
      <c r="C86" s="121" t="s">
        <v>265</v>
      </c>
      <c r="D86" s="17"/>
      <c r="E86" s="2"/>
      <c r="F86" s="2"/>
      <c r="G86" s="2"/>
      <c r="H86" s="2"/>
      <c r="I86" s="14"/>
      <c r="J86" s="55"/>
      <c r="K86" s="55"/>
      <c r="L86" s="55"/>
      <c r="M86" s="55"/>
      <c r="N86" s="55"/>
      <c r="O86" s="55"/>
      <c r="P86" s="55"/>
      <c r="Q86" s="55"/>
      <c r="R86" s="55"/>
      <c r="S86" s="55"/>
      <c r="T86" s="55"/>
      <c r="U86" s="119">
        <f>'Plan Moyen Terme (PMT)'!C28-BAU_Liquidité_Dynamique!U85</f>
        <v>1800.0178999999989</v>
      </c>
      <c r="V86" s="120">
        <f>IF(AND(U$1&lt;V$1, V$1&lt;=$F85),$U86*($F85-V$1)/($F85-$U$1),0)</f>
        <v>1783.3510675925916</v>
      </c>
      <c r="W86" s="120">
        <f>IF(AND(V$1&lt;W$1, W$1&lt;=$F85),$U86*($F85-W$1)/($F85-$U$1),0)</f>
        <v>1766.6842351851842</v>
      </c>
      <c r="X86" s="120">
        <f t="shared" ref="X86" si="517">IF(AND(W$1&lt;X$1, X$1&lt;=$F85),$U86*($F85-X$1)/($F85-$U$1),0)</f>
        <v>1750.0174027777769</v>
      </c>
      <c r="Y86" s="120">
        <f t="shared" ref="Y86" si="518">IF(AND(X$1&lt;Y$1, Y$1&lt;=$F85),$U86*($F85-Y$1)/($F85-$U$1),0)</f>
        <v>1733.3505703703693</v>
      </c>
      <c r="Z86" s="120">
        <f t="shared" ref="Z86" si="519">IF(AND(Y$1&lt;Z$1, Z$1&lt;=$F85),$U86*($F85-Z$1)/($F85-$U$1),0)</f>
        <v>1716.6837379629619</v>
      </c>
      <c r="AA86" s="120">
        <f t="shared" ref="AA86" si="520">IF(AND(Z$1&lt;AA$1, AA$1&lt;=$F85),$U86*($F85-AA$1)/($F85-$U$1),0)</f>
        <v>1700.0169055555543</v>
      </c>
      <c r="AB86" s="120">
        <f t="shared" ref="AB86" si="521">IF(AND(AA$1&lt;AB$1, AB$1&lt;=$F85),$U86*($F85-AB$1)/($F85-$U$1),0)</f>
        <v>1683.3500731481472</v>
      </c>
      <c r="AC86" s="120">
        <f t="shared" ref="AC86" si="522">IF(AND(AB$1&lt;AC$1, AC$1&lt;=$F85),$U86*($F85-AC$1)/($F85-$U$1),0)</f>
        <v>1666.6832407407398</v>
      </c>
      <c r="AD86" s="120">
        <f t="shared" ref="AD86" si="523">IF(AND(AC$1&lt;AD$1, AD$1&lt;=$F85),$U86*($F85-AD$1)/($F85-$U$1),0)</f>
        <v>1650.0164083333323</v>
      </c>
      <c r="AE86" s="120">
        <f t="shared" ref="AE86" si="524">IF(AND(AD$1&lt;AE$1, AE$1&lt;=$F85),$U86*($F85-AE$1)/($F85-$U$1),0)</f>
        <v>1633.3495759259251</v>
      </c>
      <c r="AF86" s="120">
        <f t="shared" ref="AF86" si="525">IF(AND(AE$1&lt;AF$1, AF$1&lt;=$F85),$U86*($F85-AF$1)/($F85-$U$1),0)</f>
        <v>1616.6827435185176</v>
      </c>
      <c r="AG86" s="120">
        <f t="shared" ref="AG86" si="526">IF(AND(AF$1&lt;AG$1, AG$1&lt;=$F85),$U86*($F85-AG$1)/($F85-$U$1),0)</f>
        <v>1600.0159111111102</v>
      </c>
      <c r="AH86" s="120">
        <f t="shared" ref="AH86" si="527">IF(AND(AG$1&lt;AH$1, AH$1&lt;=$F85),$U86*($F85-AH$1)/($F85-$U$1),0)</f>
        <v>1583.3490787037026</v>
      </c>
      <c r="AI86" s="120">
        <f t="shared" ref="AI86" si="528">IF(AND(AH$1&lt;AI$1, AI$1&lt;=$F85),$U86*($F85-AI$1)/($F85-$U$1),0)</f>
        <v>1566.6822462962953</v>
      </c>
      <c r="AJ86" s="120">
        <f t="shared" ref="AJ86" si="529">IF(AND(AI$1&lt;AJ$1, AJ$1&lt;=$F85),$U86*($F85-AJ$1)/($F85-$U$1),0)</f>
        <v>1550.0154138888881</v>
      </c>
      <c r="AK86" s="120">
        <f t="shared" ref="AK86" si="530">IF(AND(AJ$1&lt;AK$1, AK$1&lt;=$F85),$U86*($F85-AK$1)/($F85-$U$1),0)</f>
        <v>1533.3485814814806</v>
      </c>
      <c r="AL86" s="120">
        <f t="shared" ref="AL86" si="531">IF(AND(AK$1&lt;AL$1, AL$1&lt;=$F85),$U86*($F85-AL$1)/($F85-$U$1),0)</f>
        <v>1516.6817490740732</v>
      </c>
      <c r="AM86" s="120">
        <f t="shared" ref="AM86" si="532">IF(AND(AL$1&lt;AM$1, AM$1&lt;=$F85),$U86*($F85-AM$1)/($F85-$U$1),0)</f>
        <v>1500.0149166666658</v>
      </c>
      <c r="AN86" s="120">
        <f t="shared" ref="AN86" si="533">IF(AND(AM$1&lt;AN$1, AN$1&lt;=$F85),$U86*($F85-AN$1)/($F85-$U$1),0)</f>
        <v>1483.3480842592585</v>
      </c>
      <c r="AO86" s="120">
        <f t="shared" ref="AO86" si="534">IF(AND(AN$1&lt;AO$1, AO$1&lt;=$F85),$U86*($F85-AO$1)/($F85-$U$1),0)</f>
        <v>1466.6812518518509</v>
      </c>
      <c r="AP86" s="120">
        <f t="shared" ref="AP86" si="535">IF(AND(AO$1&lt;AP$1, AP$1&lt;=$F85),$U86*($F85-AP$1)/($F85-$U$1),0)</f>
        <v>1450.0144194444435</v>
      </c>
      <c r="AQ86" s="120">
        <f t="shared" ref="AQ86" si="536">IF(AND(AP$1&lt;AQ$1, AQ$1&lt;=$F85),$U86*($F85-AQ$1)/($F85-$U$1),0)</f>
        <v>1433.347587037036</v>
      </c>
      <c r="AR86" s="120">
        <f t="shared" ref="AR86" si="537">IF(AND(AQ$1&lt;AR$1, AR$1&lt;=$F85),$U86*($F85-AR$1)/($F85-$U$1),0)</f>
        <v>1416.6807546296288</v>
      </c>
      <c r="AS86" s="120">
        <f t="shared" ref="AS86" si="538">IF(AND(AR$1&lt;AS$1, AS$1&lt;=$F85),$U86*($F85-AS$1)/($F85-$U$1),0)</f>
        <v>1400.0139222222215</v>
      </c>
      <c r="AT86" s="120">
        <f t="shared" ref="AT86" si="539">IF(AND(AS$1&lt;AT$1, AT$1&lt;=$F85),$U86*($F85-AT$1)/($F85-$U$1),0)</f>
        <v>1383.3470898148139</v>
      </c>
      <c r="AU86" s="120">
        <f t="shared" ref="AU86" si="540">IF(AND(AT$1&lt;AU$1, AU$1&lt;=$F85),$U86*($F85-AU$1)/($F85-$U$1),0)</f>
        <v>1366.6802574074068</v>
      </c>
      <c r="AV86" s="120">
        <f t="shared" ref="AV86" si="541">IF(AND(AU$1&lt;AV$1, AV$1&lt;=$F85),$U86*($F85-AV$1)/($F85-$U$1),0)</f>
        <v>1350.0134249999992</v>
      </c>
      <c r="AW86" s="120">
        <f t="shared" ref="AW86" si="542">IF(AND(AV$1&lt;AW$1, AW$1&lt;=$F85),$U86*($F85-AW$1)/($F85-$U$1),0)</f>
        <v>1333.3465925925918</v>
      </c>
      <c r="AX86" s="120">
        <f t="shared" ref="AX86" si="543">IF(AND(AW$1&lt;AX$1, AX$1&lt;=$F85),$U86*($F85-AX$1)/($F85-$U$1),0)</f>
        <v>1316.6797601851843</v>
      </c>
      <c r="AY86" s="120">
        <f t="shared" ref="AY86" si="544">IF(AND(AX$1&lt;AY$1, AY$1&lt;=$F85),$U86*($F85-AY$1)/($F85-$U$1),0)</f>
        <v>1300.0129277777769</v>
      </c>
      <c r="AZ86" s="120">
        <f t="shared" ref="AZ86" si="545">IF(AND(AY$1&lt;AZ$1, AZ$1&lt;=$F85),$U86*($F85-AZ$1)/($F85-$U$1),0)</f>
        <v>1283.3460953703698</v>
      </c>
      <c r="BA86" s="120">
        <f t="shared" ref="BA86" si="546">IF(AND(AZ$1&lt;BA$1, BA$1&lt;=$F85),$U86*($F85-BA$1)/($F85-$U$1),0)</f>
        <v>1266.6792629629622</v>
      </c>
      <c r="BB86" s="120">
        <f t="shared" ref="BB86" si="547">IF(AND(BA$1&lt;BB$1, BB$1&lt;=$F85),$U86*($F85-BB$1)/($F85-$U$1),0)</f>
        <v>1250.0124305555548</v>
      </c>
      <c r="BC86" s="120">
        <f t="shared" ref="BC86" si="548">IF(AND(BB$1&lt;BC$1, BC$1&lt;=$F85),$U86*($F85-BC$1)/($F85-$U$1),0)</f>
        <v>1233.3455981481475</v>
      </c>
      <c r="BD86" s="120">
        <f t="shared" ref="BD86" si="549">IF(AND(BC$1&lt;BD$1, BD$1&lt;=$F85),$U86*($F85-BD$1)/($F85-$U$1),0)</f>
        <v>1216.6787657407401</v>
      </c>
      <c r="BE86" s="120">
        <f t="shared" ref="BE86" si="550">IF(AND(BD$1&lt;BE$1, BE$1&lt;=$F85),$U86*($F85-BE$1)/($F85-$U$1),0)</f>
        <v>1200.0119333333325</v>
      </c>
      <c r="BF86" s="120">
        <f t="shared" ref="BF86" si="551">IF(AND(BE$1&lt;BF$1, BF$1&lt;=$F85),$U86*($F85-BF$1)/($F85-$U$1),0)</f>
        <v>1183.3451009259252</v>
      </c>
      <c r="BG86" s="120">
        <f t="shared" ref="BG86" si="552">IF(AND(BF$1&lt;BG$1, BG$1&lt;=$F85),$U86*($F85-BG$1)/($F85-$U$1),0)</f>
        <v>1166.6782685185178</v>
      </c>
      <c r="BH86" s="120">
        <f t="shared" ref="BH86" si="553">IF(AND(BG$1&lt;BH$1, BH$1&lt;=$F85),$U86*($F85-BH$1)/($F85-$U$1),0)</f>
        <v>1150.0114361111105</v>
      </c>
      <c r="BI86" s="120">
        <f t="shared" ref="BI86" si="554">IF(AND(BH$1&lt;BI$1, BI$1&lt;=$F85),$U86*($F85-BI$1)/($F85-$U$1),0)</f>
        <v>1133.3446037037031</v>
      </c>
      <c r="BJ86" s="120">
        <f t="shared" ref="BJ86" si="555">IF(AND(BI$1&lt;BJ$1, BJ$1&lt;=$F85),$U86*($F85-BJ$1)/($F85-$U$1),0)</f>
        <v>1116.6777712962955</v>
      </c>
      <c r="BK86" s="120">
        <f t="shared" ref="BK86" si="556">IF(AND(BJ$1&lt;BK$1, BK$1&lt;=$F85),$U86*($F85-BK$1)/($F85-$U$1),0)</f>
        <v>1100.0109388888882</v>
      </c>
      <c r="BL86" s="120">
        <f t="shared" ref="BL86" si="557">IF(AND(BK$1&lt;BL$1, BL$1&lt;=$F85),$U86*($F85-BL$1)/($F85-$U$1),0)</f>
        <v>1083.3441064814808</v>
      </c>
      <c r="BM86" s="120">
        <f t="shared" ref="BM86" si="558">IF(AND(BL$1&lt;BM$1, BM$1&lt;=$F85),$U86*($F85-BM$1)/($F85-$U$1),0)</f>
        <v>1066.6772740740735</v>
      </c>
      <c r="BN86" s="120">
        <f t="shared" ref="BN86" si="559">IF(AND(BM$1&lt;BN$1, BN$1&lt;=$F85),$U86*($F85-BN$1)/($F85-$U$1),0)</f>
        <v>1050.0104416666659</v>
      </c>
      <c r="BO86" s="120">
        <f t="shared" ref="BO86" si="560">IF(AND(BN$1&lt;BO$1, BO$1&lt;=$F85),$U86*($F85-BO$1)/($F85-$U$1),0)</f>
        <v>1033.3436092592585</v>
      </c>
      <c r="BP86" s="120">
        <f t="shared" ref="BP86" si="561">IF(AND(BO$1&lt;BP$1, BP$1&lt;=$F85),$U86*($F85-BP$1)/($F85-$U$1),0)</f>
        <v>1016.6767768518513</v>
      </c>
      <c r="BQ86" s="120">
        <f t="shared" ref="BQ86" si="562">IF(AND(BP$1&lt;BQ$1, BQ$1&lt;=$F85),$U86*($F85-BQ$1)/($F85-$U$1),0)</f>
        <v>1000.0099444444438</v>
      </c>
      <c r="BR86" s="120">
        <f t="shared" ref="BR86" si="563">IF(AND(BQ$1&lt;BR$1, BR$1&lt;=$F85),$U86*($F85-BR$1)/($F85-$U$1),0)</f>
        <v>983.34311203703635</v>
      </c>
      <c r="BS86" s="120">
        <f t="shared" ref="BS86" si="564">IF(AND(BR$1&lt;BS$1, BS$1&lt;=$F85),$U86*($F85-BS$1)/($F85-$U$1),0)</f>
        <v>966.67627962962899</v>
      </c>
      <c r="BT86" s="120">
        <f t="shared" ref="BT86" si="565">IF(AND(BS$1&lt;BT$1, BT$1&lt;=$F85),$U86*($F85-BT$1)/($F85-$U$1),0)</f>
        <v>950.00944722222175</v>
      </c>
      <c r="BU86" s="120">
        <f t="shared" ref="BU86" si="566">IF(AND(BT$1&lt;BU$1, BU$1&lt;=$F85),$U86*($F85-BU$1)/($F85-$U$1),0)</f>
        <v>933.34261481481428</v>
      </c>
      <c r="BV86" s="120">
        <f t="shared" ref="BV86" si="567">IF(AND(BU$1&lt;BV$1, BV$1&lt;=$F85),$U86*($F85-BV$1)/($F85-$U$1),0)</f>
        <v>916.67578240740681</v>
      </c>
      <c r="BW86" s="120">
        <f t="shared" ref="BW86" si="568">IF(AND(BV$1&lt;BW$1, BW$1&lt;=$F85),$U86*($F85-BW$1)/($F85-$U$1),0)</f>
        <v>900.00894999999946</v>
      </c>
      <c r="BX86" s="120">
        <f t="shared" ref="BX86" si="569">IF(AND(BW$1&lt;BX$1, BX$1&lt;=$F85),$U86*($F85-BX$1)/($F85-$U$1),0)</f>
        <v>883.3421175925921</v>
      </c>
      <c r="BY86" s="120">
        <f t="shared" ref="BY86" si="570">IF(AND(BX$1&lt;BY$1, BY$1&lt;=$F85),$U86*($F85-BY$1)/($F85-$U$1),0)</f>
        <v>866.67528518518463</v>
      </c>
      <c r="BZ86" s="120">
        <f t="shared" ref="BZ86" si="571">IF(AND(BY$1&lt;BZ$1, BZ$1&lt;=$F85),$U86*($F85-BZ$1)/($F85-$U$1),0)</f>
        <v>850.00845277777717</v>
      </c>
      <c r="CA86" s="120">
        <f t="shared" ref="CA86" si="572">IF(AND(BZ$1&lt;CA$1, CA$1&lt;=$F85),$U86*($F85-CA$1)/($F85-$U$1),0)</f>
        <v>833.34162037036992</v>
      </c>
      <c r="CB86" s="120">
        <f t="shared" ref="CB86" si="573">IF(AND(CA$1&lt;CB$1, CB$1&lt;=$F85),$U86*($F85-CB$1)/($F85-$U$1),0)</f>
        <v>816.67478796296257</v>
      </c>
      <c r="CC86" s="120">
        <f t="shared" ref="CC86" si="574">IF(AND(CB$1&lt;CC$1, CC$1&lt;=$F85),$U86*($F85-CC$1)/($F85-$U$1),0)</f>
        <v>800.0079555555551</v>
      </c>
      <c r="CD86" s="120">
        <f t="shared" ref="CD86" si="575">IF(AND(CC$1&lt;CD$1, CD$1&lt;=$F85),$U86*($F85-CD$1)/($F85-$U$1),0)</f>
        <v>783.34112314814763</v>
      </c>
      <c r="CE86" s="120">
        <f t="shared" ref="CE86" si="576">IF(AND(CD$1&lt;CE$1, CE$1&lt;=$F85),$U86*($F85-CE$1)/($F85-$U$1),0)</f>
        <v>766.67429074074028</v>
      </c>
      <c r="CF86" s="120">
        <f t="shared" ref="CF86" si="577">IF(AND(CE$1&lt;CF$1, CF$1&lt;=$F85),$U86*($F85-CF$1)/($F85-$U$1),0)</f>
        <v>750.00745833333292</v>
      </c>
      <c r="CG86" s="120">
        <f t="shared" ref="CG86" si="578">IF(AND(CF$1&lt;CG$1, CG$1&lt;=$F85),$U86*($F85-CG$1)/($F85-$U$1),0)</f>
        <v>733.34062592592545</v>
      </c>
      <c r="CH86" s="120">
        <f t="shared" ref="CH86" si="579">IF(AND(CG$1&lt;CH$1, CH$1&lt;=$F85),$U86*($F85-CH$1)/($F85-$U$1),0)</f>
        <v>716.67379351851798</v>
      </c>
      <c r="CI86" s="120">
        <f t="shared" ref="CI86" si="580">IF(AND(CH$1&lt;CI$1, CI$1&lt;=$F85),$U86*($F85-CI$1)/($F85-$U$1),0)</f>
        <v>700.00696111111074</v>
      </c>
      <c r="CJ86" s="120">
        <f t="shared" ref="CJ86" si="581">IF(AND(CI$1&lt;CJ$1, CJ$1&lt;=$F85),$U86*($F85-CJ$1)/($F85-$U$1),0)</f>
        <v>683.34012870370339</v>
      </c>
      <c r="CK86" s="120">
        <f t="shared" ref="CK86" si="582">IF(AND(CJ$1&lt;CK$1, CK$1&lt;=$F85),$U86*($F85-CK$1)/($F85-$U$1),0)</f>
        <v>666.67329629629592</v>
      </c>
      <c r="CL86" s="120">
        <f t="shared" ref="CL86" si="583">IF(AND(CK$1&lt;CL$1, CL$1&lt;=$F85),$U86*($F85-CL$1)/($F85-$U$1),0)</f>
        <v>650.00646388888845</v>
      </c>
      <c r="CM86" s="120">
        <f t="shared" ref="CM86" si="584">IF(AND(CL$1&lt;CM$1, CM$1&lt;=$F85),$U86*($F85-CM$1)/($F85-$U$1),0)</f>
        <v>633.33963148148109</v>
      </c>
      <c r="CN86" s="120">
        <f t="shared" ref="CN86" si="585">IF(AND(CM$1&lt;CN$1, CN$1&lt;=$F85),$U86*($F85-CN$1)/($F85-$U$1),0)</f>
        <v>616.67279907407374</v>
      </c>
      <c r="CO86" s="120">
        <f t="shared" ref="CO86" si="586">IF(AND(CN$1&lt;CO$1, CO$1&lt;=$F85),$U86*($F85-CO$1)/($F85-$U$1),0)</f>
        <v>600.00596666666627</v>
      </c>
      <c r="CP86" s="120">
        <f t="shared" ref="CP86" si="587">IF(AND(CO$1&lt;CP$1, CP$1&lt;=$F85),$U86*($F85-CP$1)/($F85-$U$1),0)</f>
        <v>583.33913425925891</v>
      </c>
      <c r="CQ86" s="120">
        <f t="shared" ref="CQ86" si="588">IF(AND(CP$1&lt;CQ$1, CQ$1&lt;=$F85),$U86*($F85-CQ$1)/($F85-$U$1),0)</f>
        <v>566.67230185185156</v>
      </c>
      <c r="CR86" s="120">
        <f t="shared" ref="CR86" si="589">IF(AND(CQ$1&lt;CR$1, CR$1&lt;=$F85),$U86*($F85-CR$1)/($F85-$U$1),0)</f>
        <v>550.00546944444409</v>
      </c>
      <c r="CS86" s="120">
        <f t="shared" ref="CS86" si="590">IF(AND(CR$1&lt;CS$1, CS$1&lt;=$F85),$U86*($F85-CS$1)/($F85-$U$1),0)</f>
        <v>533.33863703703673</v>
      </c>
      <c r="CT86" s="120">
        <f t="shared" ref="CT86" si="591">IF(AND(CS$1&lt;CT$1, CT$1&lt;=$F85),$U86*($F85-CT$1)/($F85-$U$1),0)</f>
        <v>516.67180462962926</v>
      </c>
      <c r="CU86" s="120">
        <f t="shared" ref="CU86" si="592">IF(AND(CT$1&lt;CU$1, CU$1&lt;=$F85),$U86*($F85-CU$1)/($F85-$U$1),0)</f>
        <v>500.00497222222191</v>
      </c>
      <c r="CV86" s="120">
        <f t="shared" ref="CV86" si="593">IF(AND(CU$1&lt;CV$1, CV$1&lt;=$F85),$U86*($F85-CV$1)/($F85-$U$1),0)</f>
        <v>483.3381398148145</v>
      </c>
      <c r="CW86" s="120">
        <f t="shared" ref="CW86" si="594">IF(AND(CV$1&lt;CW$1, CW$1&lt;=$F85),$U86*($F85-CW$1)/($F85-$U$1),0)</f>
        <v>466.67130740740714</v>
      </c>
      <c r="CX86" s="120">
        <f t="shared" ref="CX86" si="595">IF(AND(CW$1&lt;CX$1, CX$1&lt;=$F85),$U86*($F85-CX$1)/($F85-$U$1),0)</f>
        <v>450.00447499999973</v>
      </c>
      <c r="CY86" s="120">
        <f t="shared" ref="CY86" si="596">IF(AND(CX$1&lt;CY$1, CY$1&lt;=$F85),$U86*($F85-CY$1)/($F85-$U$1),0)</f>
        <v>433.33764259259232</v>
      </c>
      <c r="CZ86" s="120">
        <f t="shared" ref="CZ86" si="597">IF(AND(CY$1&lt;CZ$1, CZ$1&lt;=$F85),$U86*($F85-CZ$1)/($F85-$U$1),0)</f>
        <v>416.67081018518496</v>
      </c>
      <c r="DA86" s="120">
        <f t="shared" ref="DA86" si="598">IF(AND(CZ$1&lt;DA$1, DA$1&lt;=$F85),$U86*($F85-DA$1)/($F85-$U$1),0)</f>
        <v>400.00397777777755</v>
      </c>
      <c r="DB86" s="120">
        <f t="shared" ref="DB86" si="599">IF(AND(DA$1&lt;DB$1, DB$1&lt;=$F85),$U86*($F85-DB$1)/($F85-$U$1),0)</f>
        <v>383.33714537037014</v>
      </c>
      <c r="DC86" s="120">
        <f t="shared" ref="DC86" si="600">IF(AND(DB$1&lt;DC$1, DC$1&lt;=$F85),$U86*($F85-DC$1)/($F85-$U$1),0)</f>
        <v>366.67031296296273</v>
      </c>
      <c r="DD86" s="120">
        <f t="shared" ref="DD86" si="601">IF(AND(DC$1&lt;DD$1, DD$1&lt;=$F85),$U86*($F85-DD$1)/($F85-$U$1),0)</f>
        <v>350.00348055555537</v>
      </c>
      <c r="DE86" s="120">
        <f t="shared" ref="DE86" si="602">IF(AND(DD$1&lt;DE$1, DE$1&lt;=$F85),$U86*($F85-DE$1)/($F85-$U$1),0)</f>
        <v>333.33664814814796</v>
      </c>
      <c r="DF86" s="120">
        <f t="shared" ref="DF86" si="603">IF(AND(DE$1&lt;DF$1, DF$1&lt;=$F85),$U86*($F85-DF$1)/($F85-$U$1),0)</f>
        <v>316.66981574074055</v>
      </c>
      <c r="DG86" s="120">
        <f t="shared" ref="DG86" si="604">IF(AND(DF$1&lt;DG$1, DG$1&lt;=$F85),$U86*($F85-DG$1)/($F85-$U$1),0)</f>
        <v>300.00298333333313</v>
      </c>
      <c r="DH86" s="120">
        <f t="shared" ref="DH86" si="605">IF(AND(DG$1&lt;DH$1, DH$1&lt;=$F85),$U86*($F85-DH$1)/($F85-$U$1),0)</f>
        <v>283.33615092592578</v>
      </c>
      <c r="DI86" s="120">
        <f t="shared" ref="DI86" si="606">IF(AND(DH$1&lt;DI$1, DI$1&lt;=$F85),$U86*($F85-DI$1)/($F85-$U$1),0)</f>
        <v>266.66931851851837</v>
      </c>
      <c r="DJ86" s="120">
        <f t="shared" ref="DJ86" si="607">IF(AND(DI$1&lt;DJ$1, DJ$1&lt;=$F85),$U86*($F85-DJ$1)/($F85-$U$1),0)</f>
        <v>250.00248611111095</v>
      </c>
      <c r="DK86" s="120">
        <f t="shared" ref="DK86" si="608">IF(AND(DJ$1&lt;DK$1, DK$1&lt;=$F85),$U86*($F85-DK$1)/($F85-$U$1),0)</f>
        <v>233.33565370370357</v>
      </c>
      <c r="DL86" s="120">
        <f t="shared" ref="DL86" si="609">IF(AND(DK$1&lt;DL$1, DL$1&lt;=$F85),$U86*($F85-DL$1)/($F85-$U$1),0)</f>
        <v>216.66882129629616</v>
      </c>
      <c r="DM86" s="120">
        <f t="shared" ref="DM86" si="610">IF(AND(DL$1&lt;DM$1, DM$1&lt;=$F85),$U86*($F85-DM$1)/($F85-$U$1),0)</f>
        <v>200.00198888888877</v>
      </c>
      <c r="DN86" s="120">
        <f t="shared" ref="DN86" si="611">IF(AND(DM$1&lt;DN$1, DN$1&lt;=$F85),$U86*($F85-DN$1)/($F85-$U$1),0)</f>
        <v>183.33515648148136</v>
      </c>
      <c r="DO86" s="120">
        <f t="shared" ref="DO86" si="612">IF(AND(DN$1&lt;DO$1, DO$1&lt;=$F85),$U86*($F85-DO$1)/($F85-$U$1),0)</f>
        <v>166.66832407407398</v>
      </c>
      <c r="DP86" s="120">
        <f t="shared" ref="DP86" si="613">IF(AND(DO$1&lt;DP$1, DP$1&lt;=$F85),$U86*($F85-DP$1)/($F85-$U$1),0)</f>
        <v>150.00149166666657</v>
      </c>
      <c r="DQ86" s="120">
        <f t="shared" ref="DQ86" si="614">IF(AND(DP$1&lt;DQ$1, DQ$1&lt;=$F85),$U86*($F85-DQ$1)/($F85-$U$1),0)</f>
        <v>133.33465925925918</v>
      </c>
      <c r="DR86" s="120">
        <f t="shared" ref="DR86" si="615">IF(AND(DQ$1&lt;DR$1, DR$1&lt;=$F85),$U86*($F85-DR$1)/($F85-$U$1),0)</f>
        <v>116.66782685185179</v>
      </c>
      <c r="DS86" s="120">
        <f t="shared" ref="DS86" si="616">IF(AND(DR$1&lt;DS$1, DS$1&lt;=$F85),$U86*($F85-DS$1)/($F85-$U$1),0)</f>
        <v>100.00099444444439</v>
      </c>
      <c r="DT86" s="120">
        <f t="shared" ref="DT86" si="617">IF(AND(DS$1&lt;DT$1, DT$1&lt;=$F85),$U86*($F85-DT$1)/($F85-$U$1),0)</f>
        <v>83.33416203703699</v>
      </c>
      <c r="DU86" s="120">
        <f t="shared" ref="DU86" si="618">IF(AND(DT$1&lt;DU$1, DU$1&lt;=$F85),$U86*($F85-DU$1)/($F85-$U$1),0)</f>
        <v>66.667329629629592</v>
      </c>
      <c r="DV86" s="120">
        <f t="shared" ref="DV86" si="619">IF(AND(DU$1&lt;DV$1, DV$1&lt;=$F85),$U86*($F85-DV$1)/($F85-$U$1),0)</f>
        <v>50.000497222222194</v>
      </c>
      <c r="DW86" s="120">
        <f t="shared" ref="DW86" si="620">IF(AND(DV$1&lt;DW$1, DW$1&lt;=$F85),$U86*($F85-DW$1)/($F85-$U$1),0)</f>
        <v>33.333664814814796</v>
      </c>
      <c r="DX86" s="120">
        <f t="shared" ref="DX86" si="621">IF(AND(DW$1&lt;DX$1, DX$1&lt;=$F85),$U86*($F85-DX$1)/($F85-$U$1),0)</f>
        <v>16.666832407407398</v>
      </c>
      <c r="DY86" s="120">
        <f t="shared" ref="DY86" si="622">IF(AND(DX$1&lt;DY$1, DY$1&lt;=$F85),$U86*($F85-DY$1)/($F85-$U$1),0)</f>
        <v>0</v>
      </c>
    </row>
    <row r="87" spans="1:129" x14ac:dyDescent="0.45">
      <c r="A87" s="3"/>
      <c r="B87" s="2"/>
      <c r="C87" s="122" t="s">
        <v>266</v>
      </c>
      <c r="D87" s="17"/>
      <c r="E87" s="2"/>
      <c r="F87" s="2"/>
      <c r="G87" s="2"/>
      <c r="H87" s="2"/>
      <c r="I87" s="14"/>
      <c r="J87" s="55"/>
      <c r="K87" s="55"/>
      <c r="L87" s="55"/>
      <c r="M87" s="55"/>
      <c r="N87" s="55"/>
      <c r="O87" s="55"/>
      <c r="P87" s="55"/>
      <c r="Q87" s="55"/>
      <c r="R87" s="55"/>
      <c r="S87" s="55"/>
      <c r="T87" s="55"/>
      <c r="U87" s="95"/>
      <c r="V87" s="91"/>
      <c r="W87" s="91"/>
      <c r="X87" s="91"/>
      <c r="Y87" s="91"/>
      <c r="Z87" s="55"/>
      <c r="AA87" s="55"/>
      <c r="AB87" s="55"/>
      <c r="AC87" s="55"/>
      <c r="AD87" s="55"/>
      <c r="AE87" s="55"/>
      <c r="AF87" s="55"/>
      <c r="AG87" s="129">
        <f>'Plan Moyen Terme (PMT)'!D28-BAU_Liquidité_Dynamique!AG85</f>
        <v>3600.0357999999997</v>
      </c>
      <c r="AH87" s="124">
        <f>IF(AND(AG$1&lt;AH$1, AH$1&lt;=$F85),$AG87*($F85-AH$1)/($F85-$AG$1),0)</f>
        <v>3562.5354270833327</v>
      </c>
      <c r="AI87" s="124">
        <f>IF(AND(AH$1&lt;AI$1, AI$1&lt;=$F85),$AG87*($F85-AI$1)/($F85-$AG$1),0)</f>
        <v>3525.0350541666662</v>
      </c>
      <c r="AJ87" s="124">
        <f t="shared" ref="AJ87:CU87" si="623">IF(AND(AI$1&lt;AJ$1, AJ$1&lt;=$F85),$AG87*($F85-AJ$1)/($F85-$AG$1),0)</f>
        <v>3487.5346812499997</v>
      </c>
      <c r="AK87" s="124">
        <f t="shared" si="623"/>
        <v>3450.0343083333332</v>
      </c>
      <c r="AL87" s="124">
        <f t="shared" si="623"/>
        <v>3412.5339354166663</v>
      </c>
      <c r="AM87" s="124">
        <f t="shared" si="623"/>
        <v>3375.0335624999993</v>
      </c>
      <c r="AN87" s="124">
        <f t="shared" si="623"/>
        <v>3337.5331895833333</v>
      </c>
      <c r="AO87" s="124">
        <f t="shared" si="623"/>
        <v>3300.0328166666663</v>
      </c>
      <c r="AP87" s="124">
        <f t="shared" si="623"/>
        <v>3262.5324437499999</v>
      </c>
      <c r="AQ87" s="124">
        <f t="shared" si="623"/>
        <v>3225.0320708333329</v>
      </c>
      <c r="AR87" s="124">
        <f t="shared" si="623"/>
        <v>3187.531697916666</v>
      </c>
      <c r="AS87" s="124">
        <f t="shared" si="623"/>
        <v>3150.0313249999999</v>
      </c>
      <c r="AT87" s="124">
        <f t="shared" si="623"/>
        <v>3112.530952083333</v>
      </c>
      <c r="AU87" s="124">
        <f t="shared" si="623"/>
        <v>3075.0305791666665</v>
      </c>
      <c r="AV87" s="124">
        <f t="shared" si="623"/>
        <v>3037.5302062499995</v>
      </c>
      <c r="AW87" s="124">
        <f t="shared" si="623"/>
        <v>3000.0298333333326</v>
      </c>
      <c r="AX87" s="124">
        <f t="shared" si="623"/>
        <v>2962.5294604166666</v>
      </c>
      <c r="AY87" s="124">
        <f t="shared" si="623"/>
        <v>2925.0290874999996</v>
      </c>
      <c r="AZ87" s="124">
        <f t="shared" si="623"/>
        <v>2887.5287145833331</v>
      </c>
      <c r="BA87" s="124">
        <f t="shared" si="623"/>
        <v>2850.0283416666662</v>
      </c>
      <c r="BB87" s="124">
        <f t="shared" si="623"/>
        <v>2812.5279687500001</v>
      </c>
      <c r="BC87" s="124">
        <f t="shared" si="623"/>
        <v>2775.0275958333332</v>
      </c>
      <c r="BD87" s="124">
        <f t="shared" si="623"/>
        <v>2737.5272229166662</v>
      </c>
      <c r="BE87" s="124">
        <f t="shared" si="623"/>
        <v>2700.0268499999997</v>
      </c>
      <c r="BF87" s="124">
        <f t="shared" si="623"/>
        <v>2662.5264770833332</v>
      </c>
      <c r="BG87" s="124">
        <f t="shared" si="623"/>
        <v>2625.0261041666663</v>
      </c>
      <c r="BH87" s="124">
        <f t="shared" si="623"/>
        <v>2587.5257312499998</v>
      </c>
      <c r="BI87" s="124">
        <f t="shared" si="623"/>
        <v>2550.0253583333329</v>
      </c>
      <c r="BJ87" s="124">
        <f t="shared" si="623"/>
        <v>2512.5249854166664</v>
      </c>
      <c r="BK87" s="124">
        <f t="shared" si="623"/>
        <v>2475.0246124999999</v>
      </c>
      <c r="BL87" s="124">
        <f t="shared" si="623"/>
        <v>2437.5242395833334</v>
      </c>
      <c r="BM87" s="124">
        <f t="shared" si="623"/>
        <v>2400.0238666666664</v>
      </c>
      <c r="BN87" s="124">
        <f t="shared" si="623"/>
        <v>2362.5234937499995</v>
      </c>
      <c r="BO87" s="124">
        <f t="shared" si="623"/>
        <v>2325.023120833333</v>
      </c>
      <c r="BP87" s="124">
        <f t="shared" si="623"/>
        <v>2287.5227479166665</v>
      </c>
      <c r="BQ87" s="124">
        <f t="shared" si="623"/>
        <v>2250.022375</v>
      </c>
      <c r="BR87" s="124">
        <f t="shared" si="623"/>
        <v>2212.5220020833331</v>
      </c>
      <c r="BS87" s="124">
        <f t="shared" si="623"/>
        <v>2175.0216291666666</v>
      </c>
      <c r="BT87" s="124">
        <f t="shared" si="623"/>
        <v>2137.5212562499996</v>
      </c>
      <c r="BU87" s="124">
        <f t="shared" si="623"/>
        <v>2100.0208833333331</v>
      </c>
      <c r="BV87" s="124">
        <f t="shared" si="623"/>
        <v>2062.5205104166666</v>
      </c>
      <c r="BW87" s="124">
        <f t="shared" si="623"/>
        <v>2025.0201374999997</v>
      </c>
      <c r="BX87" s="124">
        <f t="shared" si="623"/>
        <v>1987.5197645833332</v>
      </c>
      <c r="BY87" s="124">
        <f t="shared" si="623"/>
        <v>1950.0193916666665</v>
      </c>
      <c r="BZ87" s="124">
        <f t="shared" si="623"/>
        <v>1912.51901875</v>
      </c>
      <c r="CA87" s="124">
        <f t="shared" si="623"/>
        <v>1875.018645833333</v>
      </c>
      <c r="CB87" s="124">
        <f t="shared" si="623"/>
        <v>1837.5182729166665</v>
      </c>
      <c r="CC87" s="124">
        <f t="shared" si="623"/>
        <v>1800.0178999999998</v>
      </c>
      <c r="CD87" s="124">
        <f t="shared" si="623"/>
        <v>1762.5175270833331</v>
      </c>
      <c r="CE87" s="124">
        <f t="shared" si="623"/>
        <v>1725.0171541666666</v>
      </c>
      <c r="CF87" s="124">
        <f t="shared" si="623"/>
        <v>1687.5167812499997</v>
      </c>
      <c r="CG87" s="124">
        <f t="shared" si="623"/>
        <v>1650.0164083333332</v>
      </c>
      <c r="CH87" s="124">
        <f t="shared" si="623"/>
        <v>1612.5160354166665</v>
      </c>
      <c r="CI87" s="124">
        <f t="shared" si="623"/>
        <v>1575.0156625</v>
      </c>
      <c r="CJ87" s="124">
        <f t="shared" si="623"/>
        <v>1537.5152895833332</v>
      </c>
      <c r="CK87" s="124">
        <f t="shared" si="623"/>
        <v>1500.0149166666663</v>
      </c>
      <c r="CL87" s="124">
        <f t="shared" si="623"/>
        <v>1462.5145437499998</v>
      </c>
      <c r="CM87" s="124">
        <f t="shared" si="623"/>
        <v>1425.0141708333331</v>
      </c>
      <c r="CN87" s="124">
        <f t="shared" si="623"/>
        <v>1387.5137979166666</v>
      </c>
      <c r="CO87" s="124">
        <f t="shared" si="623"/>
        <v>1350.0134249999999</v>
      </c>
      <c r="CP87" s="124">
        <f t="shared" si="623"/>
        <v>1312.5130520833332</v>
      </c>
      <c r="CQ87" s="124">
        <f t="shared" si="623"/>
        <v>1275.0126791666664</v>
      </c>
      <c r="CR87" s="124">
        <f t="shared" si="623"/>
        <v>1237.5123062499999</v>
      </c>
      <c r="CS87" s="124">
        <f t="shared" si="623"/>
        <v>1200.0119333333332</v>
      </c>
      <c r="CT87" s="124">
        <f t="shared" si="623"/>
        <v>1162.5115604166665</v>
      </c>
      <c r="CU87" s="124">
        <f t="shared" si="623"/>
        <v>1125.0111875</v>
      </c>
      <c r="CV87" s="124">
        <f t="shared" ref="CV87:DY87" si="624">IF(AND(CU$1&lt;CV$1, CV$1&lt;=$F85),$AG87*($F85-CV$1)/($F85-$AG$1),0)</f>
        <v>1087.5108145833333</v>
      </c>
      <c r="CW87" s="124">
        <f t="shared" si="624"/>
        <v>1050.0104416666666</v>
      </c>
      <c r="CX87" s="124">
        <f t="shared" si="624"/>
        <v>1012.5100687499998</v>
      </c>
      <c r="CY87" s="124">
        <f t="shared" si="624"/>
        <v>975.00969583333324</v>
      </c>
      <c r="CZ87" s="124">
        <f t="shared" si="624"/>
        <v>937.50932291666652</v>
      </c>
      <c r="DA87" s="124">
        <f t="shared" si="624"/>
        <v>900.00894999999991</v>
      </c>
      <c r="DB87" s="124">
        <f t="shared" si="624"/>
        <v>862.50857708333331</v>
      </c>
      <c r="DC87" s="124">
        <f t="shared" si="624"/>
        <v>825.00820416666659</v>
      </c>
      <c r="DD87" s="124">
        <f t="shared" si="624"/>
        <v>787.50783124999998</v>
      </c>
      <c r="DE87" s="124">
        <f t="shared" si="624"/>
        <v>750.00745833333315</v>
      </c>
      <c r="DF87" s="124">
        <f t="shared" si="624"/>
        <v>712.50708541666654</v>
      </c>
      <c r="DG87" s="124">
        <f t="shared" si="624"/>
        <v>675.00671249999994</v>
      </c>
      <c r="DH87" s="124">
        <f t="shared" si="624"/>
        <v>637.50633958333322</v>
      </c>
      <c r="DI87" s="124">
        <f t="shared" si="624"/>
        <v>600.00596666666661</v>
      </c>
      <c r="DJ87" s="124">
        <f t="shared" si="624"/>
        <v>562.50559375</v>
      </c>
      <c r="DK87" s="124">
        <f t="shared" si="624"/>
        <v>525.00522083333328</v>
      </c>
      <c r="DL87" s="124">
        <f t="shared" si="624"/>
        <v>487.50484791666662</v>
      </c>
      <c r="DM87" s="124">
        <f t="shared" si="624"/>
        <v>450.00447499999996</v>
      </c>
      <c r="DN87" s="124">
        <f t="shared" si="624"/>
        <v>412.50410208333329</v>
      </c>
      <c r="DO87" s="124">
        <f t="shared" si="624"/>
        <v>375.00372916666657</v>
      </c>
      <c r="DP87" s="124">
        <f t="shared" si="624"/>
        <v>337.50335624999997</v>
      </c>
      <c r="DQ87" s="124">
        <f t="shared" si="624"/>
        <v>300.0029833333333</v>
      </c>
      <c r="DR87" s="124">
        <f t="shared" si="624"/>
        <v>262.50261041666664</v>
      </c>
      <c r="DS87" s="124">
        <f t="shared" si="624"/>
        <v>225.00223749999998</v>
      </c>
      <c r="DT87" s="124">
        <f t="shared" si="624"/>
        <v>187.50186458333329</v>
      </c>
      <c r="DU87" s="124">
        <f t="shared" si="624"/>
        <v>150.00149166666665</v>
      </c>
      <c r="DV87" s="124">
        <f t="shared" si="624"/>
        <v>112.50111874999999</v>
      </c>
      <c r="DW87" s="124">
        <f t="shared" si="624"/>
        <v>75.000745833333326</v>
      </c>
      <c r="DX87" s="124">
        <f t="shared" si="624"/>
        <v>37.500372916666663</v>
      </c>
      <c r="DY87" s="124">
        <f t="shared" si="624"/>
        <v>0</v>
      </c>
    </row>
    <row r="88" spans="1:129" x14ac:dyDescent="0.45">
      <c r="A88" s="3"/>
      <c r="B88" s="2"/>
      <c r="C88" s="125" t="s">
        <v>267</v>
      </c>
      <c r="D88" s="17"/>
      <c r="E88" s="2"/>
      <c r="F88" s="2"/>
      <c r="G88" s="2"/>
      <c r="H88" s="2"/>
      <c r="I88" s="14"/>
      <c r="J88" s="55"/>
      <c r="K88" s="55"/>
      <c r="L88" s="55"/>
      <c r="M88" s="55"/>
      <c r="N88" s="55"/>
      <c r="O88" s="55"/>
      <c r="P88" s="55"/>
      <c r="Q88" s="55"/>
      <c r="R88" s="55"/>
      <c r="S88" s="55"/>
      <c r="T88" s="55"/>
      <c r="U88" s="96"/>
      <c r="V88" s="55"/>
      <c r="W88" s="55"/>
      <c r="X88" s="55"/>
      <c r="Y88" s="55"/>
      <c r="Z88" s="55"/>
      <c r="AA88" s="55"/>
      <c r="AB88" s="55"/>
      <c r="AC88" s="55"/>
      <c r="AD88" s="55"/>
      <c r="AE88" s="55"/>
      <c r="AF88" s="55"/>
      <c r="AG88" s="102"/>
      <c r="AH88" s="91"/>
      <c r="AI88" s="91"/>
      <c r="AJ88" s="91"/>
      <c r="AK88" s="55"/>
      <c r="AL88" s="55"/>
      <c r="AM88" s="55"/>
      <c r="AN88" s="55"/>
      <c r="AO88" s="55"/>
      <c r="AP88" s="55"/>
      <c r="AQ88" s="55"/>
      <c r="AR88" s="55"/>
      <c r="AS88" s="130">
        <f>'Plan Moyen Terme (PMT)'!E28-BAU_Liquidité_Dynamique!AS85</f>
        <v>37857.8747</v>
      </c>
      <c r="AT88" s="126">
        <f>IF(AND(AS$1&lt;AT$1, AT$1&lt;=$F85),$AS88*($F85-AT$1)/($F85-$AS$1),0)</f>
        <v>37407.185715476189</v>
      </c>
      <c r="AU88" s="126">
        <f t="shared" ref="AU88:DF88" si="625">IF(AND(AT$1&lt;AU$1, AU$1&lt;=$F85),$AS88*($F85-AU$1)/($F85-$AS$1),0)</f>
        <v>36956.496730952378</v>
      </c>
      <c r="AV88" s="126">
        <f t="shared" si="625"/>
        <v>36505.807746428567</v>
      </c>
      <c r="AW88" s="126">
        <f t="shared" si="625"/>
        <v>36055.118761904756</v>
      </c>
      <c r="AX88" s="126">
        <f t="shared" si="625"/>
        <v>35604.429777380952</v>
      </c>
      <c r="AY88" s="126">
        <f t="shared" si="625"/>
        <v>35153.740792857148</v>
      </c>
      <c r="AZ88" s="126">
        <f t="shared" si="625"/>
        <v>34703.051808333337</v>
      </c>
      <c r="BA88" s="126">
        <f t="shared" si="625"/>
        <v>34252.362823809526</v>
      </c>
      <c r="BB88" s="126">
        <f t="shared" si="625"/>
        <v>33801.673839285715</v>
      </c>
      <c r="BC88" s="126">
        <f t="shared" si="625"/>
        <v>33350.984854761904</v>
      </c>
      <c r="BD88" s="126">
        <f t="shared" si="625"/>
        <v>32900.295870238093</v>
      </c>
      <c r="BE88" s="126">
        <f t="shared" si="625"/>
        <v>32449.606885714285</v>
      </c>
      <c r="BF88" s="126">
        <f t="shared" si="625"/>
        <v>31998.917901190474</v>
      </c>
      <c r="BG88" s="126">
        <f t="shared" si="625"/>
        <v>31548.228916666663</v>
      </c>
      <c r="BH88" s="126">
        <f t="shared" si="625"/>
        <v>31097.539932142859</v>
      </c>
      <c r="BI88" s="126">
        <f t="shared" si="625"/>
        <v>30646.850947619048</v>
      </c>
      <c r="BJ88" s="126">
        <f t="shared" si="625"/>
        <v>30196.161963095241</v>
      </c>
      <c r="BK88" s="126">
        <f t="shared" si="625"/>
        <v>29745.47297857143</v>
      </c>
      <c r="BL88" s="126">
        <f t="shared" si="625"/>
        <v>29294.783994047619</v>
      </c>
      <c r="BM88" s="126">
        <f t="shared" si="625"/>
        <v>28844.095009523811</v>
      </c>
      <c r="BN88" s="126">
        <f t="shared" si="625"/>
        <v>28393.406025</v>
      </c>
      <c r="BO88" s="126">
        <f t="shared" si="625"/>
        <v>27942.717040476189</v>
      </c>
      <c r="BP88" s="126">
        <f t="shared" si="625"/>
        <v>27492.028055952378</v>
      </c>
      <c r="BQ88" s="126">
        <f t="shared" si="625"/>
        <v>27041.339071428571</v>
      </c>
      <c r="BR88" s="126">
        <f t="shared" si="625"/>
        <v>26590.65008690476</v>
      </c>
      <c r="BS88" s="126">
        <f t="shared" si="625"/>
        <v>26139.961102380956</v>
      </c>
      <c r="BT88" s="126">
        <f t="shared" si="625"/>
        <v>25689.272117857145</v>
      </c>
      <c r="BU88" s="126">
        <f t="shared" si="625"/>
        <v>25238.583133333334</v>
      </c>
      <c r="BV88" s="126">
        <f t="shared" si="625"/>
        <v>24787.894148809526</v>
      </c>
      <c r="BW88" s="126">
        <f t="shared" si="625"/>
        <v>24337.205164285715</v>
      </c>
      <c r="BX88" s="126">
        <f t="shared" si="625"/>
        <v>23886.516179761904</v>
      </c>
      <c r="BY88" s="126">
        <f t="shared" si="625"/>
        <v>23435.827195238096</v>
      </c>
      <c r="BZ88" s="126">
        <f t="shared" si="625"/>
        <v>22985.138210714285</v>
      </c>
      <c r="CA88" s="126">
        <f t="shared" si="625"/>
        <v>22534.449226190478</v>
      </c>
      <c r="CB88" s="126">
        <f t="shared" si="625"/>
        <v>22083.760241666667</v>
      </c>
      <c r="CC88" s="126">
        <f t="shared" si="625"/>
        <v>21633.071257142856</v>
      </c>
      <c r="CD88" s="126">
        <f t="shared" si="625"/>
        <v>21182.382272619048</v>
      </c>
      <c r="CE88" s="126">
        <f t="shared" si="625"/>
        <v>20731.693288095237</v>
      </c>
      <c r="CF88" s="126">
        <f t="shared" si="625"/>
        <v>20281.00430357143</v>
      </c>
      <c r="CG88" s="126">
        <f t="shared" si="625"/>
        <v>19830.315319047619</v>
      </c>
      <c r="CH88" s="126">
        <f t="shared" si="625"/>
        <v>19379.626334523811</v>
      </c>
      <c r="CI88" s="126">
        <f t="shared" si="625"/>
        <v>18928.93735</v>
      </c>
      <c r="CJ88" s="126">
        <f t="shared" si="625"/>
        <v>18478.248365476189</v>
      </c>
      <c r="CK88" s="126">
        <f t="shared" si="625"/>
        <v>18027.559380952378</v>
      </c>
      <c r="CL88" s="126">
        <f t="shared" si="625"/>
        <v>17576.870396428574</v>
      </c>
      <c r="CM88" s="126">
        <f t="shared" si="625"/>
        <v>17126.181411904763</v>
      </c>
      <c r="CN88" s="126">
        <f t="shared" si="625"/>
        <v>16675.492427380952</v>
      </c>
      <c r="CO88" s="126">
        <f t="shared" si="625"/>
        <v>16224.803442857143</v>
      </c>
      <c r="CP88" s="126">
        <f t="shared" si="625"/>
        <v>15774.114458333332</v>
      </c>
      <c r="CQ88" s="126">
        <f t="shared" si="625"/>
        <v>15323.425473809524</v>
      </c>
      <c r="CR88" s="126">
        <f t="shared" si="625"/>
        <v>14872.736489285715</v>
      </c>
      <c r="CS88" s="126">
        <f t="shared" si="625"/>
        <v>14422.047504761906</v>
      </c>
      <c r="CT88" s="126">
        <f t="shared" si="625"/>
        <v>13971.358520238095</v>
      </c>
      <c r="CU88" s="126">
        <f t="shared" si="625"/>
        <v>13520.669535714285</v>
      </c>
      <c r="CV88" s="126">
        <f t="shared" si="625"/>
        <v>13069.980551190478</v>
      </c>
      <c r="CW88" s="126">
        <f t="shared" si="625"/>
        <v>12619.291566666667</v>
      </c>
      <c r="CX88" s="126">
        <f t="shared" si="625"/>
        <v>12168.602582142858</v>
      </c>
      <c r="CY88" s="126">
        <f t="shared" si="625"/>
        <v>11717.913597619048</v>
      </c>
      <c r="CZ88" s="126">
        <f t="shared" si="625"/>
        <v>11267.224613095239</v>
      </c>
      <c r="DA88" s="126">
        <f t="shared" si="625"/>
        <v>10816.535628571428</v>
      </c>
      <c r="DB88" s="126">
        <f t="shared" si="625"/>
        <v>10365.846644047619</v>
      </c>
      <c r="DC88" s="126">
        <f t="shared" si="625"/>
        <v>9915.1576595238093</v>
      </c>
      <c r="DD88" s="126">
        <f t="shared" si="625"/>
        <v>9464.4686750000001</v>
      </c>
      <c r="DE88" s="126">
        <f t="shared" si="625"/>
        <v>9013.779690476189</v>
      </c>
      <c r="DF88" s="126">
        <f t="shared" si="625"/>
        <v>8563.0907059523815</v>
      </c>
      <c r="DG88" s="126">
        <f t="shared" ref="DG88:DY88" si="626">IF(AND(DF$1&lt;DG$1, DG$1&lt;=$F85),$AS88*($F85-DG$1)/($F85-$AS$1),0)</f>
        <v>8112.4017214285714</v>
      </c>
      <c r="DH88" s="126">
        <f t="shared" si="626"/>
        <v>7661.7127369047621</v>
      </c>
      <c r="DI88" s="126">
        <f t="shared" si="626"/>
        <v>7211.0237523809528</v>
      </c>
      <c r="DJ88" s="126">
        <f t="shared" si="626"/>
        <v>6760.3347678571427</v>
      </c>
      <c r="DK88" s="126">
        <f t="shared" si="626"/>
        <v>6309.6457833333334</v>
      </c>
      <c r="DL88" s="126">
        <f t="shared" si="626"/>
        <v>5858.9567988095241</v>
      </c>
      <c r="DM88" s="126">
        <f t="shared" si="626"/>
        <v>5408.2678142857139</v>
      </c>
      <c r="DN88" s="126">
        <f t="shared" si="626"/>
        <v>4957.5788297619047</v>
      </c>
      <c r="DO88" s="126">
        <f t="shared" si="626"/>
        <v>4506.8898452380945</v>
      </c>
      <c r="DP88" s="126">
        <f t="shared" si="626"/>
        <v>4056.2008607142857</v>
      </c>
      <c r="DQ88" s="126">
        <f t="shared" si="626"/>
        <v>3605.5118761904764</v>
      </c>
      <c r="DR88" s="126">
        <f t="shared" si="626"/>
        <v>3154.8228916666667</v>
      </c>
      <c r="DS88" s="126">
        <f t="shared" si="626"/>
        <v>2704.133907142857</v>
      </c>
      <c r="DT88" s="126">
        <f t="shared" si="626"/>
        <v>2253.4449226190472</v>
      </c>
      <c r="DU88" s="126">
        <f t="shared" si="626"/>
        <v>1802.7559380952382</v>
      </c>
      <c r="DV88" s="126">
        <f t="shared" si="626"/>
        <v>1352.0669535714285</v>
      </c>
      <c r="DW88" s="126">
        <f t="shared" si="626"/>
        <v>901.3779690476191</v>
      </c>
      <c r="DX88" s="126">
        <f t="shared" si="626"/>
        <v>450.68898452380955</v>
      </c>
      <c r="DY88" s="126">
        <f t="shared" si="626"/>
        <v>0</v>
      </c>
    </row>
    <row r="89" spans="1:129" x14ac:dyDescent="0.45">
      <c r="A89" s="3">
        <v>46022</v>
      </c>
      <c r="B89" s="2" t="s">
        <v>19</v>
      </c>
      <c r="C89" s="6" t="s">
        <v>26</v>
      </c>
      <c r="D89" s="17">
        <v>0</v>
      </c>
      <c r="E89" s="2" t="s">
        <v>43</v>
      </c>
      <c r="F89" s="2">
        <v>120</v>
      </c>
      <c r="G89" s="2" t="s">
        <v>43</v>
      </c>
      <c r="H89" s="2">
        <v>120</v>
      </c>
      <c r="I89" s="14">
        <v>2.2200000000000002</v>
      </c>
      <c r="J89" s="83">
        <f t="shared" si="404"/>
        <v>2.2015000000000002</v>
      </c>
      <c r="K89" s="83">
        <f t="shared" si="404"/>
        <v>2.1830000000000003</v>
      </c>
      <c r="L89" s="83">
        <f t="shared" si="404"/>
        <v>2.1645000000000003</v>
      </c>
      <c r="M89" s="83">
        <f t="shared" si="404"/>
        <v>2.1460000000000004</v>
      </c>
      <c r="N89" s="83">
        <f t="shared" si="404"/>
        <v>2.1275000000000004</v>
      </c>
      <c r="O89" s="83">
        <f t="shared" si="404"/>
        <v>2.109</v>
      </c>
      <c r="P89" s="83">
        <f t="shared" si="404"/>
        <v>2.0905</v>
      </c>
      <c r="Q89" s="83">
        <f t="shared" si="404"/>
        <v>2.0720000000000001</v>
      </c>
      <c r="R89" s="83">
        <f t="shared" si="404"/>
        <v>2.0535000000000001</v>
      </c>
      <c r="S89" s="83">
        <f t="shared" si="404"/>
        <v>2.0350000000000001</v>
      </c>
      <c r="T89" s="83">
        <f t="shared" si="404"/>
        <v>2.0165000000000002</v>
      </c>
      <c r="U89" s="131">
        <f t="shared" si="404"/>
        <v>1.9980000000000002</v>
      </c>
      <c r="V89" s="83">
        <f t="shared" si="404"/>
        <v>1.9795000000000003</v>
      </c>
      <c r="W89" s="83">
        <f t="shared" si="404"/>
        <v>1.9610000000000001</v>
      </c>
      <c r="X89" s="83">
        <f t="shared" si="404"/>
        <v>1.9425000000000001</v>
      </c>
      <c r="Y89" s="83">
        <f t="shared" si="404"/>
        <v>1.9240000000000002</v>
      </c>
      <c r="Z89" s="83">
        <f t="shared" si="405"/>
        <v>1.9055</v>
      </c>
      <c r="AA89" s="83">
        <f t="shared" si="405"/>
        <v>1.887</v>
      </c>
      <c r="AB89" s="83">
        <f t="shared" si="405"/>
        <v>1.8685000000000003</v>
      </c>
      <c r="AC89" s="83">
        <f t="shared" si="405"/>
        <v>1.8500000000000003</v>
      </c>
      <c r="AD89" s="83">
        <f t="shared" si="405"/>
        <v>1.8315000000000001</v>
      </c>
      <c r="AE89" s="83">
        <f t="shared" si="405"/>
        <v>1.8130000000000002</v>
      </c>
      <c r="AF89" s="83">
        <f t="shared" si="405"/>
        <v>1.7945000000000002</v>
      </c>
      <c r="AG89" s="134">
        <f t="shared" si="405"/>
        <v>1.7760000000000002</v>
      </c>
      <c r="AH89" s="83">
        <f t="shared" si="405"/>
        <v>1.7575000000000001</v>
      </c>
      <c r="AI89" s="83">
        <f t="shared" si="405"/>
        <v>1.7390000000000001</v>
      </c>
      <c r="AJ89" s="83">
        <f t="shared" si="405"/>
        <v>1.7205000000000001</v>
      </c>
      <c r="AK89" s="83">
        <f t="shared" si="405"/>
        <v>1.7020000000000002</v>
      </c>
      <c r="AL89" s="83">
        <f t="shared" si="405"/>
        <v>1.6835</v>
      </c>
      <c r="AM89" s="83">
        <f t="shared" si="405"/>
        <v>1.665</v>
      </c>
      <c r="AN89" s="83">
        <f t="shared" si="405"/>
        <v>1.6465000000000003</v>
      </c>
      <c r="AO89" s="83">
        <f t="shared" si="405"/>
        <v>1.6280000000000001</v>
      </c>
      <c r="AP89" s="83">
        <f t="shared" si="405"/>
        <v>1.6095000000000002</v>
      </c>
      <c r="AQ89" s="83">
        <f t="shared" si="405"/>
        <v>1.5910000000000002</v>
      </c>
      <c r="AR89" s="83">
        <f t="shared" si="405"/>
        <v>1.5725000000000002</v>
      </c>
      <c r="AS89" s="130">
        <f t="shared" si="405"/>
        <v>1.554</v>
      </c>
      <c r="AT89" s="83">
        <f t="shared" si="405"/>
        <v>1.5355000000000001</v>
      </c>
      <c r="AU89" s="83">
        <f t="shared" si="405"/>
        <v>1.5170000000000001</v>
      </c>
      <c r="AV89" s="83">
        <f t="shared" si="405"/>
        <v>1.4985000000000002</v>
      </c>
      <c r="AW89" s="83">
        <f t="shared" si="405"/>
        <v>1.48</v>
      </c>
      <c r="AX89" s="83">
        <f t="shared" si="405"/>
        <v>1.4615</v>
      </c>
      <c r="AY89" s="83">
        <f t="shared" si="405"/>
        <v>1.4430000000000003</v>
      </c>
      <c r="AZ89" s="83">
        <f t="shared" si="405"/>
        <v>1.4245000000000003</v>
      </c>
      <c r="BA89" s="83">
        <f t="shared" si="405"/>
        <v>1.4060000000000001</v>
      </c>
      <c r="BB89" s="83">
        <f t="shared" si="405"/>
        <v>1.3875000000000002</v>
      </c>
      <c r="BC89" s="83">
        <f t="shared" si="405"/>
        <v>1.3690000000000002</v>
      </c>
      <c r="BD89" s="83">
        <f t="shared" si="405"/>
        <v>1.3505</v>
      </c>
      <c r="BE89" s="83">
        <f t="shared" si="405"/>
        <v>1.3320000000000001</v>
      </c>
      <c r="BF89" s="83">
        <f t="shared" si="405"/>
        <v>1.3135000000000001</v>
      </c>
      <c r="BG89" s="83">
        <f t="shared" si="405"/>
        <v>1.2950000000000002</v>
      </c>
      <c r="BH89" s="83">
        <f t="shared" si="405"/>
        <v>1.2765</v>
      </c>
      <c r="BI89" s="83">
        <f t="shared" si="405"/>
        <v>1.258</v>
      </c>
      <c r="BJ89" s="83">
        <f t="shared" si="405"/>
        <v>1.2395</v>
      </c>
      <c r="BK89" s="83">
        <f t="shared" si="405"/>
        <v>1.2210000000000003</v>
      </c>
      <c r="BL89" s="83">
        <f t="shared" si="405"/>
        <v>1.2025000000000001</v>
      </c>
      <c r="BM89" s="83">
        <f t="shared" si="405"/>
        <v>1.1840000000000002</v>
      </c>
      <c r="BN89" s="83">
        <f t="shared" si="405"/>
        <v>1.1655000000000002</v>
      </c>
      <c r="BO89" s="83">
        <f t="shared" si="405"/>
        <v>1.1470000000000002</v>
      </c>
      <c r="BP89" s="83">
        <f t="shared" si="405"/>
        <v>1.1285000000000001</v>
      </c>
      <c r="BQ89" s="83">
        <f t="shared" si="405"/>
        <v>1.1100000000000001</v>
      </c>
      <c r="BR89" s="83">
        <f t="shared" si="405"/>
        <v>1.0915000000000001</v>
      </c>
      <c r="BS89" s="83">
        <f t="shared" si="405"/>
        <v>1.0730000000000002</v>
      </c>
      <c r="BT89" s="83">
        <f t="shared" si="405"/>
        <v>1.0545</v>
      </c>
      <c r="BU89" s="83">
        <f t="shared" si="405"/>
        <v>1.036</v>
      </c>
      <c r="BV89" s="83">
        <f t="shared" si="405"/>
        <v>1.0175000000000001</v>
      </c>
      <c r="BW89" s="83">
        <f t="shared" si="405"/>
        <v>0.99900000000000011</v>
      </c>
      <c r="BX89" s="83">
        <f t="shared" si="405"/>
        <v>0.98050000000000004</v>
      </c>
      <c r="BY89" s="83">
        <f t="shared" si="405"/>
        <v>0.96200000000000008</v>
      </c>
      <c r="BZ89" s="83">
        <f t="shared" si="405"/>
        <v>0.94350000000000001</v>
      </c>
      <c r="CA89" s="83">
        <f t="shared" si="405"/>
        <v>0.92500000000000016</v>
      </c>
      <c r="CB89" s="83">
        <f t="shared" si="405"/>
        <v>0.90650000000000008</v>
      </c>
      <c r="CC89" s="83">
        <f t="shared" si="405"/>
        <v>0.88800000000000012</v>
      </c>
      <c r="CD89" s="83">
        <f t="shared" si="405"/>
        <v>0.86950000000000005</v>
      </c>
      <c r="CE89" s="83">
        <f t="shared" si="405"/>
        <v>0.85100000000000009</v>
      </c>
      <c r="CF89" s="83">
        <f t="shared" si="405"/>
        <v>0.83250000000000002</v>
      </c>
      <c r="CG89" s="83">
        <f t="shared" si="405"/>
        <v>0.81400000000000006</v>
      </c>
      <c r="CH89" s="83">
        <f t="shared" si="405"/>
        <v>0.7955000000000001</v>
      </c>
      <c r="CI89" s="83">
        <f t="shared" si="405"/>
        <v>0.77700000000000002</v>
      </c>
      <c r="CJ89" s="83">
        <f t="shared" si="405"/>
        <v>0.75850000000000006</v>
      </c>
      <c r="CK89" s="83">
        <f t="shared" si="405"/>
        <v>0.74</v>
      </c>
      <c r="CL89" s="83">
        <f t="shared" si="406"/>
        <v>0.72150000000000014</v>
      </c>
      <c r="CM89" s="83">
        <f t="shared" si="406"/>
        <v>0.70300000000000007</v>
      </c>
      <c r="CN89" s="83">
        <f t="shared" si="406"/>
        <v>0.68450000000000011</v>
      </c>
      <c r="CO89" s="83">
        <f t="shared" si="406"/>
        <v>0.66600000000000004</v>
      </c>
      <c r="CP89" s="83">
        <f t="shared" si="406"/>
        <v>0.64750000000000008</v>
      </c>
      <c r="CQ89" s="83">
        <f t="shared" si="406"/>
        <v>0.629</v>
      </c>
      <c r="CR89" s="83">
        <f t="shared" si="406"/>
        <v>0.61050000000000015</v>
      </c>
      <c r="CS89" s="83">
        <f t="shared" si="406"/>
        <v>0.59200000000000008</v>
      </c>
      <c r="CT89" s="83">
        <f t="shared" si="406"/>
        <v>0.57350000000000012</v>
      </c>
      <c r="CU89" s="83">
        <f t="shared" si="406"/>
        <v>0.55500000000000005</v>
      </c>
      <c r="CV89" s="83">
        <f t="shared" si="406"/>
        <v>0.53650000000000009</v>
      </c>
      <c r="CW89" s="83">
        <f t="shared" si="406"/>
        <v>0.51800000000000002</v>
      </c>
      <c r="CX89" s="83">
        <f t="shared" si="406"/>
        <v>0.49950000000000006</v>
      </c>
      <c r="CY89" s="83">
        <f t="shared" si="406"/>
        <v>0.48100000000000004</v>
      </c>
      <c r="CZ89" s="83">
        <f t="shared" si="406"/>
        <v>0.46250000000000008</v>
      </c>
      <c r="DA89" s="83">
        <f t="shared" si="406"/>
        <v>0.44400000000000006</v>
      </c>
      <c r="DB89" s="83">
        <f t="shared" si="406"/>
        <v>0.42550000000000004</v>
      </c>
      <c r="DC89" s="83">
        <f t="shared" si="406"/>
        <v>0.40700000000000003</v>
      </c>
      <c r="DD89" s="83">
        <f t="shared" si="406"/>
        <v>0.38850000000000001</v>
      </c>
      <c r="DE89" s="83">
        <f t="shared" si="406"/>
        <v>0.37</v>
      </c>
      <c r="DF89" s="83">
        <f t="shared" si="406"/>
        <v>0.35150000000000003</v>
      </c>
      <c r="DG89" s="83">
        <f t="shared" si="406"/>
        <v>0.33300000000000002</v>
      </c>
      <c r="DH89" s="83">
        <f t="shared" si="406"/>
        <v>0.3145</v>
      </c>
      <c r="DI89" s="83">
        <f t="shared" si="406"/>
        <v>0.29600000000000004</v>
      </c>
      <c r="DJ89" s="83">
        <f t="shared" si="406"/>
        <v>0.27750000000000002</v>
      </c>
      <c r="DK89" s="83">
        <f t="shared" si="406"/>
        <v>0.25900000000000001</v>
      </c>
      <c r="DL89" s="83">
        <f t="shared" si="406"/>
        <v>0.24050000000000002</v>
      </c>
      <c r="DM89" s="83">
        <f t="shared" si="406"/>
        <v>0.22200000000000003</v>
      </c>
      <c r="DN89" s="83">
        <f t="shared" si="406"/>
        <v>0.20350000000000001</v>
      </c>
      <c r="DO89" s="83">
        <f t="shared" si="406"/>
        <v>0.185</v>
      </c>
      <c r="DP89" s="83">
        <f t="shared" si="406"/>
        <v>0.16650000000000001</v>
      </c>
      <c r="DQ89" s="83">
        <f t="shared" si="406"/>
        <v>0.14800000000000002</v>
      </c>
      <c r="DR89" s="83">
        <f t="shared" si="406"/>
        <v>0.1295</v>
      </c>
      <c r="DS89" s="83">
        <f t="shared" si="406"/>
        <v>0.11100000000000002</v>
      </c>
      <c r="DT89" s="83">
        <f t="shared" si="406"/>
        <v>9.2499999999999999E-2</v>
      </c>
      <c r="DU89" s="83">
        <f t="shared" si="406"/>
        <v>7.400000000000001E-2</v>
      </c>
      <c r="DV89" s="83">
        <f t="shared" si="406"/>
        <v>5.5500000000000008E-2</v>
      </c>
      <c r="DW89" s="83">
        <f t="shared" si="406"/>
        <v>3.7000000000000005E-2</v>
      </c>
      <c r="DX89" s="83">
        <f t="shared" si="406"/>
        <v>1.8500000000000003E-2</v>
      </c>
      <c r="DY89" s="83">
        <f t="shared" si="406"/>
        <v>0</v>
      </c>
    </row>
    <row r="90" spans="1:129" x14ac:dyDescent="0.45">
      <c r="A90" s="3"/>
      <c r="B90" s="2"/>
      <c r="C90" s="121" t="s">
        <v>265</v>
      </c>
      <c r="D90" s="17"/>
      <c r="E90" s="2"/>
      <c r="F90" s="2"/>
      <c r="G90" s="2"/>
      <c r="H90" s="2"/>
      <c r="I90" s="14"/>
      <c r="J90" s="55"/>
      <c r="K90" s="55"/>
      <c r="L90" s="55"/>
      <c r="M90" s="55"/>
      <c r="N90" s="55"/>
      <c r="O90" s="55"/>
      <c r="P90" s="55"/>
      <c r="Q90" s="55"/>
      <c r="R90" s="55"/>
      <c r="S90" s="55"/>
      <c r="T90" s="55"/>
      <c r="U90" s="119">
        <f>'Plan Moyen Terme (PMT)'!C29-BAU_Liquidité_Dynamique!U89</f>
        <v>0.22199999999999998</v>
      </c>
      <c r="V90" s="120">
        <f>IF(AND(U$1&lt;V$1, V$1&lt;=$F89),$U90*($F89-V$1)/($F89-$U$1),0)</f>
        <v>0.21994444444444441</v>
      </c>
      <c r="W90" s="120">
        <f>IF(AND(V$1&lt;W$1, W$1&lt;=$F89),$U90*($F89-W$1)/($F89-$U$1),0)</f>
        <v>0.21788888888888885</v>
      </c>
      <c r="X90" s="120">
        <f t="shared" ref="X90" si="627">IF(AND(W$1&lt;X$1, X$1&lt;=$F89),$U90*($F89-X$1)/($F89-$U$1),0)</f>
        <v>0.21583333333333332</v>
      </c>
      <c r="Y90" s="120">
        <f t="shared" ref="Y90" si="628">IF(AND(X$1&lt;Y$1, Y$1&lt;=$F89),$U90*($F89-Y$1)/($F89-$U$1),0)</f>
        <v>0.21377777777777776</v>
      </c>
      <c r="Z90" s="120">
        <f t="shared" ref="Z90" si="629">IF(AND(Y$1&lt;Z$1, Z$1&lt;=$F89),$U90*($F89-Z$1)/($F89-$U$1),0)</f>
        <v>0.21172222222222217</v>
      </c>
      <c r="AA90" s="120">
        <f t="shared" ref="AA90" si="630">IF(AND(Z$1&lt;AA$1, AA$1&lt;=$F89),$U90*($F89-AA$1)/($F89-$U$1),0)</f>
        <v>0.20966666666666664</v>
      </c>
      <c r="AB90" s="120">
        <f t="shared" ref="AB90" si="631">IF(AND(AA$1&lt;AB$1, AB$1&lt;=$F89),$U90*($F89-AB$1)/($F89-$U$1),0)</f>
        <v>0.20761111111111108</v>
      </c>
      <c r="AC90" s="120">
        <f t="shared" ref="AC90" si="632">IF(AND(AB$1&lt;AC$1, AC$1&lt;=$F89),$U90*($F89-AC$1)/($F89-$U$1),0)</f>
        <v>0.20555555555555552</v>
      </c>
      <c r="AD90" s="120">
        <f t="shared" ref="AD90" si="633">IF(AND(AC$1&lt;AD$1, AD$1&lt;=$F89),$U90*($F89-AD$1)/($F89-$U$1),0)</f>
        <v>0.20349999999999999</v>
      </c>
      <c r="AE90" s="120">
        <f t="shared" ref="AE90" si="634">IF(AND(AD$1&lt;AE$1, AE$1&lt;=$F89),$U90*($F89-AE$1)/($F89-$U$1),0)</f>
        <v>0.20144444444444443</v>
      </c>
      <c r="AF90" s="120">
        <f t="shared" ref="AF90" si="635">IF(AND(AE$1&lt;AF$1, AF$1&lt;=$F89),$U90*($F89-AF$1)/($F89-$U$1),0)</f>
        <v>0.19938888888888887</v>
      </c>
      <c r="AG90" s="120">
        <f t="shared" ref="AG90" si="636">IF(AND(AF$1&lt;AG$1, AG$1&lt;=$F89),$U90*($F89-AG$1)/($F89-$U$1),0)</f>
        <v>0.19733333333333331</v>
      </c>
      <c r="AH90" s="120">
        <f t="shared" ref="AH90" si="637">IF(AND(AG$1&lt;AH$1, AH$1&lt;=$F89),$U90*($F89-AH$1)/($F89-$U$1),0)</f>
        <v>0.19527777777777774</v>
      </c>
      <c r="AI90" s="120">
        <f t="shared" ref="AI90" si="638">IF(AND(AH$1&lt;AI$1, AI$1&lt;=$F89),$U90*($F89-AI$1)/($F89-$U$1),0)</f>
        <v>0.19322222222222221</v>
      </c>
      <c r="AJ90" s="120">
        <f t="shared" ref="AJ90" si="639">IF(AND(AI$1&lt;AJ$1, AJ$1&lt;=$F89),$U90*($F89-AJ$1)/($F89-$U$1),0)</f>
        <v>0.19116666666666665</v>
      </c>
      <c r="AK90" s="120">
        <f t="shared" ref="AK90" si="640">IF(AND(AJ$1&lt;AK$1, AK$1&lt;=$F89),$U90*($F89-AK$1)/($F89-$U$1),0)</f>
        <v>0.18911111111111112</v>
      </c>
      <c r="AL90" s="120">
        <f t="shared" ref="AL90" si="641">IF(AND(AK$1&lt;AL$1, AL$1&lt;=$F89),$U90*($F89-AL$1)/($F89-$U$1),0)</f>
        <v>0.18705555555555553</v>
      </c>
      <c r="AM90" s="120">
        <f t="shared" ref="AM90" si="642">IF(AND(AL$1&lt;AM$1, AM$1&lt;=$F89),$U90*($F89-AM$1)/($F89-$U$1),0)</f>
        <v>0.18499999999999997</v>
      </c>
      <c r="AN90" s="120">
        <f t="shared" ref="AN90" si="643">IF(AND(AM$1&lt;AN$1, AN$1&lt;=$F89),$U90*($F89-AN$1)/($F89-$U$1),0)</f>
        <v>0.18294444444444444</v>
      </c>
      <c r="AO90" s="120">
        <f t="shared" ref="AO90" si="644">IF(AND(AN$1&lt;AO$1, AO$1&lt;=$F89),$U90*($F89-AO$1)/($F89-$U$1),0)</f>
        <v>0.18088888888888888</v>
      </c>
      <c r="AP90" s="120">
        <f t="shared" ref="AP90" si="645">IF(AND(AO$1&lt;AP$1, AP$1&lt;=$F89),$U90*($F89-AP$1)/($F89-$U$1),0)</f>
        <v>0.17883333333333329</v>
      </c>
      <c r="AQ90" s="120">
        <f t="shared" ref="AQ90" si="646">IF(AND(AP$1&lt;AQ$1, AQ$1&lt;=$F89),$U90*($F89-AQ$1)/($F89-$U$1),0)</f>
        <v>0.17677777777777776</v>
      </c>
      <c r="AR90" s="120">
        <f t="shared" ref="AR90" si="647">IF(AND(AQ$1&lt;AR$1, AR$1&lt;=$F89),$U90*($F89-AR$1)/($F89-$U$1),0)</f>
        <v>0.1747222222222222</v>
      </c>
      <c r="AS90" s="120">
        <f t="shared" ref="AS90" si="648">IF(AND(AR$1&lt;AS$1, AS$1&lt;=$F89),$U90*($F89-AS$1)/($F89-$U$1),0)</f>
        <v>0.17266666666666663</v>
      </c>
      <c r="AT90" s="120">
        <f t="shared" ref="AT90" si="649">IF(AND(AS$1&lt;AT$1, AT$1&lt;=$F89),$U90*($F89-AT$1)/($F89-$U$1),0)</f>
        <v>0.1706111111111111</v>
      </c>
      <c r="AU90" s="120">
        <f t="shared" ref="AU90" si="650">IF(AND(AT$1&lt;AU$1, AU$1&lt;=$F89),$U90*($F89-AU$1)/($F89-$U$1),0)</f>
        <v>0.16855555555555554</v>
      </c>
      <c r="AV90" s="120">
        <f t="shared" ref="AV90" si="651">IF(AND(AU$1&lt;AV$1, AV$1&lt;=$F89),$U90*($F89-AV$1)/($F89-$U$1),0)</f>
        <v>0.16649999999999998</v>
      </c>
      <c r="AW90" s="120">
        <f t="shared" ref="AW90" si="652">IF(AND(AV$1&lt;AW$1, AW$1&lt;=$F89),$U90*($F89-AW$1)/($F89-$U$1),0)</f>
        <v>0.16444444444444442</v>
      </c>
      <c r="AX90" s="120">
        <f t="shared" ref="AX90" si="653">IF(AND(AW$1&lt;AX$1, AX$1&lt;=$F89),$U90*($F89-AX$1)/($F89-$U$1),0)</f>
        <v>0.16238888888888886</v>
      </c>
      <c r="AY90" s="120">
        <f t="shared" ref="AY90" si="654">IF(AND(AX$1&lt;AY$1, AY$1&lt;=$F89),$U90*($F89-AY$1)/($F89-$U$1),0)</f>
        <v>0.16033333333333333</v>
      </c>
      <c r="AZ90" s="120">
        <f t="shared" ref="AZ90" si="655">IF(AND(AY$1&lt;AZ$1, AZ$1&lt;=$F89),$U90*($F89-AZ$1)/($F89-$U$1),0)</f>
        <v>0.15827777777777777</v>
      </c>
      <c r="BA90" s="120">
        <f t="shared" ref="BA90" si="656">IF(AND(AZ$1&lt;BA$1, BA$1&lt;=$F89),$U90*($F89-BA$1)/($F89-$U$1),0)</f>
        <v>0.15622222222222223</v>
      </c>
      <c r="BB90" s="120">
        <f t="shared" ref="BB90" si="657">IF(AND(BA$1&lt;BB$1, BB$1&lt;=$F89),$U90*($F89-BB$1)/($F89-$U$1),0)</f>
        <v>0.15416666666666665</v>
      </c>
      <c r="BC90" s="120">
        <f t="shared" ref="BC90" si="658">IF(AND(BB$1&lt;BC$1, BC$1&lt;=$F89),$U90*($F89-BC$1)/($F89-$U$1),0)</f>
        <v>0.15211111111111109</v>
      </c>
      <c r="BD90" s="120">
        <f t="shared" ref="BD90" si="659">IF(AND(BC$1&lt;BD$1, BD$1&lt;=$F89),$U90*($F89-BD$1)/($F89-$U$1),0)</f>
        <v>0.15005555555555555</v>
      </c>
      <c r="BE90" s="120">
        <f t="shared" ref="BE90" si="660">IF(AND(BD$1&lt;BE$1, BE$1&lt;=$F89),$U90*($F89-BE$1)/($F89-$U$1),0)</f>
        <v>0.14799999999999999</v>
      </c>
      <c r="BF90" s="120">
        <f t="shared" ref="BF90" si="661">IF(AND(BE$1&lt;BF$1, BF$1&lt;=$F89),$U90*($F89-BF$1)/($F89-$U$1),0)</f>
        <v>0.14594444444444443</v>
      </c>
      <c r="BG90" s="120">
        <f t="shared" ref="BG90" si="662">IF(AND(BF$1&lt;BG$1, BG$1&lt;=$F89),$U90*($F89-BG$1)/($F89-$U$1),0)</f>
        <v>0.14388888888888887</v>
      </c>
      <c r="BH90" s="120">
        <f t="shared" ref="BH90" si="663">IF(AND(BG$1&lt;BH$1, BH$1&lt;=$F89),$U90*($F89-BH$1)/($F89-$U$1),0)</f>
        <v>0.14183333333333331</v>
      </c>
      <c r="BI90" s="120">
        <f t="shared" ref="BI90" si="664">IF(AND(BH$1&lt;BI$1, BI$1&lt;=$F89),$U90*($F89-BI$1)/($F89-$U$1),0)</f>
        <v>0.13977777777777775</v>
      </c>
      <c r="BJ90" s="120">
        <f t="shared" ref="BJ90" si="665">IF(AND(BI$1&lt;BJ$1, BJ$1&lt;=$F89),$U90*($F89-BJ$1)/($F89-$U$1),0)</f>
        <v>0.13772222222222222</v>
      </c>
      <c r="BK90" s="120">
        <f t="shared" ref="BK90" si="666">IF(AND(BJ$1&lt;BK$1, BK$1&lt;=$F89),$U90*($F89-BK$1)/($F89-$U$1),0)</f>
        <v>0.13566666666666663</v>
      </c>
      <c r="BL90" s="120">
        <f t="shared" ref="BL90" si="667">IF(AND(BK$1&lt;BL$1, BL$1&lt;=$F89),$U90*($F89-BL$1)/($F89-$U$1),0)</f>
        <v>0.1336111111111111</v>
      </c>
      <c r="BM90" s="120">
        <f t="shared" ref="BM90" si="668">IF(AND(BL$1&lt;BM$1, BM$1&lt;=$F89),$U90*($F89-BM$1)/($F89-$U$1),0)</f>
        <v>0.13155555555555554</v>
      </c>
      <c r="BN90" s="120">
        <f t="shared" ref="BN90" si="669">IF(AND(BM$1&lt;BN$1, BN$1&lt;=$F89),$U90*($F89-BN$1)/($F89-$U$1),0)</f>
        <v>0.12949999999999998</v>
      </c>
      <c r="BO90" s="120">
        <f t="shared" ref="BO90" si="670">IF(AND(BN$1&lt;BO$1, BO$1&lt;=$F89),$U90*($F89-BO$1)/($F89-$U$1),0)</f>
        <v>0.12744444444444444</v>
      </c>
      <c r="BP90" s="120">
        <f t="shared" ref="BP90" si="671">IF(AND(BO$1&lt;BP$1, BP$1&lt;=$F89),$U90*($F89-BP$1)/($F89-$U$1),0)</f>
        <v>0.12538888888888888</v>
      </c>
      <c r="BQ90" s="120">
        <f t="shared" ref="BQ90" si="672">IF(AND(BP$1&lt;BQ$1, BQ$1&lt;=$F89),$U90*($F89-BQ$1)/($F89-$U$1),0)</f>
        <v>0.12333333333333332</v>
      </c>
      <c r="BR90" s="120">
        <f t="shared" ref="BR90" si="673">IF(AND(BQ$1&lt;BR$1, BR$1&lt;=$F89),$U90*($F89-BR$1)/($F89-$U$1),0)</f>
        <v>0.12127777777777776</v>
      </c>
      <c r="BS90" s="120">
        <f t="shared" ref="BS90" si="674">IF(AND(BR$1&lt;BS$1, BS$1&lt;=$F89),$U90*($F89-BS$1)/($F89-$U$1),0)</f>
        <v>0.1192222222222222</v>
      </c>
      <c r="BT90" s="120">
        <f t="shared" ref="BT90" si="675">IF(AND(BS$1&lt;BT$1, BT$1&lt;=$F89),$U90*($F89-BT$1)/($F89-$U$1),0)</f>
        <v>0.11716666666666666</v>
      </c>
      <c r="BU90" s="120">
        <f t="shared" ref="BU90" si="676">IF(AND(BT$1&lt;BU$1, BU$1&lt;=$F89),$U90*($F89-BU$1)/($F89-$U$1),0)</f>
        <v>0.11511111111111109</v>
      </c>
      <c r="BV90" s="120">
        <f t="shared" ref="BV90" si="677">IF(AND(BU$1&lt;BV$1, BV$1&lt;=$F89),$U90*($F89-BV$1)/($F89-$U$1),0)</f>
        <v>0.11305555555555555</v>
      </c>
      <c r="BW90" s="120">
        <f t="shared" ref="BW90" si="678">IF(AND(BV$1&lt;BW$1, BW$1&lt;=$F89),$U90*($F89-BW$1)/($F89-$U$1),0)</f>
        <v>0.111</v>
      </c>
      <c r="BX90" s="120">
        <f t="shared" ref="BX90" si="679">IF(AND(BW$1&lt;BX$1, BX$1&lt;=$F89),$U90*($F89-BX$1)/($F89-$U$1),0)</f>
        <v>0.10894444444444443</v>
      </c>
      <c r="BY90" s="120">
        <f t="shared" ref="BY90" si="680">IF(AND(BX$1&lt;BY$1, BY$1&lt;=$F89),$U90*($F89-BY$1)/($F89-$U$1),0)</f>
        <v>0.10688888888888888</v>
      </c>
      <c r="BZ90" s="120">
        <f t="shared" ref="BZ90" si="681">IF(AND(BY$1&lt;BZ$1, BZ$1&lt;=$F89),$U90*($F89-BZ$1)/($F89-$U$1),0)</f>
        <v>0.10483333333333332</v>
      </c>
      <c r="CA90" s="120">
        <f t="shared" ref="CA90" si="682">IF(AND(BZ$1&lt;CA$1, CA$1&lt;=$F89),$U90*($F89-CA$1)/($F89-$U$1),0)</f>
        <v>0.10277777777777776</v>
      </c>
      <c r="CB90" s="120">
        <f t="shared" ref="CB90" si="683">IF(AND(CA$1&lt;CB$1, CB$1&lt;=$F89),$U90*($F89-CB$1)/($F89-$U$1),0)</f>
        <v>0.10072222222222221</v>
      </c>
      <c r="CC90" s="120">
        <f t="shared" ref="CC90" si="684">IF(AND(CB$1&lt;CC$1, CC$1&lt;=$F89),$U90*($F89-CC$1)/($F89-$U$1),0)</f>
        <v>9.8666666666666653E-2</v>
      </c>
      <c r="CD90" s="120">
        <f t="shared" ref="CD90" si="685">IF(AND(CC$1&lt;CD$1, CD$1&lt;=$F89),$U90*($F89-CD$1)/($F89-$U$1),0)</f>
        <v>9.6611111111111106E-2</v>
      </c>
      <c r="CE90" s="120">
        <f t="shared" ref="CE90" si="686">IF(AND(CD$1&lt;CE$1, CE$1&lt;=$F89),$U90*($F89-CE$1)/($F89-$U$1),0)</f>
        <v>9.4555555555555559E-2</v>
      </c>
      <c r="CF90" s="120">
        <f t="shared" ref="CF90" si="687">IF(AND(CE$1&lt;CF$1, CF$1&lt;=$F89),$U90*($F89-CF$1)/($F89-$U$1),0)</f>
        <v>9.2499999999999985E-2</v>
      </c>
      <c r="CG90" s="120">
        <f t="shared" ref="CG90" si="688">IF(AND(CF$1&lt;CG$1, CG$1&lt;=$F89),$U90*($F89-CG$1)/($F89-$U$1),0)</f>
        <v>9.0444444444444438E-2</v>
      </c>
      <c r="CH90" s="120">
        <f t="shared" ref="CH90" si="689">IF(AND(CG$1&lt;CH$1, CH$1&lt;=$F89),$U90*($F89-CH$1)/($F89-$U$1),0)</f>
        <v>8.8388888888888878E-2</v>
      </c>
      <c r="CI90" s="120">
        <f t="shared" ref="CI90" si="690">IF(AND(CH$1&lt;CI$1, CI$1&lt;=$F89),$U90*($F89-CI$1)/($F89-$U$1),0)</f>
        <v>8.6333333333333317E-2</v>
      </c>
      <c r="CJ90" s="120">
        <f t="shared" ref="CJ90" si="691">IF(AND(CI$1&lt;CJ$1, CJ$1&lt;=$F89),$U90*($F89-CJ$1)/($F89-$U$1),0)</f>
        <v>8.4277777777777771E-2</v>
      </c>
      <c r="CK90" s="120">
        <f t="shared" ref="CK90" si="692">IF(AND(CJ$1&lt;CK$1, CK$1&lt;=$F89),$U90*($F89-CK$1)/($F89-$U$1),0)</f>
        <v>8.222222222222221E-2</v>
      </c>
      <c r="CL90" s="120">
        <f t="shared" ref="CL90" si="693">IF(AND(CK$1&lt;CL$1, CL$1&lt;=$F89),$U90*($F89-CL$1)/($F89-$U$1),0)</f>
        <v>8.0166666666666664E-2</v>
      </c>
      <c r="CM90" s="120">
        <f t="shared" ref="CM90" si="694">IF(AND(CL$1&lt;CM$1, CM$1&lt;=$F89),$U90*($F89-CM$1)/($F89-$U$1),0)</f>
        <v>7.8111111111111117E-2</v>
      </c>
      <c r="CN90" s="120">
        <f t="shared" ref="CN90" si="695">IF(AND(CM$1&lt;CN$1, CN$1&lt;=$F89),$U90*($F89-CN$1)/($F89-$U$1),0)</f>
        <v>7.6055555555555543E-2</v>
      </c>
      <c r="CO90" s="120">
        <f t="shared" ref="CO90" si="696">IF(AND(CN$1&lt;CO$1, CO$1&lt;=$F89),$U90*($F89-CO$1)/($F89-$U$1),0)</f>
        <v>7.3999999999999996E-2</v>
      </c>
      <c r="CP90" s="120">
        <f t="shared" ref="CP90" si="697">IF(AND(CO$1&lt;CP$1, CP$1&lt;=$F89),$U90*($F89-CP$1)/($F89-$U$1),0)</f>
        <v>7.1944444444444436E-2</v>
      </c>
      <c r="CQ90" s="120">
        <f t="shared" ref="CQ90" si="698">IF(AND(CP$1&lt;CQ$1, CQ$1&lt;=$F89),$U90*($F89-CQ$1)/($F89-$U$1),0)</f>
        <v>6.9888888888888875E-2</v>
      </c>
      <c r="CR90" s="120">
        <f t="shared" ref="CR90" si="699">IF(AND(CQ$1&lt;CR$1, CR$1&lt;=$F89),$U90*($F89-CR$1)/($F89-$U$1),0)</f>
        <v>6.7833333333333315E-2</v>
      </c>
      <c r="CS90" s="120">
        <f t="shared" ref="CS90" si="700">IF(AND(CR$1&lt;CS$1, CS$1&lt;=$F89),$U90*($F89-CS$1)/($F89-$U$1),0)</f>
        <v>6.5777777777777768E-2</v>
      </c>
      <c r="CT90" s="120">
        <f t="shared" ref="CT90" si="701">IF(AND(CS$1&lt;CT$1, CT$1&lt;=$F89),$U90*($F89-CT$1)/($F89-$U$1),0)</f>
        <v>6.3722222222222222E-2</v>
      </c>
      <c r="CU90" s="120">
        <f t="shared" ref="CU90" si="702">IF(AND(CT$1&lt;CU$1, CU$1&lt;=$F89),$U90*($F89-CU$1)/($F89-$U$1),0)</f>
        <v>6.1666666666666661E-2</v>
      </c>
      <c r="CV90" s="120">
        <f t="shared" ref="CV90" si="703">IF(AND(CU$1&lt;CV$1, CV$1&lt;=$F89),$U90*($F89-CV$1)/($F89-$U$1),0)</f>
        <v>5.9611111111111101E-2</v>
      </c>
      <c r="CW90" s="120">
        <f t="shared" ref="CW90" si="704">IF(AND(CV$1&lt;CW$1, CW$1&lt;=$F89),$U90*($F89-CW$1)/($F89-$U$1),0)</f>
        <v>5.7555555555555547E-2</v>
      </c>
      <c r="CX90" s="120">
        <f t="shared" ref="CX90" si="705">IF(AND(CW$1&lt;CX$1, CX$1&lt;=$F89),$U90*($F89-CX$1)/($F89-$U$1),0)</f>
        <v>5.5500000000000001E-2</v>
      </c>
      <c r="CY90" s="120">
        <f t="shared" ref="CY90" si="706">IF(AND(CX$1&lt;CY$1, CY$1&lt;=$F89),$U90*($F89-CY$1)/($F89-$U$1),0)</f>
        <v>5.344444444444444E-2</v>
      </c>
      <c r="CZ90" s="120">
        <f t="shared" ref="CZ90" si="707">IF(AND(CY$1&lt;CZ$1, CZ$1&lt;=$F89),$U90*($F89-CZ$1)/($F89-$U$1),0)</f>
        <v>5.138888888888888E-2</v>
      </c>
      <c r="DA90" s="120">
        <f t="shared" ref="DA90" si="708">IF(AND(CZ$1&lt;DA$1, DA$1&lt;=$F89),$U90*($F89-DA$1)/($F89-$U$1),0)</f>
        <v>4.9333333333333326E-2</v>
      </c>
      <c r="DB90" s="120">
        <f t="shared" ref="DB90" si="709">IF(AND(DA$1&lt;DB$1, DB$1&lt;=$F89),$U90*($F89-DB$1)/($F89-$U$1),0)</f>
        <v>4.727777777777778E-2</v>
      </c>
      <c r="DC90" s="120">
        <f t="shared" ref="DC90" si="710">IF(AND(DB$1&lt;DC$1, DC$1&lt;=$F89),$U90*($F89-DC$1)/($F89-$U$1),0)</f>
        <v>4.5222222222222219E-2</v>
      </c>
      <c r="DD90" s="120">
        <f t="shared" ref="DD90" si="711">IF(AND(DC$1&lt;DD$1, DD$1&lt;=$F89),$U90*($F89-DD$1)/($F89-$U$1),0)</f>
        <v>4.3166666666666659E-2</v>
      </c>
      <c r="DE90" s="120">
        <f t="shared" ref="DE90" si="712">IF(AND(DD$1&lt;DE$1, DE$1&lt;=$F89),$U90*($F89-DE$1)/($F89-$U$1),0)</f>
        <v>4.1111111111111105E-2</v>
      </c>
      <c r="DF90" s="120">
        <f t="shared" ref="DF90" si="713">IF(AND(DE$1&lt;DF$1, DF$1&lt;=$F89),$U90*($F89-DF$1)/($F89-$U$1),0)</f>
        <v>3.9055555555555559E-2</v>
      </c>
      <c r="DG90" s="120">
        <f t="shared" ref="DG90" si="714">IF(AND(DF$1&lt;DG$1, DG$1&lt;=$F89),$U90*($F89-DG$1)/($F89-$U$1),0)</f>
        <v>3.6999999999999998E-2</v>
      </c>
      <c r="DH90" s="120">
        <f t="shared" ref="DH90" si="715">IF(AND(DG$1&lt;DH$1, DH$1&lt;=$F89),$U90*($F89-DH$1)/($F89-$U$1),0)</f>
        <v>3.4944444444444438E-2</v>
      </c>
      <c r="DI90" s="120">
        <f t="shared" ref="DI90" si="716">IF(AND(DH$1&lt;DI$1, DI$1&lt;=$F89),$U90*($F89-DI$1)/($F89-$U$1),0)</f>
        <v>3.2888888888888884E-2</v>
      </c>
      <c r="DJ90" s="120">
        <f t="shared" ref="DJ90" si="717">IF(AND(DI$1&lt;DJ$1, DJ$1&lt;=$F89),$U90*($F89-DJ$1)/($F89-$U$1),0)</f>
        <v>3.0833333333333331E-2</v>
      </c>
      <c r="DK90" s="120">
        <f t="shared" ref="DK90" si="718">IF(AND(DJ$1&lt;DK$1, DK$1&lt;=$F89),$U90*($F89-DK$1)/($F89-$U$1),0)</f>
        <v>2.8777777777777774E-2</v>
      </c>
      <c r="DL90" s="120">
        <f t="shared" ref="DL90" si="719">IF(AND(DK$1&lt;DL$1, DL$1&lt;=$F89),$U90*($F89-DL$1)/($F89-$U$1),0)</f>
        <v>2.672222222222222E-2</v>
      </c>
      <c r="DM90" s="120">
        <f t="shared" ref="DM90" si="720">IF(AND(DL$1&lt;DM$1, DM$1&lt;=$F89),$U90*($F89-DM$1)/($F89-$U$1),0)</f>
        <v>2.4666666666666663E-2</v>
      </c>
      <c r="DN90" s="120">
        <f t="shared" ref="DN90" si="721">IF(AND(DM$1&lt;DN$1, DN$1&lt;=$F89),$U90*($F89-DN$1)/($F89-$U$1),0)</f>
        <v>2.261111111111111E-2</v>
      </c>
      <c r="DO90" s="120">
        <f t="shared" ref="DO90" si="722">IF(AND(DN$1&lt;DO$1, DO$1&lt;=$F89),$U90*($F89-DO$1)/($F89-$U$1),0)</f>
        <v>2.0555555555555553E-2</v>
      </c>
      <c r="DP90" s="120">
        <f t="shared" ref="DP90" si="723">IF(AND(DO$1&lt;DP$1, DP$1&lt;=$F89),$U90*($F89-DP$1)/($F89-$U$1),0)</f>
        <v>1.8499999999999999E-2</v>
      </c>
      <c r="DQ90" s="120">
        <f t="shared" ref="DQ90" si="724">IF(AND(DP$1&lt;DQ$1, DQ$1&lt;=$F89),$U90*($F89-DQ$1)/($F89-$U$1),0)</f>
        <v>1.6444444444444442E-2</v>
      </c>
      <c r="DR90" s="120">
        <f t="shared" ref="DR90" si="725">IF(AND(DQ$1&lt;DR$1, DR$1&lt;=$F89),$U90*($F89-DR$1)/($F89-$U$1),0)</f>
        <v>1.4388888888888887E-2</v>
      </c>
      <c r="DS90" s="120">
        <f t="shared" ref="DS90" si="726">IF(AND(DR$1&lt;DS$1, DS$1&lt;=$F89),$U90*($F89-DS$1)/($F89-$U$1),0)</f>
        <v>1.2333333333333332E-2</v>
      </c>
      <c r="DT90" s="120">
        <f t="shared" ref="DT90" si="727">IF(AND(DS$1&lt;DT$1, DT$1&lt;=$F89),$U90*($F89-DT$1)/($F89-$U$1),0)</f>
        <v>1.0277777777777776E-2</v>
      </c>
      <c r="DU90" s="120">
        <f t="shared" ref="DU90" si="728">IF(AND(DT$1&lt;DU$1, DU$1&lt;=$F89),$U90*($F89-DU$1)/($F89-$U$1),0)</f>
        <v>8.222222222222221E-3</v>
      </c>
      <c r="DV90" s="120">
        <f t="shared" ref="DV90" si="729">IF(AND(DU$1&lt;DV$1, DV$1&lt;=$F89),$U90*($F89-DV$1)/($F89-$U$1),0)</f>
        <v>6.1666666666666658E-3</v>
      </c>
      <c r="DW90" s="120">
        <f t="shared" ref="DW90" si="730">IF(AND(DV$1&lt;DW$1, DW$1&lt;=$F89),$U90*($F89-DW$1)/($F89-$U$1),0)</f>
        <v>4.1111111111111105E-3</v>
      </c>
      <c r="DX90" s="120">
        <f t="shared" ref="DX90" si="731">IF(AND(DW$1&lt;DX$1, DX$1&lt;=$F89),$U90*($F89-DX$1)/($F89-$U$1),0)</f>
        <v>2.0555555555555553E-3</v>
      </c>
      <c r="DY90" s="120">
        <f t="shared" ref="DY90" si="732">IF(AND(DX$1&lt;DY$1, DY$1&lt;=$F89),$U90*($F89-DY$1)/($F89-$U$1),0)</f>
        <v>0</v>
      </c>
    </row>
    <row r="91" spans="1:129" x14ac:dyDescent="0.45">
      <c r="A91" s="3"/>
      <c r="B91" s="2"/>
      <c r="C91" s="122" t="s">
        <v>266</v>
      </c>
      <c r="D91" s="17"/>
      <c r="E91" s="2"/>
      <c r="F91" s="2"/>
      <c r="G91" s="2"/>
      <c r="H91" s="2"/>
      <c r="I91" s="14"/>
      <c r="J91" s="55"/>
      <c r="K91" s="55"/>
      <c r="L91" s="55"/>
      <c r="M91" s="55"/>
      <c r="N91" s="55"/>
      <c r="O91" s="55"/>
      <c r="P91" s="55"/>
      <c r="Q91" s="55"/>
      <c r="R91" s="55"/>
      <c r="S91" s="55"/>
      <c r="T91" s="55"/>
      <c r="U91" s="95"/>
      <c r="V91" s="91"/>
      <c r="W91" s="91"/>
      <c r="X91" s="91"/>
      <c r="Y91" s="91"/>
      <c r="Z91" s="55"/>
      <c r="AA91" s="55"/>
      <c r="AB91" s="55"/>
      <c r="AC91" s="55"/>
      <c r="AD91" s="55"/>
      <c r="AE91" s="55"/>
      <c r="AF91" s="55"/>
      <c r="AG91" s="129">
        <f>'Plan Moyen Terme (PMT)'!D29-BAU_Liquidité_Dynamique!AG89</f>
        <v>0.44399999999999995</v>
      </c>
      <c r="AH91" s="124">
        <f>IF(AND(AG$1&lt;AH$1, AH$1&lt;=$F89),$AG91*($F89-AH$1)/($F89-$AG$1),0)</f>
        <v>0.4393749999999999</v>
      </c>
      <c r="AI91" s="124">
        <f>IF(AND(AH$1&lt;AI$1, AI$1&lt;=$F89),$AG91*($F89-AI$1)/($F89-$AG$1),0)</f>
        <v>0.43474999999999997</v>
      </c>
      <c r="AJ91" s="124">
        <f t="shared" ref="AJ91:CU91" si="733">IF(AND(AI$1&lt;AJ$1, AJ$1&lt;=$F89),$AG91*($F89-AJ$1)/($F89-$AG$1),0)</f>
        <v>0.43012499999999992</v>
      </c>
      <c r="AK91" s="124">
        <f t="shared" si="733"/>
        <v>0.42549999999999999</v>
      </c>
      <c r="AL91" s="124">
        <f t="shared" si="733"/>
        <v>0.42087499999999994</v>
      </c>
      <c r="AM91" s="124">
        <f t="shared" si="733"/>
        <v>0.41624999999999995</v>
      </c>
      <c r="AN91" s="124">
        <f t="shared" si="733"/>
        <v>0.41162499999999996</v>
      </c>
      <c r="AO91" s="124">
        <f t="shared" si="733"/>
        <v>0.40699999999999997</v>
      </c>
      <c r="AP91" s="124">
        <f t="shared" si="733"/>
        <v>0.40237499999999993</v>
      </c>
      <c r="AQ91" s="124">
        <f t="shared" si="733"/>
        <v>0.39774999999999999</v>
      </c>
      <c r="AR91" s="124">
        <f t="shared" si="733"/>
        <v>0.39312499999999995</v>
      </c>
      <c r="AS91" s="124">
        <f t="shared" si="733"/>
        <v>0.3884999999999999</v>
      </c>
      <c r="AT91" s="124">
        <f t="shared" si="733"/>
        <v>0.38387499999999997</v>
      </c>
      <c r="AU91" s="124">
        <f t="shared" si="733"/>
        <v>0.37924999999999992</v>
      </c>
      <c r="AV91" s="124">
        <f t="shared" si="733"/>
        <v>0.37462499999999999</v>
      </c>
      <c r="AW91" s="124">
        <f t="shared" si="733"/>
        <v>0.36999999999999994</v>
      </c>
      <c r="AX91" s="124">
        <f t="shared" si="733"/>
        <v>0.36537499999999995</v>
      </c>
      <c r="AY91" s="124">
        <f t="shared" si="733"/>
        <v>0.36074999999999996</v>
      </c>
      <c r="AZ91" s="124">
        <f t="shared" si="733"/>
        <v>0.35612499999999997</v>
      </c>
      <c r="BA91" s="124">
        <f t="shared" si="733"/>
        <v>0.35149999999999998</v>
      </c>
      <c r="BB91" s="124">
        <f t="shared" si="733"/>
        <v>0.34687499999999999</v>
      </c>
      <c r="BC91" s="124">
        <f t="shared" si="733"/>
        <v>0.34224999999999994</v>
      </c>
      <c r="BD91" s="124">
        <f t="shared" si="733"/>
        <v>0.33762500000000001</v>
      </c>
      <c r="BE91" s="124">
        <f t="shared" si="733"/>
        <v>0.33299999999999996</v>
      </c>
      <c r="BF91" s="124">
        <f t="shared" si="733"/>
        <v>0.32837499999999997</v>
      </c>
      <c r="BG91" s="124">
        <f t="shared" si="733"/>
        <v>0.32374999999999998</v>
      </c>
      <c r="BH91" s="124">
        <f t="shared" si="733"/>
        <v>0.31912499999999994</v>
      </c>
      <c r="BI91" s="124">
        <f t="shared" si="733"/>
        <v>0.31449999999999995</v>
      </c>
      <c r="BJ91" s="124">
        <f t="shared" si="733"/>
        <v>0.30987499999999996</v>
      </c>
      <c r="BK91" s="124">
        <f t="shared" si="733"/>
        <v>0.30524999999999997</v>
      </c>
      <c r="BL91" s="124">
        <f t="shared" si="733"/>
        <v>0.30062499999999998</v>
      </c>
      <c r="BM91" s="124">
        <f t="shared" si="733"/>
        <v>0.29599999999999999</v>
      </c>
      <c r="BN91" s="124">
        <f t="shared" si="733"/>
        <v>0.291375</v>
      </c>
      <c r="BO91" s="124">
        <f t="shared" si="733"/>
        <v>0.28675</v>
      </c>
      <c r="BP91" s="124">
        <f t="shared" si="733"/>
        <v>0.28212499999999996</v>
      </c>
      <c r="BQ91" s="124">
        <f t="shared" si="733"/>
        <v>0.27749999999999997</v>
      </c>
      <c r="BR91" s="124">
        <f t="shared" si="733"/>
        <v>0.27287499999999998</v>
      </c>
      <c r="BS91" s="124">
        <f t="shared" si="733"/>
        <v>0.26824999999999993</v>
      </c>
      <c r="BT91" s="124">
        <f t="shared" si="733"/>
        <v>0.26362499999999994</v>
      </c>
      <c r="BU91" s="124">
        <f t="shared" si="733"/>
        <v>0.25899999999999995</v>
      </c>
      <c r="BV91" s="124">
        <f t="shared" si="733"/>
        <v>0.25437499999999996</v>
      </c>
      <c r="BW91" s="124">
        <f t="shared" si="733"/>
        <v>0.24975</v>
      </c>
      <c r="BX91" s="124">
        <f t="shared" si="733"/>
        <v>0.24512499999999995</v>
      </c>
      <c r="BY91" s="124">
        <f t="shared" si="733"/>
        <v>0.24049999999999996</v>
      </c>
      <c r="BZ91" s="124">
        <f t="shared" si="733"/>
        <v>0.23587499999999997</v>
      </c>
      <c r="CA91" s="124">
        <f t="shared" si="733"/>
        <v>0.23124999999999996</v>
      </c>
      <c r="CB91" s="124">
        <f t="shared" si="733"/>
        <v>0.22662499999999997</v>
      </c>
      <c r="CC91" s="124">
        <f t="shared" si="733"/>
        <v>0.22199999999999998</v>
      </c>
      <c r="CD91" s="124">
        <f t="shared" si="733"/>
        <v>0.21737499999999998</v>
      </c>
      <c r="CE91" s="124">
        <f t="shared" si="733"/>
        <v>0.21274999999999999</v>
      </c>
      <c r="CF91" s="124">
        <f t="shared" si="733"/>
        <v>0.20812499999999998</v>
      </c>
      <c r="CG91" s="124">
        <f t="shared" si="733"/>
        <v>0.20349999999999999</v>
      </c>
      <c r="CH91" s="124">
        <f t="shared" si="733"/>
        <v>0.198875</v>
      </c>
      <c r="CI91" s="124">
        <f t="shared" si="733"/>
        <v>0.19424999999999995</v>
      </c>
      <c r="CJ91" s="124">
        <f t="shared" si="733"/>
        <v>0.18962499999999996</v>
      </c>
      <c r="CK91" s="124">
        <f t="shared" si="733"/>
        <v>0.18499999999999997</v>
      </c>
      <c r="CL91" s="124">
        <f t="shared" si="733"/>
        <v>0.18037499999999998</v>
      </c>
      <c r="CM91" s="124">
        <f t="shared" si="733"/>
        <v>0.17574999999999999</v>
      </c>
      <c r="CN91" s="124">
        <f t="shared" si="733"/>
        <v>0.17112499999999997</v>
      </c>
      <c r="CO91" s="124">
        <f t="shared" si="733"/>
        <v>0.16649999999999998</v>
      </c>
      <c r="CP91" s="124">
        <f t="shared" si="733"/>
        <v>0.16187499999999999</v>
      </c>
      <c r="CQ91" s="124">
        <f t="shared" si="733"/>
        <v>0.15724999999999997</v>
      </c>
      <c r="CR91" s="124">
        <f t="shared" si="733"/>
        <v>0.15262499999999998</v>
      </c>
      <c r="CS91" s="124">
        <f t="shared" si="733"/>
        <v>0.14799999999999999</v>
      </c>
      <c r="CT91" s="124">
        <f t="shared" si="733"/>
        <v>0.143375</v>
      </c>
      <c r="CU91" s="124">
        <f t="shared" si="733"/>
        <v>0.13874999999999998</v>
      </c>
      <c r="CV91" s="124">
        <f t="shared" ref="CV91:DY91" si="734">IF(AND(CU$1&lt;CV$1, CV$1&lt;=$F89),$AG91*($F89-CV$1)/($F89-$AG$1),0)</f>
        <v>0.13412499999999997</v>
      </c>
      <c r="CW91" s="124">
        <f t="shared" si="734"/>
        <v>0.12949999999999998</v>
      </c>
      <c r="CX91" s="124">
        <f t="shared" si="734"/>
        <v>0.124875</v>
      </c>
      <c r="CY91" s="124">
        <f t="shared" si="734"/>
        <v>0.12024999999999998</v>
      </c>
      <c r="CZ91" s="124">
        <f t="shared" si="734"/>
        <v>0.11562499999999998</v>
      </c>
      <c r="DA91" s="124">
        <f t="shared" si="734"/>
        <v>0.11099999999999999</v>
      </c>
      <c r="DB91" s="124">
        <f t="shared" si="734"/>
        <v>0.106375</v>
      </c>
      <c r="DC91" s="124">
        <f t="shared" si="734"/>
        <v>0.10174999999999999</v>
      </c>
      <c r="DD91" s="124">
        <f t="shared" si="734"/>
        <v>9.7124999999999975E-2</v>
      </c>
      <c r="DE91" s="124">
        <f t="shared" si="734"/>
        <v>9.2499999999999985E-2</v>
      </c>
      <c r="DF91" s="124">
        <f t="shared" si="734"/>
        <v>8.7874999999999995E-2</v>
      </c>
      <c r="DG91" s="124">
        <f t="shared" si="734"/>
        <v>8.3249999999999991E-2</v>
      </c>
      <c r="DH91" s="124">
        <f t="shared" si="734"/>
        <v>7.8624999999999987E-2</v>
      </c>
      <c r="DI91" s="124">
        <f t="shared" si="734"/>
        <v>7.3999999999999996E-2</v>
      </c>
      <c r="DJ91" s="124">
        <f t="shared" si="734"/>
        <v>6.9374999999999992E-2</v>
      </c>
      <c r="DK91" s="124">
        <f t="shared" si="734"/>
        <v>6.4749999999999988E-2</v>
      </c>
      <c r="DL91" s="124">
        <f t="shared" si="734"/>
        <v>6.0124999999999991E-2</v>
      </c>
      <c r="DM91" s="124">
        <f t="shared" si="734"/>
        <v>5.5499999999999994E-2</v>
      </c>
      <c r="DN91" s="124">
        <f t="shared" si="734"/>
        <v>5.0874999999999997E-2</v>
      </c>
      <c r="DO91" s="124">
        <f t="shared" si="734"/>
        <v>4.6249999999999993E-2</v>
      </c>
      <c r="DP91" s="124">
        <f t="shared" si="734"/>
        <v>4.1624999999999995E-2</v>
      </c>
      <c r="DQ91" s="124">
        <f t="shared" si="734"/>
        <v>3.6999999999999998E-2</v>
      </c>
      <c r="DR91" s="124">
        <f t="shared" si="734"/>
        <v>3.2374999999999994E-2</v>
      </c>
      <c r="DS91" s="124">
        <f t="shared" si="734"/>
        <v>2.7749999999999997E-2</v>
      </c>
      <c r="DT91" s="124">
        <f t="shared" si="734"/>
        <v>2.3124999999999996E-2</v>
      </c>
      <c r="DU91" s="124">
        <f t="shared" si="734"/>
        <v>1.8499999999999999E-2</v>
      </c>
      <c r="DV91" s="124">
        <f t="shared" si="734"/>
        <v>1.3874999999999998E-2</v>
      </c>
      <c r="DW91" s="124">
        <f t="shared" si="734"/>
        <v>9.2499999999999995E-3</v>
      </c>
      <c r="DX91" s="124">
        <f t="shared" si="734"/>
        <v>4.6249999999999998E-3</v>
      </c>
      <c r="DY91" s="124">
        <f t="shared" si="734"/>
        <v>0</v>
      </c>
    </row>
    <row r="92" spans="1:129" x14ac:dyDescent="0.45">
      <c r="A92" s="3"/>
      <c r="B92" s="2"/>
      <c r="C92" s="125" t="s">
        <v>267</v>
      </c>
      <c r="D92" s="17"/>
      <c r="E92" s="2"/>
      <c r="F92" s="2"/>
      <c r="G92" s="2"/>
      <c r="H92" s="2"/>
      <c r="I92" s="14"/>
      <c r="J92" s="55"/>
      <c r="K92" s="55"/>
      <c r="L92" s="55"/>
      <c r="M92" s="55"/>
      <c r="N92" s="55"/>
      <c r="O92" s="55"/>
      <c r="P92" s="55"/>
      <c r="Q92" s="55"/>
      <c r="R92" s="55"/>
      <c r="S92" s="55"/>
      <c r="T92" s="55"/>
      <c r="U92" s="96"/>
      <c r="V92" s="55"/>
      <c r="W92" s="55"/>
      <c r="X92" s="55"/>
      <c r="Y92" s="55"/>
      <c r="Z92" s="55"/>
      <c r="AA92" s="55"/>
      <c r="AB92" s="55"/>
      <c r="AC92" s="55"/>
      <c r="AD92" s="55"/>
      <c r="AE92" s="55"/>
      <c r="AF92" s="55"/>
      <c r="AG92" s="102"/>
      <c r="AH92" s="91"/>
      <c r="AI92" s="91"/>
      <c r="AJ92" s="91"/>
      <c r="AK92" s="55"/>
      <c r="AL92" s="55"/>
      <c r="AM92" s="55"/>
      <c r="AN92" s="55"/>
      <c r="AO92" s="55"/>
      <c r="AP92" s="55"/>
      <c r="AQ92" s="55"/>
      <c r="AR92" s="55"/>
      <c r="AS92" s="130">
        <f>'Plan Moyen Terme (PMT)'!E29-BAU_Liquidité_Dynamique!AS89</f>
        <v>2752.4459999999999</v>
      </c>
      <c r="AT92" s="126">
        <f>IF(AND(AS$1&lt;AT$1, AT$1&lt;=$F89),$AS92*($F89-AT$1)/($F89-$AS$1),0)</f>
        <v>2719.6787857142854</v>
      </c>
      <c r="AU92" s="126">
        <f t="shared" ref="AU92:DF92" si="735">IF(AND(AT$1&lt;AU$1, AU$1&lt;=$F89),$AS92*($F89-AU$1)/($F89-$AS$1),0)</f>
        <v>2686.9115714285713</v>
      </c>
      <c r="AV92" s="126">
        <f t="shared" si="735"/>
        <v>2654.1443571428572</v>
      </c>
      <c r="AW92" s="126">
        <f t="shared" si="735"/>
        <v>2621.3771428571426</v>
      </c>
      <c r="AX92" s="126">
        <f t="shared" si="735"/>
        <v>2588.6099285714286</v>
      </c>
      <c r="AY92" s="126">
        <f t="shared" si="735"/>
        <v>2555.8427142857145</v>
      </c>
      <c r="AZ92" s="126">
        <f t="shared" si="735"/>
        <v>2523.0754999999999</v>
      </c>
      <c r="BA92" s="126">
        <f t="shared" si="735"/>
        <v>2490.3082857142858</v>
      </c>
      <c r="BB92" s="126">
        <f t="shared" si="735"/>
        <v>2457.5410714285713</v>
      </c>
      <c r="BC92" s="126">
        <f t="shared" si="735"/>
        <v>2424.7738571428572</v>
      </c>
      <c r="BD92" s="126">
        <f t="shared" si="735"/>
        <v>2392.0066428571427</v>
      </c>
      <c r="BE92" s="126">
        <f t="shared" si="735"/>
        <v>2359.2394285714286</v>
      </c>
      <c r="BF92" s="126">
        <f t="shared" si="735"/>
        <v>2326.4722142857145</v>
      </c>
      <c r="BG92" s="126">
        <f t="shared" si="735"/>
        <v>2293.7049999999999</v>
      </c>
      <c r="BH92" s="126">
        <f t="shared" si="735"/>
        <v>2260.9377857142858</v>
      </c>
      <c r="BI92" s="126">
        <f t="shared" si="735"/>
        <v>2228.1705714285713</v>
      </c>
      <c r="BJ92" s="126">
        <f t="shared" si="735"/>
        <v>2195.4033571428567</v>
      </c>
      <c r="BK92" s="126">
        <f t="shared" si="735"/>
        <v>2162.6361428571427</v>
      </c>
      <c r="BL92" s="126">
        <f t="shared" si="735"/>
        <v>2129.8689285714286</v>
      </c>
      <c r="BM92" s="126">
        <f t="shared" si="735"/>
        <v>2097.101714285714</v>
      </c>
      <c r="BN92" s="126">
        <f t="shared" si="735"/>
        <v>2064.3344999999999</v>
      </c>
      <c r="BO92" s="126">
        <f t="shared" si="735"/>
        <v>2031.5672857142858</v>
      </c>
      <c r="BP92" s="126">
        <f t="shared" si="735"/>
        <v>1998.8000714285715</v>
      </c>
      <c r="BQ92" s="126">
        <f t="shared" si="735"/>
        <v>1966.0328571428572</v>
      </c>
      <c r="BR92" s="126">
        <f t="shared" si="735"/>
        <v>1933.2656428571427</v>
      </c>
      <c r="BS92" s="126">
        <f t="shared" si="735"/>
        <v>1900.4984285714283</v>
      </c>
      <c r="BT92" s="126">
        <f t="shared" si="735"/>
        <v>1867.7312142857143</v>
      </c>
      <c r="BU92" s="126">
        <f t="shared" si="735"/>
        <v>1834.9639999999999</v>
      </c>
      <c r="BV92" s="126">
        <f t="shared" si="735"/>
        <v>1802.1967857142856</v>
      </c>
      <c r="BW92" s="126">
        <f t="shared" si="735"/>
        <v>1769.4295714285715</v>
      </c>
      <c r="BX92" s="126">
        <f t="shared" si="735"/>
        <v>1736.6623571428572</v>
      </c>
      <c r="BY92" s="126">
        <f t="shared" si="735"/>
        <v>1703.8951428571427</v>
      </c>
      <c r="BZ92" s="126">
        <f t="shared" si="735"/>
        <v>1671.1279285714284</v>
      </c>
      <c r="CA92" s="126">
        <f t="shared" si="735"/>
        <v>1638.360714285714</v>
      </c>
      <c r="CB92" s="126">
        <f t="shared" si="735"/>
        <v>1605.5934999999999</v>
      </c>
      <c r="CC92" s="126">
        <f t="shared" si="735"/>
        <v>1572.8262857142856</v>
      </c>
      <c r="CD92" s="126">
        <f t="shared" si="735"/>
        <v>1540.0590714285713</v>
      </c>
      <c r="CE92" s="126">
        <f t="shared" si="735"/>
        <v>1507.2918571428572</v>
      </c>
      <c r="CF92" s="126">
        <f t="shared" si="735"/>
        <v>1474.5246428571427</v>
      </c>
      <c r="CG92" s="126">
        <f t="shared" si="735"/>
        <v>1441.7574285714286</v>
      </c>
      <c r="CH92" s="126">
        <f t="shared" si="735"/>
        <v>1408.9902142857143</v>
      </c>
      <c r="CI92" s="126">
        <f t="shared" si="735"/>
        <v>1376.223</v>
      </c>
      <c r="CJ92" s="126">
        <f t="shared" si="735"/>
        <v>1343.4557857142856</v>
      </c>
      <c r="CK92" s="126">
        <f t="shared" si="735"/>
        <v>1310.6885714285713</v>
      </c>
      <c r="CL92" s="126">
        <f t="shared" si="735"/>
        <v>1277.9213571428572</v>
      </c>
      <c r="CM92" s="126">
        <f t="shared" si="735"/>
        <v>1245.1541428571429</v>
      </c>
      <c r="CN92" s="126">
        <f t="shared" si="735"/>
        <v>1212.3869285714286</v>
      </c>
      <c r="CO92" s="126">
        <f t="shared" si="735"/>
        <v>1179.6197142857143</v>
      </c>
      <c r="CP92" s="126">
        <f t="shared" si="735"/>
        <v>1146.8525</v>
      </c>
      <c r="CQ92" s="126">
        <f t="shared" si="735"/>
        <v>1114.0852857142856</v>
      </c>
      <c r="CR92" s="126">
        <f t="shared" si="735"/>
        <v>1081.3180714285713</v>
      </c>
      <c r="CS92" s="126">
        <f t="shared" si="735"/>
        <v>1048.550857142857</v>
      </c>
      <c r="CT92" s="126">
        <f t="shared" si="735"/>
        <v>1015.7836428571429</v>
      </c>
      <c r="CU92" s="126">
        <f t="shared" si="735"/>
        <v>983.01642857142861</v>
      </c>
      <c r="CV92" s="126">
        <f t="shared" si="735"/>
        <v>950.24921428571417</v>
      </c>
      <c r="CW92" s="126">
        <f t="shared" si="735"/>
        <v>917.48199999999997</v>
      </c>
      <c r="CX92" s="126">
        <f t="shared" si="735"/>
        <v>884.71478571428577</v>
      </c>
      <c r="CY92" s="126">
        <f t="shared" si="735"/>
        <v>851.94757142857134</v>
      </c>
      <c r="CZ92" s="126">
        <f t="shared" si="735"/>
        <v>819.18035714285702</v>
      </c>
      <c r="DA92" s="126">
        <f t="shared" si="735"/>
        <v>786.41314285714282</v>
      </c>
      <c r="DB92" s="126">
        <f t="shared" si="735"/>
        <v>753.64592857142861</v>
      </c>
      <c r="DC92" s="126">
        <f t="shared" si="735"/>
        <v>720.8787142857143</v>
      </c>
      <c r="DD92" s="126">
        <f t="shared" si="735"/>
        <v>688.11149999999998</v>
      </c>
      <c r="DE92" s="126">
        <f t="shared" si="735"/>
        <v>655.34428571428566</v>
      </c>
      <c r="DF92" s="126">
        <f t="shared" si="735"/>
        <v>622.57707142857146</v>
      </c>
      <c r="DG92" s="126">
        <f t="shared" ref="DG92:DY92" si="736">IF(AND(DF$1&lt;DG$1, DG$1&lt;=$F89),$AS92*($F89-DG$1)/($F89-$AS$1),0)</f>
        <v>589.80985714285714</v>
      </c>
      <c r="DH92" s="126">
        <f t="shared" si="736"/>
        <v>557.04264285714282</v>
      </c>
      <c r="DI92" s="126">
        <f t="shared" si="736"/>
        <v>524.27542857142851</v>
      </c>
      <c r="DJ92" s="126">
        <f t="shared" si="736"/>
        <v>491.5082142857143</v>
      </c>
      <c r="DK92" s="126">
        <f t="shared" si="736"/>
        <v>458.74099999999999</v>
      </c>
      <c r="DL92" s="126">
        <f t="shared" si="736"/>
        <v>425.97378571428567</v>
      </c>
      <c r="DM92" s="126">
        <f t="shared" si="736"/>
        <v>393.20657142857141</v>
      </c>
      <c r="DN92" s="126">
        <f t="shared" si="736"/>
        <v>360.43935714285715</v>
      </c>
      <c r="DO92" s="126">
        <f t="shared" si="736"/>
        <v>327.67214285714283</v>
      </c>
      <c r="DP92" s="126">
        <f t="shared" si="736"/>
        <v>294.90492857142857</v>
      </c>
      <c r="DQ92" s="126">
        <f t="shared" si="736"/>
        <v>262.13771428571425</v>
      </c>
      <c r="DR92" s="126">
        <f t="shared" si="736"/>
        <v>229.37049999999999</v>
      </c>
      <c r="DS92" s="126">
        <f t="shared" si="736"/>
        <v>196.6032857142857</v>
      </c>
      <c r="DT92" s="126">
        <f t="shared" si="736"/>
        <v>163.83607142857142</v>
      </c>
      <c r="DU92" s="126">
        <f t="shared" si="736"/>
        <v>131.06885714285713</v>
      </c>
      <c r="DV92" s="126">
        <f t="shared" si="736"/>
        <v>98.301642857142852</v>
      </c>
      <c r="DW92" s="126">
        <f t="shared" si="736"/>
        <v>65.534428571428563</v>
      </c>
      <c r="DX92" s="126">
        <f t="shared" si="736"/>
        <v>32.767214285714282</v>
      </c>
      <c r="DY92" s="126">
        <f t="shared" si="736"/>
        <v>0</v>
      </c>
    </row>
    <row r="93" spans="1:129" x14ac:dyDescent="0.45">
      <c r="A93" s="3">
        <v>46022</v>
      </c>
      <c r="B93" s="2" t="s">
        <v>19</v>
      </c>
      <c r="C93" s="6" t="s">
        <v>27</v>
      </c>
      <c r="D93" s="17">
        <v>0</v>
      </c>
      <c r="E93" s="2" t="s">
        <v>43</v>
      </c>
      <c r="F93" s="2">
        <v>120</v>
      </c>
      <c r="G93" s="2" t="s">
        <v>43</v>
      </c>
      <c r="H93" s="2">
        <v>120</v>
      </c>
      <c r="I93" s="14">
        <v>429.97500000000002</v>
      </c>
      <c r="J93" s="55">
        <f t="shared" si="404"/>
        <v>426.39187500000003</v>
      </c>
      <c r="K93" s="55">
        <f t="shared" si="404"/>
        <v>422.80874999999997</v>
      </c>
      <c r="L93" s="55">
        <f t="shared" si="404"/>
        <v>419.22562500000004</v>
      </c>
      <c r="M93" s="55">
        <f t="shared" si="404"/>
        <v>415.64250000000004</v>
      </c>
      <c r="N93" s="55">
        <f t="shared" si="404"/>
        <v>412.05937500000005</v>
      </c>
      <c r="O93" s="55">
        <f t="shared" si="404"/>
        <v>408.47624999999999</v>
      </c>
      <c r="P93" s="55">
        <f t="shared" si="404"/>
        <v>404.893125</v>
      </c>
      <c r="Q93" s="55">
        <f t="shared" si="404"/>
        <v>401.31</v>
      </c>
      <c r="R93" s="55">
        <f t="shared" si="404"/>
        <v>397.72687500000006</v>
      </c>
      <c r="S93" s="55">
        <f t="shared" si="404"/>
        <v>394.14375000000001</v>
      </c>
      <c r="T93" s="55">
        <f t="shared" si="404"/>
        <v>390.56062500000002</v>
      </c>
      <c r="U93" s="96">
        <f t="shared" si="404"/>
        <v>386.97750000000002</v>
      </c>
      <c r="V93" s="55">
        <f t="shared" si="404"/>
        <v>383.39437500000003</v>
      </c>
      <c r="W93" s="55">
        <f t="shared" si="404"/>
        <v>379.81125000000003</v>
      </c>
      <c r="X93" s="55">
        <f t="shared" si="404"/>
        <v>376.22812500000003</v>
      </c>
      <c r="Y93" s="55">
        <f t="shared" si="404"/>
        <v>372.64500000000004</v>
      </c>
      <c r="Z93" s="55">
        <f t="shared" si="405"/>
        <v>369.06187499999999</v>
      </c>
      <c r="AA93" s="55">
        <f t="shared" si="405"/>
        <v>365.47874999999999</v>
      </c>
      <c r="AB93" s="55">
        <f t="shared" si="405"/>
        <v>361.895625</v>
      </c>
      <c r="AC93" s="55">
        <f t="shared" si="405"/>
        <v>358.31250000000006</v>
      </c>
      <c r="AD93" s="55">
        <f t="shared" si="405"/>
        <v>354.729375</v>
      </c>
      <c r="AE93" s="55">
        <f t="shared" si="405"/>
        <v>351.14625000000001</v>
      </c>
      <c r="AF93" s="55">
        <f t="shared" si="405"/>
        <v>347.56312500000001</v>
      </c>
      <c r="AG93" s="102">
        <f t="shared" si="405"/>
        <v>343.98</v>
      </c>
      <c r="AH93" s="55">
        <f t="shared" si="405"/>
        <v>340.39687500000002</v>
      </c>
      <c r="AI93" s="55">
        <f t="shared" si="405"/>
        <v>336.81375000000003</v>
      </c>
      <c r="AJ93" s="55">
        <f t="shared" si="405"/>
        <v>333.23062500000003</v>
      </c>
      <c r="AK93" s="55">
        <f t="shared" si="405"/>
        <v>329.64750000000004</v>
      </c>
      <c r="AL93" s="55">
        <f t="shared" si="405"/>
        <v>326.06437499999998</v>
      </c>
      <c r="AM93" s="55">
        <f t="shared" si="405"/>
        <v>322.48125000000005</v>
      </c>
      <c r="AN93" s="55">
        <f t="shared" si="405"/>
        <v>318.89812500000005</v>
      </c>
      <c r="AO93" s="55">
        <f t="shared" si="405"/>
        <v>315.315</v>
      </c>
      <c r="AP93" s="55">
        <f t="shared" si="405"/>
        <v>311.731875</v>
      </c>
      <c r="AQ93" s="55">
        <f t="shared" si="405"/>
        <v>308.14875000000001</v>
      </c>
      <c r="AR93" s="55">
        <f t="shared" si="405"/>
        <v>304.56562500000001</v>
      </c>
      <c r="AS93" s="108">
        <f t="shared" si="405"/>
        <v>300.98250000000002</v>
      </c>
      <c r="AT93" s="55">
        <f t="shared" si="405"/>
        <v>297.39937500000002</v>
      </c>
      <c r="AU93" s="55">
        <f t="shared" si="405"/>
        <v>293.81625000000003</v>
      </c>
      <c r="AV93" s="55">
        <f t="shared" si="405"/>
        <v>290.23312500000003</v>
      </c>
      <c r="AW93" s="55">
        <f t="shared" si="405"/>
        <v>286.64999999999998</v>
      </c>
      <c r="AX93" s="55">
        <f t="shared" si="405"/>
        <v>283.06687500000004</v>
      </c>
      <c r="AY93" s="55">
        <f t="shared" si="405"/>
        <v>279.48375000000004</v>
      </c>
      <c r="AZ93" s="55">
        <f t="shared" si="405"/>
        <v>275.90062500000005</v>
      </c>
      <c r="BA93" s="55">
        <f t="shared" si="405"/>
        <v>272.3175</v>
      </c>
      <c r="BB93" s="55">
        <f t="shared" si="405"/>
        <v>268.734375</v>
      </c>
      <c r="BC93" s="55">
        <f t="shared" si="405"/>
        <v>265.15125</v>
      </c>
      <c r="BD93" s="55">
        <f t="shared" si="405"/>
        <v>261.56812500000001</v>
      </c>
      <c r="BE93" s="55">
        <f t="shared" si="405"/>
        <v>257.98500000000001</v>
      </c>
      <c r="BF93" s="55">
        <f t="shared" si="405"/>
        <v>254.40187500000002</v>
      </c>
      <c r="BG93" s="55">
        <f t="shared" si="405"/>
        <v>250.81875000000002</v>
      </c>
      <c r="BH93" s="55">
        <f t="shared" si="405"/>
        <v>247.235625</v>
      </c>
      <c r="BI93" s="55">
        <f t="shared" si="405"/>
        <v>243.6525</v>
      </c>
      <c r="BJ93" s="55">
        <f t="shared" si="405"/>
        <v>240.06937500000001</v>
      </c>
      <c r="BK93" s="55">
        <f t="shared" si="405"/>
        <v>236.48625000000004</v>
      </c>
      <c r="BL93" s="55">
        <f t="shared" si="405"/>
        <v>232.90312499999999</v>
      </c>
      <c r="BM93" s="55">
        <f t="shared" si="405"/>
        <v>229.32000000000002</v>
      </c>
      <c r="BN93" s="55">
        <f t="shared" si="405"/>
        <v>225.73687500000003</v>
      </c>
      <c r="BO93" s="55">
        <f t="shared" si="405"/>
        <v>222.15375000000003</v>
      </c>
      <c r="BP93" s="55">
        <f t="shared" si="405"/>
        <v>218.57062500000001</v>
      </c>
      <c r="BQ93" s="55">
        <f t="shared" si="405"/>
        <v>214.98750000000001</v>
      </c>
      <c r="BR93" s="55">
        <f t="shared" si="405"/>
        <v>211.40437499999999</v>
      </c>
      <c r="BS93" s="55">
        <f t="shared" si="405"/>
        <v>207.82125000000002</v>
      </c>
      <c r="BT93" s="55">
        <f t="shared" si="405"/>
        <v>204.238125</v>
      </c>
      <c r="BU93" s="55">
        <f t="shared" si="405"/>
        <v>200.655</v>
      </c>
      <c r="BV93" s="55">
        <f t="shared" si="405"/>
        <v>197.07187500000001</v>
      </c>
      <c r="BW93" s="55">
        <f t="shared" si="405"/>
        <v>193.48875000000001</v>
      </c>
      <c r="BX93" s="55">
        <f t="shared" si="405"/>
        <v>189.90562500000001</v>
      </c>
      <c r="BY93" s="55">
        <f t="shared" si="405"/>
        <v>186.32250000000002</v>
      </c>
      <c r="BZ93" s="55">
        <f t="shared" si="405"/>
        <v>182.739375</v>
      </c>
      <c r="CA93" s="55">
        <f t="shared" si="405"/>
        <v>179.15625000000003</v>
      </c>
      <c r="CB93" s="55">
        <f t="shared" si="405"/>
        <v>175.573125</v>
      </c>
      <c r="CC93" s="55">
        <f t="shared" si="405"/>
        <v>171.99</v>
      </c>
      <c r="CD93" s="55">
        <f t="shared" si="405"/>
        <v>168.40687500000001</v>
      </c>
      <c r="CE93" s="55">
        <f t="shared" si="405"/>
        <v>164.82375000000002</v>
      </c>
      <c r="CF93" s="55">
        <f t="shared" si="405"/>
        <v>161.24062500000002</v>
      </c>
      <c r="CG93" s="55">
        <f t="shared" si="405"/>
        <v>157.6575</v>
      </c>
      <c r="CH93" s="55">
        <f t="shared" si="405"/>
        <v>154.074375</v>
      </c>
      <c r="CI93" s="55">
        <f t="shared" si="405"/>
        <v>150.49125000000001</v>
      </c>
      <c r="CJ93" s="55">
        <f t="shared" si="405"/>
        <v>146.90812500000001</v>
      </c>
      <c r="CK93" s="55">
        <f t="shared" ref="CK93" si="737">IF(CK$1&lt;$F93,$I93*(($F93-CK$1)/$F93),0)</f>
        <v>143.32499999999999</v>
      </c>
      <c r="CL93" s="55">
        <f t="shared" si="406"/>
        <v>139.74187500000002</v>
      </c>
      <c r="CM93" s="55">
        <f t="shared" si="406"/>
        <v>136.15875</v>
      </c>
      <c r="CN93" s="55">
        <f t="shared" si="406"/>
        <v>132.575625</v>
      </c>
      <c r="CO93" s="55">
        <f t="shared" si="406"/>
        <v>128.99250000000001</v>
      </c>
      <c r="CP93" s="55">
        <f t="shared" si="406"/>
        <v>125.40937500000001</v>
      </c>
      <c r="CQ93" s="55">
        <f t="shared" si="406"/>
        <v>121.82625</v>
      </c>
      <c r="CR93" s="55">
        <f t="shared" si="406"/>
        <v>118.24312500000002</v>
      </c>
      <c r="CS93" s="55">
        <f t="shared" si="406"/>
        <v>114.66000000000001</v>
      </c>
      <c r="CT93" s="55">
        <f t="shared" si="406"/>
        <v>111.07687500000002</v>
      </c>
      <c r="CU93" s="55">
        <f t="shared" si="406"/>
        <v>107.49375000000001</v>
      </c>
      <c r="CV93" s="55">
        <f t="shared" si="406"/>
        <v>103.91062500000001</v>
      </c>
      <c r="CW93" s="55">
        <f t="shared" si="406"/>
        <v>100.3275</v>
      </c>
      <c r="CX93" s="55">
        <f t="shared" si="406"/>
        <v>96.744375000000005</v>
      </c>
      <c r="CY93" s="55">
        <f t="shared" si="406"/>
        <v>93.16125000000001</v>
      </c>
      <c r="CZ93" s="55">
        <f t="shared" si="406"/>
        <v>89.578125000000014</v>
      </c>
      <c r="DA93" s="55">
        <f t="shared" si="406"/>
        <v>85.995000000000005</v>
      </c>
      <c r="DB93" s="55">
        <f t="shared" si="406"/>
        <v>82.411875000000009</v>
      </c>
      <c r="DC93" s="55">
        <f t="shared" si="406"/>
        <v>78.828749999999999</v>
      </c>
      <c r="DD93" s="55">
        <f t="shared" si="406"/>
        <v>75.245625000000004</v>
      </c>
      <c r="DE93" s="55">
        <f t="shared" si="406"/>
        <v>71.662499999999994</v>
      </c>
      <c r="DF93" s="55">
        <f t="shared" si="406"/>
        <v>68.079374999999999</v>
      </c>
      <c r="DG93" s="55">
        <f t="shared" si="406"/>
        <v>64.496250000000003</v>
      </c>
      <c r="DH93" s="55">
        <f t="shared" si="406"/>
        <v>60.913125000000001</v>
      </c>
      <c r="DI93" s="55">
        <f t="shared" si="406"/>
        <v>57.330000000000005</v>
      </c>
      <c r="DJ93" s="55">
        <f t="shared" si="406"/>
        <v>53.746875000000003</v>
      </c>
      <c r="DK93" s="55">
        <f t="shared" si="406"/>
        <v>50.16375</v>
      </c>
      <c r="DL93" s="55">
        <f t="shared" si="406"/>
        <v>46.580625000000005</v>
      </c>
      <c r="DM93" s="55">
        <f t="shared" si="406"/>
        <v>42.997500000000002</v>
      </c>
      <c r="DN93" s="55">
        <f t="shared" si="406"/>
        <v>39.414375</v>
      </c>
      <c r="DO93" s="55">
        <f t="shared" si="406"/>
        <v>35.831249999999997</v>
      </c>
      <c r="DP93" s="55">
        <f t="shared" si="406"/>
        <v>32.248125000000002</v>
      </c>
      <c r="DQ93" s="55">
        <f t="shared" si="406"/>
        <v>28.665000000000003</v>
      </c>
      <c r="DR93" s="55">
        <f t="shared" si="406"/>
        <v>25.081875</v>
      </c>
      <c r="DS93" s="55">
        <f t="shared" si="406"/>
        <v>21.498750000000001</v>
      </c>
      <c r="DT93" s="55">
        <f t="shared" si="406"/>
        <v>17.915624999999999</v>
      </c>
      <c r="DU93" s="55">
        <f t="shared" si="406"/>
        <v>14.332500000000001</v>
      </c>
      <c r="DV93" s="55">
        <f t="shared" si="406"/>
        <v>10.749375000000001</v>
      </c>
      <c r="DW93" s="55">
        <f t="shared" si="406"/>
        <v>7.1662500000000007</v>
      </c>
      <c r="DX93" s="55">
        <f t="shared" si="406"/>
        <v>3.5831250000000003</v>
      </c>
      <c r="DY93" s="55">
        <f t="shared" si="406"/>
        <v>0</v>
      </c>
    </row>
    <row r="94" spans="1:129" x14ac:dyDescent="0.45">
      <c r="A94" s="3"/>
      <c r="B94" s="2"/>
      <c r="C94" s="121" t="s">
        <v>265</v>
      </c>
      <c r="D94" s="17"/>
      <c r="E94" s="2"/>
      <c r="F94" s="2"/>
      <c r="G94" s="2"/>
      <c r="H94" s="2"/>
      <c r="I94" s="14"/>
      <c r="J94" s="55"/>
      <c r="K94" s="55"/>
      <c r="L94" s="55"/>
      <c r="M94" s="55"/>
      <c r="N94" s="55"/>
      <c r="O94" s="55"/>
      <c r="P94" s="55"/>
      <c r="Q94" s="55"/>
      <c r="R94" s="55"/>
      <c r="S94" s="55"/>
      <c r="T94" s="55"/>
      <c r="U94" s="119">
        <f>'Plan Moyen Terme (PMT)'!C30-BAU_Liquidité_Dynamique!U93</f>
        <v>49.02249999999998</v>
      </c>
      <c r="V94" s="120">
        <f>IF(AND(U$1&lt;V$1, V$1&lt;=$F93),$U94*($F93-V$1)/($F93-$U$1),0)</f>
        <v>48.568587962962937</v>
      </c>
      <c r="W94" s="120">
        <f>IF(AND(V$1&lt;W$1, W$1&lt;=$F93),$U94*($F93-W$1)/($F93-$U$1),0)</f>
        <v>48.114675925925901</v>
      </c>
      <c r="X94" s="120">
        <f t="shared" ref="X94" si="738">IF(AND(W$1&lt;X$1, X$1&lt;=$F93),$U94*($F93-X$1)/($F93-$U$1),0)</f>
        <v>47.660763888888866</v>
      </c>
      <c r="Y94" s="120">
        <f t="shared" ref="Y94" si="739">IF(AND(X$1&lt;Y$1, Y$1&lt;=$F93),$U94*($F93-Y$1)/($F93-$U$1),0)</f>
        <v>47.206851851851837</v>
      </c>
      <c r="Z94" s="120">
        <f t="shared" ref="Z94" si="740">IF(AND(Y$1&lt;Z$1, Z$1&lt;=$F93),$U94*($F93-Z$1)/($F93-$U$1),0)</f>
        <v>46.752939814814802</v>
      </c>
      <c r="AA94" s="120">
        <f t="shared" ref="AA94" si="741">IF(AND(Z$1&lt;AA$1, AA$1&lt;=$F93),$U94*($F93-AA$1)/($F93-$U$1),0)</f>
        <v>46.299027777777759</v>
      </c>
      <c r="AB94" s="120">
        <f t="shared" ref="AB94" si="742">IF(AND(AA$1&lt;AB$1, AB$1&lt;=$F93),$U94*($F93-AB$1)/($F93-$U$1),0)</f>
        <v>45.845115740740724</v>
      </c>
      <c r="AC94" s="120">
        <f t="shared" ref="AC94" si="743">IF(AND(AB$1&lt;AC$1, AC$1&lt;=$F93),$U94*($F93-AC$1)/($F93-$U$1),0)</f>
        <v>45.391203703703688</v>
      </c>
      <c r="AD94" s="120">
        <f t="shared" ref="AD94" si="744">IF(AND(AC$1&lt;AD$1, AD$1&lt;=$F93),$U94*($F93-AD$1)/($F93-$U$1),0)</f>
        <v>44.937291666666653</v>
      </c>
      <c r="AE94" s="120">
        <f t="shared" ref="AE94" si="745">IF(AND(AD$1&lt;AE$1, AE$1&lt;=$F93),$U94*($F93-AE$1)/($F93-$U$1),0)</f>
        <v>44.48337962962961</v>
      </c>
      <c r="AF94" s="120">
        <f t="shared" ref="AF94" si="746">IF(AND(AE$1&lt;AF$1, AF$1&lt;=$F93),$U94*($F93-AF$1)/($F93-$U$1),0)</f>
        <v>44.029467592592574</v>
      </c>
      <c r="AG94" s="120">
        <f t="shared" ref="AG94" si="747">IF(AND(AF$1&lt;AG$1, AG$1&lt;=$F93),$U94*($F93-AG$1)/($F93-$U$1),0)</f>
        <v>43.575555555555539</v>
      </c>
      <c r="AH94" s="120">
        <f t="shared" ref="AH94" si="748">IF(AND(AG$1&lt;AH$1, AH$1&lt;=$F93),$U94*($F93-AH$1)/($F93-$U$1),0)</f>
        <v>43.121643518518503</v>
      </c>
      <c r="AI94" s="120">
        <f t="shared" ref="AI94" si="749">IF(AND(AH$1&lt;AI$1, AI$1&lt;=$F93),$U94*($F93-AI$1)/($F93-$U$1),0)</f>
        <v>42.667731481481461</v>
      </c>
      <c r="AJ94" s="120">
        <f t="shared" ref="AJ94" si="750">IF(AND(AI$1&lt;AJ$1, AJ$1&lt;=$F93),$U94*($F93-AJ$1)/($F93-$U$1),0)</f>
        <v>42.213819444444425</v>
      </c>
      <c r="AK94" s="120">
        <f t="shared" ref="AK94" si="751">IF(AND(AJ$1&lt;AK$1, AK$1&lt;=$F93),$U94*($F93-AK$1)/($F93-$U$1),0)</f>
        <v>41.75990740740739</v>
      </c>
      <c r="AL94" s="120">
        <f t="shared" ref="AL94" si="752">IF(AND(AK$1&lt;AL$1, AL$1&lt;=$F93),$U94*($F93-AL$1)/($F93-$U$1),0)</f>
        <v>41.305995370370347</v>
      </c>
      <c r="AM94" s="120">
        <f t="shared" ref="AM94" si="753">IF(AND(AL$1&lt;AM$1, AM$1&lt;=$F93),$U94*($F93-AM$1)/($F93-$U$1),0)</f>
        <v>40.852083333333312</v>
      </c>
      <c r="AN94" s="120">
        <f t="shared" ref="AN94" si="754">IF(AND(AM$1&lt;AN$1, AN$1&lt;=$F93),$U94*($F93-AN$1)/($F93-$U$1),0)</f>
        <v>40.398171296296276</v>
      </c>
      <c r="AO94" s="120">
        <f t="shared" ref="AO94" si="755">IF(AND(AN$1&lt;AO$1, AO$1&lt;=$F93),$U94*($F93-AO$1)/($F93-$U$1),0)</f>
        <v>39.94425925925924</v>
      </c>
      <c r="AP94" s="120">
        <f t="shared" ref="AP94" si="756">IF(AND(AO$1&lt;AP$1, AP$1&lt;=$F93),$U94*($F93-AP$1)/($F93-$U$1),0)</f>
        <v>39.490347222222212</v>
      </c>
      <c r="AQ94" s="120">
        <f t="shared" ref="AQ94" si="757">IF(AND(AP$1&lt;AQ$1, AQ$1&lt;=$F93),$U94*($F93-AQ$1)/($F93-$U$1),0)</f>
        <v>39.036435185185169</v>
      </c>
      <c r="AR94" s="120">
        <f t="shared" ref="AR94" si="758">IF(AND(AQ$1&lt;AR$1, AR$1&lt;=$F93),$U94*($F93-AR$1)/($F93-$U$1),0)</f>
        <v>38.582523148148134</v>
      </c>
      <c r="AS94" s="120">
        <f t="shared" ref="AS94" si="759">IF(AND(AR$1&lt;AS$1, AS$1&lt;=$F93),$U94*($F93-AS$1)/($F93-$U$1),0)</f>
        <v>38.128611111111098</v>
      </c>
      <c r="AT94" s="120">
        <f t="shared" ref="AT94" si="760">IF(AND(AS$1&lt;AT$1, AT$1&lt;=$F93),$U94*($F93-AT$1)/($F93-$U$1),0)</f>
        <v>37.674699074074063</v>
      </c>
      <c r="AU94" s="120">
        <f t="shared" ref="AU94" si="761">IF(AND(AT$1&lt;AU$1, AU$1&lt;=$F93),$U94*($F93-AU$1)/($F93-$U$1),0)</f>
        <v>37.22078703703702</v>
      </c>
      <c r="AV94" s="120">
        <f t="shared" ref="AV94" si="762">IF(AND(AU$1&lt;AV$1, AV$1&lt;=$F93),$U94*($F93-AV$1)/($F93-$U$1),0)</f>
        <v>36.766874999999985</v>
      </c>
      <c r="AW94" s="120">
        <f t="shared" ref="AW94" si="763">IF(AND(AV$1&lt;AW$1, AW$1&lt;=$F93),$U94*($F93-AW$1)/($F93-$U$1),0)</f>
        <v>36.312962962962949</v>
      </c>
      <c r="AX94" s="120">
        <f t="shared" ref="AX94" si="764">IF(AND(AW$1&lt;AX$1, AX$1&lt;=$F93),$U94*($F93-AX$1)/($F93-$U$1),0)</f>
        <v>35.859050925925914</v>
      </c>
      <c r="AY94" s="120">
        <f t="shared" ref="AY94" si="765">IF(AND(AX$1&lt;AY$1, AY$1&lt;=$F93),$U94*($F93-AY$1)/($F93-$U$1),0)</f>
        <v>35.405138888888871</v>
      </c>
      <c r="AZ94" s="120">
        <f t="shared" ref="AZ94" si="766">IF(AND(AY$1&lt;AZ$1, AZ$1&lt;=$F93),$U94*($F93-AZ$1)/($F93-$U$1),0)</f>
        <v>34.951226851851835</v>
      </c>
      <c r="BA94" s="120">
        <f t="shared" ref="BA94" si="767">IF(AND(AZ$1&lt;BA$1, BA$1&lt;=$F93),$U94*($F93-BA$1)/($F93-$U$1),0)</f>
        <v>34.4973148148148</v>
      </c>
      <c r="BB94" s="120">
        <f t="shared" ref="BB94" si="768">IF(AND(BA$1&lt;BB$1, BB$1&lt;=$F93),$U94*($F93-BB$1)/($F93-$U$1),0)</f>
        <v>34.043402777777764</v>
      </c>
      <c r="BC94" s="120">
        <f t="shared" ref="BC94" si="769">IF(AND(BB$1&lt;BC$1, BC$1&lt;=$F93),$U94*($F93-BC$1)/($F93-$U$1),0)</f>
        <v>33.589490740740729</v>
      </c>
      <c r="BD94" s="120">
        <f t="shared" ref="BD94" si="770">IF(AND(BC$1&lt;BD$1, BD$1&lt;=$F93),$U94*($F93-BD$1)/($F93-$U$1),0)</f>
        <v>33.135578703703693</v>
      </c>
      <c r="BE94" s="120">
        <f t="shared" ref="BE94" si="771">IF(AND(BD$1&lt;BE$1, BE$1&lt;=$F93),$U94*($F93-BE$1)/($F93-$U$1),0)</f>
        <v>32.681666666666651</v>
      </c>
      <c r="BF94" s="120">
        <f t="shared" ref="BF94" si="772">IF(AND(BE$1&lt;BF$1, BF$1&lt;=$F93),$U94*($F93-BF$1)/($F93-$U$1),0)</f>
        <v>32.227754629629615</v>
      </c>
      <c r="BG94" s="120">
        <f t="shared" ref="BG94" si="773">IF(AND(BF$1&lt;BG$1, BG$1&lt;=$F93),$U94*($F93-BG$1)/($F93-$U$1),0)</f>
        <v>31.77384259259258</v>
      </c>
      <c r="BH94" s="120">
        <f t="shared" ref="BH94" si="774">IF(AND(BG$1&lt;BH$1, BH$1&lt;=$F93),$U94*($F93-BH$1)/($F93-$U$1),0)</f>
        <v>31.319930555555541</v>
      </c>
      <c r="BI94" s="120">
        <f t="shared" ref="BI94" si="775">IF(AND(BH$1&lt;BI$1, BI$1&lt;=$F93),$U94*($F93-BI$1)/($F93-$U$1),0)</f>
        <v>30.866018518518509</v>
      </c>
      <c r="BJ94" s="120">
        <f t="shared" ref="BJ94" si="776">IF(AND(BI$1&lt;BJ$1, BJ$1&lt;=$F93),$U94*($F93-BJ$1)/($F93-$U$1),0)</f>
        <v>30.412106481481469</v>
      </c>
      <c r="BK94" s="120">
        <f t="shared" ref="BK94" si="777">IF(AND(BJ$1&lt;BK$1, BK$1&lt;=$F93),$U94*($F93-BK$1)/($F93-$U$1),0)</f>
        <v>29.958194444444434</v>
      </c>
      <c r="BL94" s="120">
        <f t="shared" ref="BL94" si="778">IF(AND(BK$1&lt;BL$1, BL$1&lt;=$F93),$U94*($F93-BL$1)/($F93-$U$1),0)</f>
        <v>29.504282407407395</v>
      </c>
      <c r="BM94" s="120">
        <f t="shared" ref="BM94" si="779">IF(AND(BL$1&lt;BM$1, BM$1&lt;=$F93),$U94*($F93-BM$1)/($F93-$U$1),0)</f>
        <v>29.050370370370359</v>
      </c>
      <c r="BN94" s="120">
        <f t="shared" ref="BN94" si="780">IF(AND(BM$1&lt;BN$1, BN$1&lt;=$F93),$U94*($F93-BN$1)/($F93-$U$1),0)</f>
        <v>28.59645833333332</v>
      </c>
      <c r="BO94" s="120">
        <f t="shared" ref="BO94" si="781">IF(AND(BN$1&lt;BO$1, BO$1&lt;=$F93),$U94*($F93-BO$1)/($F93-$U$1),0)</f>
        <v>28.142546296296285</v>
      </c>
      <c r="BP94" s="120">
        <f t="shared" ref="BP94" si="782">IF(AND(BO$1&lt;BP$1, BP$1&lt;=$F93),$U94*($F93-BP$1)/($F93-$U$1),0)</f>
        <v>27.688634259259246</v>
      </c>
      <c r="BQ94" s="120">
        <f t="shared" ref="BQ94" si="783">IF(AND(BP$1&lt;BQ$1, BQ$1&lt;=$F93),$U94*($F93-BQ$1)/($F93-$U$1),0)</f>
        <v>27.23472222222221</v>
      </c>
      <c r="BR94" s="120">
        <f t="shared" ref="BR94" si="784">IF(AND(BQ$1&lt;BR$1, BR$1&lt;=$F93),$U94*($F93-BR$1)/($F93-$U$1),0)</f>
        <v>26.780810185185175</v>
      </c>
      <c r="BS94" s="120">
        <f t="shared" ref="BS94" si="785">IF(AND(BR$1&lt;BS$1, BS$1&lt;=$F93),$U94*($F93-BS$1)/($F93-$U$1),0)</f>
        <v>26.326898148148139</v>
      </c>
      <c r="BT94" s="120">
        <f t="shared" ref="BT94" si="786">IF(AND(BS$1&lt;BT$1, BT$1&lt;=$F93),$U94*($F93-BT$1)/($F93-$U$1),0)</f>
        <v>25.8729861111111</v>
      </c>
      <c r="BU94" s="120">
        <f t="shared" ref="BU94" si="787">IF(AND(BT$1&lt;BU$1, BU$1&lt;=$F93),$U94*($F93-BU$1)/($F93-$U$1),0)</f>
        <v>25.419074074074064</v>
      </c>
      <c r="BV94" s="120">
        <f t="shared" ref="BV94" si="788">IF(AND(BU$1&lt;BV$1, BV$1&lt;=$F93),$U94*($F93-BV$1)/($F93-$U$1),0)</f>
        <v>24.965162037037025</v>
      </c>
      <c r="BW94" s="120">
        <f t="shared" ref="BW94" si="789">IF(AND(BV$1&lt;BW$1, BW$1&lt;=$F93),$U94*($F93-BW$1)/($F93-$U$1),0)</f>
        <v>24.51124999999999</v>
      </c>
      <c r="BX94" s="120">
        <f t="shared" ref="BX94" si="790">IF(AND(BW$1&lt;BX$1, BX$1&lt;=$F93),$U94*($F93-BX$1)/($F93-$U$1),0)</f>
        <v>24.057337962962951</v>
      </c>
      <c r="BY94" s="120">
        <f t="shared" ref="BY94" si="791">IF(AND(BX$1&lt;BY$1, BY$1&lt;=$F93),$U94*($F93-BY$1)/($F93-$U$1),0)</f>
        <v>23.603425925925919</v>
      </c>
      <c r="BZ94" s="120">
        <f t="shared" ref="BZ94" si="792">IF(AND(BY$1&lt;BZ$1, BZ$1&lt;=$F93),$U94*($F93-BZ$1)/($F93-$U$1),0)</f>
        <v>23.14951388888888</v>
      </c>
      <c r="CA94" s="120">
        <f t="shared" ref="CA94" si="793">IF(AND(BZ$1&lt;CA$1, CA$1&lt;=$F93),$U94*($F93-CA$1)/($F93-$U$1),0)</f>
        <v>22.695601851851844</v>
      </c>
      <c r="CB94" s="120">
        <f t="shared" ref="CB94" si="794">IF(AND(CA$1&lt;CB$1, CB$1&lt;=$F93),$U94*($F93-CB$1)/($F93-$U$1),0)</f>
        <v>22.241689814814805</v>
      </c>
      <c r="CC94" s="120">
        <f t="shared" ref="CC94" si="795">IF(AND(CB$1&lt;CC$1, CC$1&lt;=$F93),$U94*($F93-CC$1)/($F93-$U$1),0)</f>
        <v>21.787777777777769</v>
      </c>
      <c r="CD94" s="120">
        <f t="shared" ref="CD94" si="796">IF(AND(CC$1&lt;CD$1, CD$1&lt;=$F93),$U94*($F93-CD$1)/($F93-$U$1),0)</f>
        <v>21.33386574074073</v>
      </c>
      <c r="CE94" s="120">
        <f t="shared" ref="CE94" si="797">IF(AND(CD$1&lt;CE$1, CE$1&lt;=$F93),$U94*($F93-CE$1)/($F93-$U$1),0)</f>
        <v>20.879953703703695</v>
      </c>
      <c r="CF94" s="120">
        <f t="shared" ref="CF94" si="798">IF(AND(CE$1&lt;CF$1, CF$1&lt;=$F93),$U94*($F93-CF$1)/($F93-$U$1),0)</f>
        <v>20.426041666666656</v>
      </c>
      <c r="CG94" s="120">
        <f t="shared" ref="CG94" si="799">IF(AND(CF$1&lt;CG$1, CG$1&lt;=$F93),$U94*($F93-CG$1)/($F93-$U$1),0)</f>
        <v>19.97212962962962</v>
      </c>
      <c r="CH94" s="120">
        <f t="shared" ref="CH94" si="800">IF(AND(CG$1&lt;CH$1, CH$1&lt;=$F93),$U94*($F93-CH$1)/($F93-$U$1),0)</f>
        <v>19.518217592592585</v>
      </c>
      <c r="CI94" s="120">
        <f t="shared" ref="CI94" si="801">IF(AND(CH$1&lt;CI$1, CI$1&lt;=$F93),$U94*($F93-CI$1)/($F93-$U$1),0)</f>
        <v>19.064305555555549</v>
      </c>
      <c r="CJ94" s="120">
        <f t="shared" ref="CJ94" si="802">IF(AND(CI$1&lt;CJ$1, CJ$1&lt;=$F93),$U94*($F93-CJ$1)/($F93-$U$1),0)</f>
        <v>18.61039351851851</v>
      </c>
      <c r="CK94" s="120">
        <f t="shared" ref="CK94" si="803">IF(AND(CJ$1&lt;CK$1, CK$1&lt;=$F93),$U94*($F93-CK$1)/($F93-$U$1),0)</f>
        <v>18.156481481481475</v>
      </c>
      <c r="CL94" s="120">
        <f t="shared" ref="CL94" si="804">IF(AND(CK$1&lt;CL$1, CL$1&lt;=$F93),$U94*($F93-CL$1)/($F93-$U$1),0)</f>
        <v>17.702569444444435</v>
      </c>
      <c r="CM94" s="120">
        <f t="shared" ref="CM94" si="805">IF(AND(CL$1&lt;CM$1, CM$1&lt;=$F93),$U94*($F93-CM$1)/($F93-$U$1),0)</f>
        <v>17.2486574074074</v>
      </c>
      <c r="CN94" s="120">
        <f t="shared" ref="CN94" si="806">IF(AND(CM$1&lt;CN$1, CN$1&lt;=$F93),$U94*($F93-CN$1)/($F93-$U$1),0)</f>
        <v>16.794745370370364</v>
      </c>
      <c r="CO94" s="120">
        <f t="shared" ref="CO94" si="807">IF(AND(CN$1&lt;CO$1, CO$1&lt;=$F93),$U94*($F93-CO$1)/($F93-$U$1),0)</f>
        <v>16.340833333333325</v>
      </c>
      <c r="CP94" s="120">
        <f t="shared" ref="CP94" si="808">IF(AND(CO$1&lt;CP$1, CP$1&lt;=$F93),$U94*($F93-CP$1)/($F93-$U$1),0)</f>
        <v>15.88692129629629</v>
      </c>
      <c r="CQ94" s="120">
        <f t="shared" ref="CQ94" si="809">IF(AND(CP$1&lt;CQ$1, CQ$1&lt;=$F93),$U94*($F93-CQ$1)/($F93-$U$1),0)</f>
        <v>15.433009259259254</v>
      </c>
      <c r="CR94" s="120">
        <f t="shared" ref="CR94" si="810">IF(AND(CQ$1&lt;CR$1, CR$1&lt;=$F93),$U94*($F93-CR$1)/($F93-$U$1),0)</f>
        <v>14.979097222222217</v>
      </c>
      <c r="CS94" s="120">
        <f t="shared" ref="CS94" si="811">IF(AND(CR$1&lt;CS$1, CS$1&lt;=$F93),$U94*($F93-CS$1)/($F93-$U$1),0)</f>
        <v>14.52518518518518</v>
      </c>
      <c r="CT94" s="120">
        <f t="shared" ref="CT94" si="812">IF(AND(CS$1&lt;CT$1, CT$1&lt;=$F93),$U94*($F93-CT$1)/($F93-$U$1),0)</f>
        <v>14.071273148148142</v>
      </c>
      <c r="CU94" s="120">
        <f t="shared" ref="CU94" si="813">IF(AND(CT$1&lt;CU$1, CU$1&lt;=$F93),$U94*($F93-CU$1)/($F93-$U$1),0)</f>
        <v>13.617361111111105</v>
      </c>
      <c r="CV94" s="120">
        <f t="shared" ref="CV94" si="814">IF(AND(CU$1&lt;CV$1, CV$1&lt;=$F93),$U94*($F93-CV$1)/($F93-$U$1),0)</f>
        <v>13.16344907407407</v>
      </c>
      <c r="CW94" s="120">
        <f t="shared" ref="CW94" si="815">IF(AND(CV$1&lt;CW$1, CW$1&lt;=$F93),$U94*($F93-CW$1)/($F93-$U$1),0)</f>
        <v>12.709537037037032</v>
      </c>
      <c r="CX94" s="120">
        <f t="shared" ref="CX94" si="816">IF(AND(CW$1&lt;CX$1, CX$1&lt;=$F93),$U94*($F93-CX$1)/($F93-$U$1),0)</f>
        <v>12.255624999999995</v>
      </c>
      <c r="CY94" s="120">
        <f t="shared" ref="CY94" si="817">IF(AND(CX$1&lt;CY$1, CY$1&lt;=$F93),$U94*($F93-CY$1)/($F93-$U$1),0)</f>
        <v>11.801712962962959</v>
      </c>
      <c r="CZ94" s="120">
        <f t="shared" ref="CZ94" si="818">IF(AND(CY$1&lt;CZ$1, CZ$1&lt;=$F93),$U94*($F93-CZ$1)/($F93-$U$1),0)</f>
        <v>11.347800925925922</v>
      </c>
      <c r="DA94" s="120">
        <f t="shared" ref="DA94" si="819">IF(AND(CZ$1&lt;DA$1, DA$1&lt;=$F93),$U94*($F93-DA$1)/($F93-$U$1),0)</f>
        <v>10.893888888888885</v>
      </c>
      <c r="DB94" s="120">
        <f t="shared" ref="DB94" si="820">IF(AND(DA$1&lt;DB$1, DB$1&lt;=$F93),$U94*($F93-DB$1)/($F93-$U$1),0)</f>
        <v>10.439976851851847</v>
      </c>
      <c r="DC94" s="120">
        <f t="shared" ref="DC94" si="821">IF(AND(DB$1&lt;DC$1, DC$1&lt;=$F93),$U94*($F93-DC$1)/($F93-$U$1),0)</f>
        <v>9.9860648148148101</v>
      </c>
      <c r="DD94" s="120">
        <f t="shared" ref="DD94" si="822">IF(AND(DC$1&lt;DD$1, DD$1&lt;=$F93),$U94*($F93-DD$1)/($F93-$U$1),0)</f>
        <v>9.5321527777777746</v>
      </c>
      <c r="DE94" s="120">
        <f t="shared" ref="DE94" si="823">IF(AND(DD$1&lt;DE$1, DE$1&lt;=$F93),$U94*($F93-DE$1)/($F93-$U$1),0)</f>
        <v>9.0782407407407373</v>
      </c>
      <c r="DF94" s="120">
        <f t="shared" ref="DF94" si="824">IF(AND(DE$1&lt;DF$1, DF$1&lt;=$F93),$U94*($F93-DF$1)/($F93-$U$1),0)</f>
        <v>8.6243287037037</v>
      </c>
      <c r="DG94" s="120">
        <f t="shared" ref="DG94" si="825">IF(AND(DF$1&lt;DG$1, DG$1&lt;=$F93),$U94*($F93-DG$1)/($F93-$U$1),0)</f>
        <v>8.1704166666666627</v>
      </c>
      <c r="DH94" s="120">
        <f t="shared" ref="DH94" si="826">IF(AND(DG$1&lt;DH$1, DH$1&lt;=$F93),$U94*($F93-DH$1)/($F93-$U$1),0)</f>
        <v>7.7165046296296271</v>
      </c>
      <c r="DI94" s="120">
        <f t="shared" ref="DI94" si="827">IF(AND(DH$1&lt;DI$1, DI$1&lt;=$F93),$U94*($F93-DI$1)/($F93-$U$1),0)</f>
        <v>7.2625925925925898</v>
      </c>
      <c r="DJ94" s="120">
        <f t="shared" ref="DJ94" si="828">IF(AND(DI$1&lt;DJ$1, DJ$1&lt;=$F93),$U94*($F93-DJ$1)/($F93-$U$1),0)</f>
        <v>6.8086805555555525</v>
      </c>
      <c r="DK94" s="120">
        <f t="shared" ref="DK94" si="829">IF(AND(DJ$1&lt;DK$1, DK$1&lt;=$F93),$U94*($F93-DK$1)/($F93-$U$1),0)</f>
        <v>6.3547685185185161</v>
      </c>
      <c r="DL94" s="120">
        <f t="shared" ref="DL94" si="830">IF(AND(DK$1&lt;DL$1, DL$1&lt;=$F93),$U94*($F93-DL$1)/($F93-$U$1),0)</f>
        <v>5.9008564814814797</v>
      </c>
      <c r="DM94" s="120">
        <f t="shared" ref="DM94" si="831">IF(AND(DL$1&lt;DM$1, DM$1&lt;=$F93),$U94*($F93-DM$1)/($F93-$U$1),0)</f>
        <v>5.4469444444444424</v>
      </c>
      <c r="DN94" s="120">
        <f t="shared" ref="DN94" si="832">IF(AND(DM$1&lt;DN$1, DN$1&lt;=$F93),$U94*($F93-DN$1)/($F93-$U$1),0)</f>
        <v>4.9930324074074051</v>
      </c>
      <c r="DO94" s="120">
        <f t="shared" ref="DO94" si="833">IF(AND(DN$1&lt;DO$1, DO$1&lt;=$F93),$U94*($F93-DO$1)/($F93-$U$1),0)</f>
        <v>4.5391203703703686</v>
      </c>
      <c r="DP94" s="120">
        <f t="shared" ref="DP94" si="834">IF(AND(DO$1&lt;DP$1, DP$1&lt;=$F93),$U94*($F93-DP$1)/($F93-$U$1),0)</f>
        <v>4.0852083333333313</v>
      </c>
      <c r="DQ94" s="120">
        <f t="shared" ref="DQ94" si="835">IF(AND(DP$1&lt;DQ$1, DQ$1&lt;=$F93),$U94*($F93-DQ$1)/($F93-$U$1),0)</f>
        <v>3.6312962962962949</v>
      </c>
      <c r="DR94" s="120">
        <f t="shared" ref="DR94" si="836">IF(AND(DQ$1&lt;DR$1, DR$1&lt;=$F93),$U94*($F93-DR$1)/($F93-$U$1),0)</f>
        <v>3.177384259259258</v>
      </c>
      <c r="DS94" s="120">
        <f t="shared" ref="DS94" si="837">IF(AND(DR$1&lt;DS$1, DS$1&lt;=$F93),$U94*($F93-DS$1)/($F93-$U$1),0)</f>
        <v>2.7234722222222212</v>
      </c>
      <c r="DT94" s="120">
        <f t="shared" ref="DT94" si="838">IF(AND(DS$1&lt;DT$1, DT$1&lt;=$F93),$U94*($F93-DT$1)/($F93-$U$1),0)</f>
        <v>2.2695601851851843</v>
      </c>
      <c r="DU94" s="120">
        <f t="shared" ref="DU94" si="839">IF(AND(DT$1&lt;DU$1, DU$1&lt;=$F93),$U94*($F93-DU$1)/($F93-$U$1),0)</f>
        <v>1.8156481481481475</v>
      </c>
      <c r="DV94" s="120">
        <f t="shared" ref="DV94" si="840">IF(AND(DU$1&lt;DV$1, DV$1&lt;=$F93),$U94*($F93-DV$1)/($F93-$U$1),0)</f>
        <v>1.3617361111111106</v>
      </c>
      <c r="DW94" s="120">
        <f t="shared" ref="DW94" si="841">IF(AND(DV$1&lt;DW$1, DW$1&lt;=$F93),$U94*($F93-DW$1)/($F93-$U$1),0)</f>
        <v>0.90782407407407373</v>
      </c>
      <c r="DX94" s="120">
        <f t="shared" ref="DX94" si="842">IF(AND(DW$1&lt;DX$1, DX$1&lt;=$F93),$U94*($F93-DX$1)/($F93-$U$1),0)</f>
        <v>0.45391203703703686</v>
      </c>
      <c r="DY94" s="120">
        <f t="shared" ref="DY94" si="843">IF(AND(DX$1&lt;DY$1, DY$1&lt;=$F93),$U94*($F93-DY$1)/($F93-$U$1),0)</f>
        <v>0</v>
      </c>
    </row>
    <row r="95" spans="1:129" x14ac:dyDescent="0.45">
      <c r="A95" s="3"/>
      <c r="B95" s="2"/>
      <c r="C95" s="122" t="s">
        <v>266</v>
      </c>
      <c r="D95" s="17"/>
      <c r="E95" s="2"/>
      <c r="F95" s="2"/>
      <c r="G95" s="2"/>
      <c r="H95" s="2"/>
      <c r="I95" s="14"/>
      <c r="J95" s="55"/>
      <c r="K95" s="55"/>
      <c r="L95" s="55"/>
      <c r="M95" s="55"/>
      <c r="N95" s="55"/>
      <c r="O95" s="55"/>
      <c r="P95" s="55"/>
      <c r="Q95" s="55"/>
      <c r="R95" s="55"/>
      <c r="S95" s="55"/>
      <c r="T95" s="55"/>
      <c r="U95" s="95"/>
      <c r="V95" s="91"/>
      <c r="W95" s="91"/>
      <c r="X95" s="91"/>
      <c r="Y95" s="91"/>
      <c r="Z95" s="55"/>
      <c r="AA95" s="55"/>
      <c r="AB95" s="55"/>
      <c r="AC95" s="55"/>
      <c r="AD95" s="55"/>
      <c r="AE95" s="55"/>
      <c r="AF95" s="55"/>
      <c r="AG95" s="129">
        <f>'Plan Moyen Terme (PMT)'!D30-BAU_Liquidité_Dynamique!AG93</f>
        <v>113.01999999999998</v>
      </c>
      <c r="AH95" s="124">
        <f>IF(AND(AG$1&lt;AH$1, AH$1&lt;=$F93),$AG95*($F93-AH$1)/($F93-$AG$1),0)</f>
        <v>111.84270833333331</v>
      </c>
      <c r="AI95" s="124">
        <f>IF(AND(AH$1&lt;AI$1, AI$1&lt;=$F93),$AG95*($F93-AI$1)/($F93-$AG$1),0)</f>
        <v>110.66541666666664</v>
      </c>
      <c r="AJ95" s="124">
        <f t="shared" ref="AJ95:CU95" si="844">IF(AND(AI$1&lt;AJ$1, AJ$1&lt;=$F93),$AG95*($F93-AJ$1)/($F93-$AG$1),0)</f>
        <v>109.48812499999998</v>
      </c>
      <c r="AK95" s="124">
        <f t="shared" si="844"/>
        <v>108.31083333333332</v>
      </c>
      <c r="AL95" s="124">
        <f t="shared" si="844"/>
        <v>107.13354166666664</v>
      </c>
      <c r="AM95" s="124">
        <f t="shared" si="844"/>
        <v>105.95625</v>
      </c>
      <c r="AN95" s="124">
        <f t="shared" si="844"/>
        <v>104.77895833333332</v>
      </c>
      <c r="AO95" s="124">
        <f t="shared" si="844"/>
        <v>103.60166666666665</v>
      </c>
      <c r="AP95" s="124">
        <f t="shared" si="844"/>
        <v>102.42437499999998</v>
      </c>
      <c r="AQ95" s="124">
        <f t="shared" si="844"/>
        <v>101.24708333333331</v>
      </c>
      <c r="AR95" s="124">
        <f t="shared" si="844"/>
        <v>100.06979166666666</v>
      </c>
      <c r="AS95" s="124">
        <f t="shared" si="844"/>
        <v>98.892499999999984</v>
      </c>
      <c r="AT95" s="124">
        <f t="shared" si="844"/>
        <v>97.715208333333308</v>
      </c>
      <c r="AU95" s="124">
        <f t="shared" si="844"/>
        <v>96.537916666666661</v>
      </c>
      <c r="AV95" s="124">
        <f t="shared" si="844"/>
        <v>95.360624999999985</v>
      </c>
      <c r="AW95" s="124">
        <f t="shared" si="844"/>
        <v>94.183333333333323</v>
      </c>
      <c r="AX95" s="124">
        <f t="shared" si="844"/>
        <v>93.006041666666647</v>
      </c>
      <c r="AY95" s="124">
        <f t="shared" si="844"/>
        <v>91.828749999999971</v>
      </c>
      <c r="AZ95" s="124">
        <f t="shared" si="844"/>
        <v>90.651458333333323</v>
      </c>
      <c r="BA95" s="124">
        <f t="shared" si="844"/>
        <v>89.474166666666648</v>
      </c>
      <c r="BB95" s="124">
        <f t="shared" si="844"/>
        <v>88.296874999999986</v>
      </c>
      <c r="BC95" s="124">
        <f t="shared" si="844"/>
        <v>87.119583333333324</v>
      </c>
      <c r="BD95" s="124">
        <f t="shared" si="844"/>
        <v>85.942291666666662</v>
      </c>
      <c r="BE95" s="124">
        <f t="shared" si="844"/>
        <v>84.764999999999986</v>
      </c>
      <c r="BF95" s="124">
        <f t="shared" si="844"/>
        <v>83.58770833333331</v>
      </c>
      <c r="BG95" s="124">
        <f t="shared" si="844"/>
        <v>82.410416666666649</v>
      </c>
      <c r="BH95" s="124">
        <f t="shared" si="844"/>
        <v>81.233124999999987</v>
      </c>
      <c r="BI95" s="124">
        <f t="shared" si="844"/>
        <v>80.055833333333325</v>
      </c>
      <c r="BJ95" s="124">
        <f t="shared" si="844"/>
        <v>78.878541666666649</v>
      </c>
      <c r="BK95" s="124">
        <f t="shared" si="844"/>
        <v>77.701249999999987</v>
      </c>
      <c r="BL95" s="124">
        <f t="shared" si="844"/>
        <v>76.523958333333326</v>
      </c>
      <c r="BM95" s="124">
        <f t="shared" si="844"/>
        <v>75.34666666666665</v>
      </c>
      <c r="BN95" s="124">
        <f t="shared" si="844"/>
        <v>74.169374999999988</v>
      </c>
      <c r="BO95" s="124">
        <f t="shared" si="844"/>
        <v>72.992083333333326</v>
      </c>
      <c r="BP95" s="124">
        <f t="shared" si="844"/>
        <v>71.814791666666665</v>
      </c>
      <c r="BQ95" s="124">
        <f t="shared" si="844"/>
        <v>70.637499999999989</v>
      </c>
      <c r="BR95" s="124">
        <f t="shared" si="844"/>
        <v>69.460208333333313</v>
      </c>
      <c r="BS95" s="124">
        <f t="shared" si="844"/>
        <v>68.282916666666651</v>
      </c>
      <c r="BT95" s="124">
        <f t="shared" si="844"/>
        <v>67.105624999999989</v>
      </c>
      <c r="BU95" s="124">
        <f t="shared" si="844"/>
        <v>65.928333333333327</v>
      </c>
      <c r="BV95" s="124">
        <f t="shared" si="844"/>
        <v>64.751041666666652</v>
      </c>
      <c r="BW95" s="124">
        <f t="shared" si="844"/>
        <v>63.57374999999999</v>
      </c>
      <c r="BX95" s="124">
        <f t="shared" si="844"/>
        <v>62.396458333333328</v>
      </c>
      <c r="BY95" s="124">
        <f t="shared" si="844"/>
        <v>61.219166666666659</v>
      </c>
      <c r="BZ95" s="124">
        <f t="shared" si="844"/>
        <v>60.041874999999983</v>
      </c>
      <c r="CA95" s="124">
        <f t="shared" si="844"/>
        <v>58.864583333333321</v>
      </c>
      <c r="CB95" s="124">
        <f t="shared" si="844"/>
        <v>57.68729166666666</v>
      </c>
      <c r="CC95" s="124">
        <f t="shared" si="844"/>
        <v>56.509999999999991</v>
      </c>
      <c r="CD95" s="124">
        <f t="shared" si="844"/>
        <v>55.332708333333322</v>
      </c>
      <c r="CE95" s="124">
        <f t="shared" si="844"/>
        <v>54.15541666666666</v>
      </c>
      <c r="CF95" s="124">
        <f t="shared" si="844"/>
        <v>52.978124999999999</v>
      </c>
      <c r="CG95" s="124">
        <f t="shared" si="844"/>
        <v>51.800833333333323</v>
      </c>
      <c r="CH95" s="124">
        <f t="shared" si="844"/>
        <v>50.623541666666654</v>
      </c>
      <c r="CI95" s="124">
        <f t="shared" si="844"/>
        <v>49.446249999999992</v>
      </c>
      <c r="CJ95" s="124">
        <f t="shared" si="844"/>
        <v>48.26895833333333</v>
      </c>
      <c r="CK95" s="124">
        <f t="shared" si="844"/>
        <v>47.091666666666661</v>
      </c>
      <c r="CL95" s="124">
        <f t="shared" si="844"/>
        <v>45.914374999999986</v>
      </c>
      <c r="CM95" s="124">
        <f t="shared" si="844"/>
        <v>44.737083333333324</v>
      </c>
      <c r="CN95" s="124">
        <f t="shared" si="844"/>
        <v>43.559791666666662</v>
      </c>
      <c r="CO95" s="124">
        <f t="shared" si="844"/>
        <v>42.382499999999993</v>
      </c>
      <c r="CP95" s="124">
        <f t="shared" si="844"/>
        <v>41.205208333333324</v>
      </c>
      <c r="CQ95" s="124">
        <f t="shared" si="844"/>
        <v>40.027916666666663</v>
      </c>
      <c r="CR95" s="124">
        <f t="shared" si="844"/>
        <v>38.850624999999994</v>
      </c>
      <c r="CS95" s="124">
        <f t="shared" si="844"/>
        <v>37.673333333333325</v>
      </c>
      <c r="CT95" s="124">
        <f t="shared" si="844"/>
        <v>36.496041666666663</v>
      </c>
      <c r="CU95" s="124">
        <f t="shared" si="844"/>
        <v>35.318749999999994</v>
      </c>
      <c r="CV95" s="124">
        <f t="shared" ref="CV95:DY95" si="845">IF(AND(CU$1&lt;CV$1, CV$1&lt;=$F93),$AG95*($F93-CV$1)/($F93-$AG$1),0)</f>
        <v>34.141458333333325</v>
      </c>
      <c r="CW95" s="124">
        <f t="shared" si="845"/>
        <v>32.964166666666664</v>
      </c>
      <c r="CX95" s="124">
        <f t="shared" si="845"/>
        <v>31.786874999999995</v>
      </c>
      <c r="CY95" s="124">
        <f t="shared" si="845"/>
        <v>30.60958333333333</v>
      </c>
      <c r="CZ95" s="124">
        <f t="shared" si="845"/>
        <v>29.432291666666661</v>
      </c>
      <c r="DA95" s="124">
        <f t="shared" si="845"/>
        <v>28.254999999999995</v>
      </c>
      <c r="DB95" s="124">
        <f t="shared" si="845"/>
        <v>27.07770833333333</v>
      </c>
      <c r="DC95" s="124">
        <f t="shared" si="845"/>
        <v>25.900416666666661</v>
      </c>
      <c r="DD95" s="124">
        <f t="shared" si="845"/>
        <v>24.723124999999996</v>
      </c>
      <c r="DE95" s="124">
        <f t="shared" si="845"/>
        <v>23.545833333333331</v>
      </c>
      <c r="DF95" s="124">
        <f t="shared" si="845"/>
        <v>22.368541666666662</v>
      </c>
      <c r="DG95" s="124">
        <f t="shared" si="845"/>
        <v>21.191249999999997</v>
      </c>
      <c r="DH95" s="124">
        <f t="shared" si="845"/>
        <v>20.013958333333331</v>
      </c>
      <c r="DI95" s="124">
        <f t="shared" si="845"/>
        <v>18.836666666666662</v>
      </c>
      <c r="DJ95" s="124">
        <f t="shared" si="845"/>
        <v>17.659374999999997</v>
      </c>
      <c r="DK95" s="124">
        <f t="shared" si="845"/>
        <v>16.482083333333332</v>
      </c>
      <c r="DL95" s="124">
        <f t="shared" si="845"/>
        <v>15.304791666666665</v>
      </c>
      <c r="DM95" s="124">
        <f t="shared" si="845"/>
        <v>14.127499999999998</v>
      </c>
      <c r="DN95" s="124">
        <f t="shared" si="845"/>
        <v>12.950208333333331</v>
      </c>
      <c r="DO95" s="124">
        <f t="shared" si="845"/>
        <v>11.772916666666665</v>
      </c>
      <c r="DP95" s="124">
        <f t="shared" si="845"/>
        <v>10.595624999999998</v>
      </c>
      <c r="DQ95" s="124">
        <f t="shared" si="845"/>
        <v>9.4183333333333312</v>
      </c>
      <c r="DR95" s="124">
        <f t="shared" si="845"/>
        <v>8.2410416666666659</v>
      </c>
      <c r="DS95" s="124">
        <f t="shared" si="845"/>
        <v>7.0637499999999989</v>
      </c>
      <c r="DT95" s="124">
        <f t="shared" si="845"/>
        <v>5.8864583333333327</v>
      </c>
      <c r="DU95" s="124">
        <f t="shared" si="845"/>
        <v>4.7091666666666656</v>
      </c>
      <c r="DV95" s="124">
        <f t="shared" si="845"/>
        <v>3.5318749999999994</v>
      </c>
      <c r="DW95" s="124">
        <f t="shared" si="845"/>
        <v>2.3545833333333328</v>
      </c>
      <c r="DX95" s="124">
        <f t="shared" si="845"/>
        <v>1.1772916666666664</v>
      </c>
      <c r="DY95" s="124">
        <f t="shared" si="845"/>
        <v>0</v>
      </c>
    </row>
    <row r="96" spans="1:129" x14ac:dyDescent="0.45">
      <c r="A96" s="3"/>
      <c r="B96" s="2"/>
      <c r="C96" s="125" t="s">
        <v>267</v>
      </c>
      <c r="D96" s="17"/>
      <c r="E96" s="2"/>
      <c r="F96" s="2"/>
      <c r="G96" s="2"/>
      <c r="H96" s="2"/>
      <c r="I96" s="14"/>
      <c r="J96" s="55"/>
      <c r="K96" s="55"/>
      <c r="L96" s="55"/>
      <c r="M96" s="55"/>
      <c r="N96" s="55"/>
      <c r="O96" s="55"/>
      <c r="P96" s="55"/>
      <c r="Q96" s="55"/>
      <c r="R96" s="55"/>
      <c r="S96" s="55"/>
      <c r="T96" s="55"/>
      <c r="U96" s="96"/>
      <c r="V96" s="55"/>
      <c r="W96" s="55"/>
      <c r="X96" s="55"/>
      <c r="Y96" s="55"/>
      <c r="Z96" s="55"/>
      <c r="AA96" s="55"/>
      <c r="AB96" s="55"/>
      <c r="AC96" s="55"/>
      <c r="AD96" s="55"/>
      <c r="AE96" s="55"/>
      <c r="AF96" s="55"/>
      <c r="AG96" s="102"/>
      <c r="AH96" s="91"/>
      <c r="AI96" s="91"/>
      <c r="AJ96" s="91"/>
      <c r="AK96" s="55"/>
      <c r="AL96" s="55"/>
      <c r="AM96" s="55"/>
      <c r="AN96" s="55"/>
      <c r="AO96" s="55"/>
      <c r="AP96" s="55"/>
      <c r="AQ96" s="55"/>
      <c r="AR96" s="55"/>
      <c r="AS96" s="130">
        <f>'Plan Moyen Terme (PMT)'!E30-BAU_Liquidité_Dynamique!AS93</f>
        <v>256.01749999999998</v>
      </c>
      <c r="AT96" s="126">
        <f>IF(AND(AS$1&lt;AT$1, AT$1&lt;=$F93),$AS96*($F93-AT$1)/($F93-$AS$1),0)</f>
        <v>252.9696726190476</v>
      </c>
      <c r="AU96" s="126">
        <f t="shared" ref="AU96:DF96" si="846">IF(AND(AT$1&lt;AU$1, AU$1&lt;=$F93),$AS96*($F93-AU$1)/($F93-$AS$1),0)</f>
        <v>249.92184523809522</v>
      </c>
      <c r="AV96" s="126">
        <f t="shared" si="846"/>
        <v>246.87401785714286</v>
      </c>
      <c r="AW96" s="126">
        <f t="shared" si="846"/>
        <v>243.82619047619045</v>
      </c>
      <c r="AX96" s="126">
        <f t="shared" si="846"/>
        <v>240.77836309523809</v>
      </c>
      <c r="AY96" s="126">
        <f t="shared" si="846"/>
        <v>237.73053571428568</v>
      </c>
      <c r="AZ96" s="126">
        <f t="shared" si="846"/>
        <v>234.68270833333332</v>
      </c>
      <c r="BA96" s="126">
        <f t="shared" si="846"/>
        <v>231.63488095238094</v>
      </c>
      <c r="BB96" s="126">
        <f t="shared" si="846"/>
        <v>228.58705357142858</v>
      </c>
      <c r="BC96" s="126">
        <f t="shared" si="846"/>
        <v>225.53922619047617</v>
      </c>
      <c r="BD96" s="126">
        <f t="shared" si="846"/>
        <v>222.49139880952382</v>
      </c>
      <c r="BE96" s="126">
        <f t="shared" si="846"/>
        <v>219.4435714285714</v>
      </c>
      <c r="BF96" s="126">
        <f t="shared" si="846"/>
        <v>216.39574404761905</v>
      </c>
      <c r="BG96" s="126">
        <f t="shared" si="846"/>
        <v>213.34791666666666</v>
      </c>
      <c r="BH96" s="126">
        <f t="shared" si="846"/>
        <v>210.30008928571428</v>
      </c>
      <c r="BI96" s="126">
        <f t="shared" si="846"/>
        <v>207.25226190476189</v>
      </c>
      <c r="BJ96" s="126">
        <f t="shared" si="846"/>
        <v>204.20443452380954</v>
      </c>
      <c r="BK96" s="126">
        <f t="shared" si="846"/>
        <v>201.15660714285713</v>
      </c>
      <c r="BL96" s="126">
        <f t="shared" si="846"/>
        <v>198.10877976190477</v>
      </c>
      <c r="BM96" s="126">
        <f t="shared" si="846"/>
        <v>195.06095238095236</v>
      </c>
      <c r="BN96" s="126">
        <f t="shared" si="846"/>
        <v>192.013125</v>
      </c>
      <c r="BO96" s="126">
        <f t="shared" si="846"/>
        <v>188.96529761904762</v>
      </c>
      <c r="BP96" s="126">
        <f t="shared" si="846"/>
        <v>185.91747023809523</v>
      </c>
      <c r="BQ96" s="126">
        <f t="shared" si="846"/>
        <v>182.86964285714285</v>
      </c>
      <c r="BR96" s="126">
        <f t="shared" si="846"/>
        <v>179.82181547619047</v>
      </c>
      <c r="BS96" s="126">
        <f t="shared" si="846"/>
        <v>176.77398809523808</v>
      </c>
      <c r="BT96" s="126">
        <f t="shared" si="846"/>
        <v>173.7261607142857</v>
      </c>
      <c r="BU96" s="126">
        <f t="shared" si="846"/>
        <v>170.67833333333334</v>
      </c>
      <c r="BV96" s="126">
        <f t="shared" si="846"/>
        <v>167.63050595238096</v>
      </c>
      <c r="BW96" s="126">
        <f t="shared" si="846"/>
        <v>164.58267857142857</v>
      </c>
      <c r="BX96" s="126">
        <f t="shared" si="846"/>
        <v>161.53485119047619</v>
      </c>
      <c r="BY96" s="126">
        <f t="shared" si="846"/>
        <v>158.48702380952381</v>
      </c>
      <c r="BZ96" s="126">
        <f t="shared" si="846"/>
        <v>155.43919642857142</v>
      </c>
      <c r="CA96" s="126">
        <f t="shared" si="846"/>
        <v>152.39136904761904</v>
      </c>
      <c r="CB96" s="126">
        <f t="shared" si="846"/>
        <v>149.34354166666668</v>
      </c>
      <c r="CC96" s="126">
        <f t="shared" si="846"/>
        <v>146.2957142857143</v>
      </c>
      <c r="CD96" s="126">
        <f t="shared" si="846"/>
        <v>143.24788690476188</v>
      </c>
      <c r="CE96" s="126">
        <f t="shared" si="846"/>
        <v>140.2000595238095</v>
      </c>
      <c r="CF96" s="126">
        <f t="shared" si="846"/>
        <v>137.15223214285712</v>
      </c>
      <c r="CG96" s="126">
        <f t="shared" si="846"/>
        <v>134.10440476190473</v>
      </c>
      <c r="CH96" s="126">
        <f t="shared" si="846"/>
        <v>131.05657738095238</v>
      </c>
      <c r="CI96" s="126">
        <f t="shared" si="846"/>
        <v>128.00874999999999</v>
      </c>
      <c r="CJ96" s="126">
        <f t="shared" si="846"/>
        <v>124.96092261904761</v>
      </c>
      <c r="CK96" s="126">
        <f t="shared" si="846"/>
        <v>121.91309523809522</v>
      </c>
      <c r="CL96" s="126">
        <f t="shared" si="846"/>
        <v>118.86526785714284</v>
      </c>
      <c r="CM96" s="126">
        <f t="shared" si="846"/>
        <v>115.81744047619047</v>
      </c>
      <c r="CN96" s="126">
        <f t="shared" si="846"/>
        <v>112.76961309523809</v>
      </c>
      <c r="CO96" s="126">
        <f t="shared" si="846"/>
        <v>109.7217857142857</v>
      </c>
      <c r="CP96" s="126">
        <f t="shared" si="846"/>
        <v>106.67395833333333</v>
      </c>
      <c r="CQ96" s="126">
        <f t="shared" si="846"/>
        <v>103.62613095238095</v>
      </c>
      <c r="CR96" s="126">
        <f t="shared" si="846"/>
        <v>100.57830357142856</v>
      </c>
      <c r="CS96" s="126">
        <f t="shared" si="846"/>
        <v>97.530476190476179</v>
      </c>
      <c r="CT96" s="126">
        <f t="shared" si="846"/>
        <v>94.482648809523809</v>
      </c>
      <c r="CU96" s="126">
        <f t="shared" si="846"/>
        <v>91.434821428571425</v>
      </c>
      <c r="CV96" s="126">
        <f t="shared" si="846"/>
        <v>88.386994047619041</v>
      </c>
      <c r="CW96" s="126">
        <f t="shared" si="846"/>
        <v>85.339166666666671</v>
      </c>
      <c r="CX96" s="126">
        <f t="shared" si="846"/>
        <v>82.291339285714287</v>
      </c>
      <c r="CY96" s="126">
        <f t="shared" si="846"/>
        <v>79.243511904761903</v>
      </c>
      <c r="CZ96" s="126">
        <f t="shared" si="846"/>
        <v>76.195684523809518</v>
      </c>
      <c r="DA96" s="126">
        <f t="shared" si="846"/>
        <v>73.147857142857148</v>
      </c>
      <c r="DB96" s="126">
        <f t="shared" si="846"/>
        <v>70.10002976190475</v>
      </c>
      <c r="DC96" s="126">
        <f t="shared" si="846"/>
        <v>67.052202380952366</v>
      </c>
      <c r="DD96" s="126">
        <f t="shared" si="846"/>
        <v>64.004374999999996</v>
      </c>
      <c r="DE96" s="126">
        <f t="shared" si="846"/>
        <v>60.956547619047612</v>
      </c>
      <c r="DF96" s="126">
        <f t="shared" si="846"/>
        <v>57.908720238095235</v>
      </c>
      <c r="DG96" s="126">
        <f t="shared" ref="DG96:DY96" si="847">IF(AND(DF$1&lt;DG$1, DG$1&lt;=$F93),$AS96*($F93-DG$1)/($F93-$AS$1),0)</f>
        <v>54.860892857142851</v>
      </c>
      <c r="DH96" s="126">
        <f t="shared" si="847"/>
        <v>51.813065476190474</v>
      </c>
      <c r="DI96" s="126">
        <f t="shared" si="847"/>
        <v>48.765238095238089</v>
      </c>
      <c r="DJ96" s="126">
        <f t="shared" si="847"/>
        <v>45.717410714285712</v>
      </c>
      <c r="DK96" s="126">
        <f t="shared" si="847"/>
        <v>42.669583333333335</v>
      </c>
      <c r="DL96" s="126">
        <f t="shared" si="847"/>
        <v>39.621755952380951</v>
      </c>
      <c r="DM96" s="126">
        <f t="shared" si="847"/>
        <v>36.573928571428574</v>
      </c>
      <c r="DN96" s="126">
        <f t="shared" si="847"/>
        <v>33.526101190476183</v>
      </c>
      <c r="DO96" s="126">
        <f t="shared" si="847"/>
        <v>30.478273809523806</v>
      </c>
      <c r="DP96" s="126">
        <f t="shared" si="847"/>
        <v>27.430446428571425</v>
      </c>
      <c r="DQ96" s="126">
        <f t="shared" si="847"/>
        <v>24.382619047619045</v>
      </c>
      <c r="DR96" s="126">
        <f t="shared" si="847"/>
        <v>21.334791666666668</v>
      </c>
      <c r="DS96" s="126">
        <f t="shared" si="847"/>
        <v>18.286964285714287</v>
      </c>
      <c r="DT96" s="126">
        <f t="shared" si="847"/>
        <v>15.239136904761903</v>
      </c>
      <c r="DU96" s="126">
        <f t="shared" si="847"/>
        <v>12.191309523809522</v>
      </c>
      <c r="DV96" s="126">
        <f t="shared" si="847"/>
        <v>9.1434821428571436</v>
      </c>
      <c r="DW96" s="126">
        <f t="shared" si="847"/>
        <v>6.0956547619047612</v>
      </c>
      <c r="DX96" s="126">
        <f t="shared" si="847"/>
        <v>3.0478273809523806</v>
      </c>
      <c r="DY96" s="126">
        <f t="shared" si="847"/>
        <v>0</v>
      </c>
    </row>
    <row r="97" spans="1:129" x14ac:dyDescent="0.45">
      <c r="A97" s="3">
        <v>46022</v>
      </c>
      <c r="B97" s="2" t="s">
        <v>19</v>
      </c>
      <c r="C97" s="6" t="s">
        <v>28</v>
      </c>
      <c r="D97" s="17">
        <v>0</v>
      </c>
      <c r="E97" s="2" t="s">
        <v>43</v>
      </c>
      <c r="F97" s="2">
        <v>120</v>
      </c>
      <c r="G97" s="2" t="s">
        <v>43</v>
      </c>
      <c r="H97" s="2">
        <v>120</v>
      </c>
      <c r="I97" s="14">
        <v>7004.9340000000002</v>
      </c>
      <c r="J97" s="55">
        <f t="shared" si="404"/>
        <v>6946.5595500000009</v>
      </c>
      <c r="K97" s="55">
        <f t="shared" si="404"/>
        <v>6888.1850999999997</v>
      </c>
      <c r="L97" s="55">
        <f t="shared" si="404"/>
        <v>6829.8106500000004</v>
      </c>
      <c r="M97" s="55">
        <f t="shared" si="404"/>
        <v>6771.4362000000001</v>
      </c>
      <c r="N97" s="55">
        <f t="shared" si="404"/>
        <v>6713.0617500000008</v>
      </c>
      <c r="O97" s="55">
        <f t="shared" si="404"/>
        <v>6654.6872999999996</v>
      </c>
      <c r="P97" s="55">
        <f t="shared" si="404"/>
        <v>6596.3128500000003</v>
      </c>
      <c r="Q97" s="55">
        <f t="shared" si="404"/>
        <v>6537.9384</v>
      </c>
      <c r="R97" s="55">
        <f t="shared" si="404"/>
        <v>6479.5639500000007</v>
      </c>
      <c r="S97" s="55">
        <f t="shared" si="404"/>
        <v>6421.1894999999995</v>
      </c>
      <c r="T97" s="55">
        <f t="shared" si="404"/>
        <v>6362.8150500000002</v>
      </c>
      <c r="U97" s="96">
        <f t="shared" si="404"/>
        <v>6304.4405999999999</v>
      </c>
      <c r="V97" s="55">
        <f t="shared" si="404"/>
        <v>6246.0661500000006</v>
      </c>
      <c r="W97" s="55">
        <f t="shared" si="404"/>
        <v>6187.6917000000003</v>
      </c>
      <c r="X97" s="55">
        <f t="shared" si="404"/>
        <v>6129.3172500000001</v>
      </c>
      <c r="Y97" s="55">
        <f t="shared" si="404"/>
        <v>6070.9428000000007</v>
      </c>
      <c r="Z97" s="55">
        <f t="shared" ref="Z97:CK105" si="848">IF(Z$1&lt;$F97,$I97*(($F97-Z$1)/$F97),0)</f>
        <v>6012.5683499999996</v>
      </c>
      <c r="AA97" s="55">
        <f t="shared" si="848"/>
        <v>5954.1939000000002</v>
      </c>
      <c r="AB97" s="55">
        <f t="shared" si="848"/>
        <v>5895.81945</v>
      </c>
      <c r="AC97" s="55">
        <f t="shared" si="848"/>
        <v>5837.4450000000006</v>
      </c>
      <c r="AD97" s="55">
        <f t="shared" si="848"/>
        <v>5779.0705499999995</v>
      </c>
      <c r="AE97" s="55">
        <f t="shared" si="848"/>
        <v>5720.6961000000001</v>
      </c>
      <c r="AF97" s="55">
        <f t="shared" si="848"/>
        <v>5662.3216499999999</v>
      </c>
      <c r="AG97" s="102">
        <f t="shared" si="848"/>
        <v>5603.9472000000005</v>
      </c>
      <c r="AH97" s="55">
        <f t="shared" si="848"/>
        <v>5545.5727500000003</v>
      </c>
      <c r="AI97" s="55">
        <f t="shared" si="848"/>
        <v>5487.1983</v>
      </c>
      <c r="AJ97" s="55">
        <f t="shared" si="848"/>
        <v>5428.8238500000007</v>
      </c>
      <c r="AK97" s="55">
        <f t="shared" si="848"/>
        <v>5370.4494000000004</v>
      </c>
      <c r="AL97" s="55">
        <f t="shared" si="848"/>
        <v>5312.0749500000002</v>
      </c>
      <c r="AM97" s="55">
        <f t="shared" si="848"/>
        <v>5253.7004999999999</v>
      </c>
      <c r="AN97" s="55">
        <f t="shared" si="848"/>
        <v>5195.3260500000006</v>
      </c>
      <c r="AO97" s="55">
        <f t="shared" si="848"/>
        <v>5136.9515999999994</v>
      </c>
      <c r="AP97" s="55">
        <f t="shared" si="848"/>
        <v>5078.5771500000001</v>
      </c>
      <c r="AQ97" s="55">
        <f t="shared" si="848"/>
        <v>5020.2026999999998</v>
      </c>
      <c r="AR97" s="55">
        <f t="shared" si="848"/>
        <v>4961.8282500000005</v>
      </c>
      <c r="AS97" s="108">
        <f t="shared" si="848"/>
        <v>4903.4538000000002</v>
      </c>
      <c r="AT97" s="55">
        <f t="shared" si="848"/>
        <v>4845.07935</v>
      </c>
      <c r="AU97" s="55">
        <f t="shared" si="848"/>
        <v>4786.7049000000006</v>
      </c>
      <c r="AV97" s="55">
        <f t="shared" si="848"/>
        <v>4728.3304500000004</v>
      </c>
      <c r="AW97" s="55">
        <f t="shared" si="848"/>
        <v>4669.9560000000001</v>
      </c>
      <c r="AX97" s="55">
        <f t="shared" si="848"/>
        <v>4611.5815499999999</v>
      </c>
      <c r="AY97" s="55">
        <f t="shared" si="848"/>
        <v>4553.2071000000005</v>
      </c>
      <c r="AZ97" s="55">
        <f t="shared" si="848"/>
        <v>4494.8326500000003</v>
      </c>
      <c r="BA97" s="55">
        <f t="shared" si="848"/>
        <v>4436.4582</v>
      </c>
      <c r="BB97" s="55">
        <f t="shared" si="848"/>
        <v>4378.0837499999998</v>
      </c>
      <c r="BC97" s="55">
        <f t="shared" si="848"/>
        <v>4319.7093000000004</v>
      </c>
      <c r="BD97" s="55">
        <f t="shared" si="848"/>
        <v>4261.3348500000002</v>
      </c>
      <c r="BE97" s="55">
        <f t="shared" si="848"/>
        <v>4202.9603999999999</v>
      </c>
      <c r="BF97" s="55">
        <f t="shared" si="848"/>
        <v>4144.5859500000006</v>
      </c>
      <c r="BG97" s="55">
        <f t="shared" si="848"/>
        <v>4086.2115000000003</v>
      </c>
      <c r="BH97" s="55">
        <f t="shared" si="848"/>
        <v>4027.8370499999996</v>
      </c>
      <c r="BI97" s="55">
        <f t="shared" si="848"/>
        <v>3969.4625999999998</v>
      </c>
      <c r="BJ97" s="55">
        <f t="shared" si="848"/>
        <v>3911.08815</v>
      </c>
      <c r="BK97" s="55">
        <f t="shared" si="848"/>
        <v>3852.7137000000002</v>
      </c>
      <c r="BL97" s="55">
        <f t="shared" si="848"/>
        <v>3794.33925</v>
      </c>
      <c r="BM97" s="55">
        <f t="shared" si="848"/>
        <v>3735.9648000000002</v>
      </c>
      <c r="BN97" s="55">
        <f t="shared" si="848"/>
        <v>3677.5903500000004</v>
      </c>
      <c r="BO97" s="55">
        <f t="shared" si="848"/>
        <v>3619.2159000000006</v>
      </c>
      <c r="BP97" s="55">
        <f t="shared" si="848"/>
        <v>3560.8414499999999</v>
      </c>
      <c r="BQ97" s="55">
        <f t="shared" si="848"/>
        <v>3502.4670000000001</v>
      </c>
      <c r="BR97" s="55">
        <f t="shared" si="848"/>
        <v>3444.0925499999998</v>
      </c>
      <c r="BS97" s="55">
        <f t="shared" si="848"/>
        <v>3385.7181</v>
      </c>
      <c r="BT97" s="55">
        <f t="shared" si="848"/>
        <v>3327.3436499999998</v>
      </c>
      <c r="BU97" s="55">
        <f t="shared" si="848"/>
        <v>3268.9692</v>
      </c>
      <c r="BV97" s="55">
        <f t="shared" si="848"/>
        <v>3210.5947499999997</v>
      </c>
      <c r="BW97" s="55">
        <f t="shared" si="848"/>
        <v>3152.2203</v>
      </c>
      <c r="BX97" s="55">
        <f t="shared" si="848"/>
        <v>3093.8458500000002</v>
      </c>
      <c r="BY97" s="55">
        <f t="shared" si="848"/>
        <v>3035.4714000000004</v>
      </c>
      <c r="BZ97" s="55">
        <f t="shared" si="848"/>
        <v>2977.0969500000001</v>
      </c>
      <c r="CA97" s="55">
        <f t="shared" si="848"/>
        <v>2918.7225000000003</v>
      </c>
      <c r="CB97" s="55">
        <f t="shared" si="848"/>
        <v>2860.3480500000001</v>
      </c>
      <c r="CC97" s="55">
        <f t="shared" si="848"/>
        <v>2801.9736000000003</v>
      </c>
      <c r="CD97" s="55">
        <f t="shared" si="848"/>
        <v>2743.59915</v>
      </c>
      <c r="CE97" s="55">
        <f t="shared" si="848"/>
        <v>2685.2247000000002</v>
      </c>
      <c r="CF97" s="55">
        <f t="shared" si="848"/>
        <v>2626.85025</v>
      </c>
      <c r="CG97" s="55">
        <f t="shared" si="848"/>
        <v>2568.4757999999997</v>
      </c>
      <c r="CH97" s="55">
        <f t="shared" si="848"/>
        <v>2510.1013499999999</v>
      </c>
      <c r="CI97" s="55">
        <f t="shared" si="848"/>
        <v>2451.7269000000001</v>
      </c>
      <c r="CJ97" s="55">
        <f t="shared" si="848"/>
        <v>2393.3524500000003</v>
      </c>
      <c r="CK97" s="55">
        <f t="shared" si="848"/>
        <v>2334.9780000000001</v>
      </c>
      <c r="CL97" s="55">
        <f t="shared" si="406"/>
        <v>2276.6035500000003</v>
      </c>
      <c r="CM97" s="55">
        <f t="shared" si="406"/>
        <v>2218.2291</v>
      </c>
      <c r="CN97" s="55">
        <f t="shared" si="406"/>
        <v>2159.8546500000002</v>
      </c>
      <c r="CO97" s="55">
        <f t="shared" si="406"/>
        <v>2101.4802</v>
      </c>
      <c r="CP97" s="55">
        <f t="shared" si="406"/>
        <v>2043.1057500000002</v>
      </c>
      <c r="CQ97" s="55">
        <f t="shared" si="406"/>
        <v>1984.7312999999999</v>
      </c>
      <c r="CR97" s="55">
        <f t="shared" si="406"/>
        <v>1926.3568500000001</v>
      </c>
      <c r="CS97" s="55">
        <f t="shared" si="406"/>
        <v>1867.9824000000001</v>
      </c>
      <c r="CT97" s="55">
        <f t="shared" si="406"/>
        <v>1809.6079500000003</v>
      </c>
      <c r="CU97" s="55">
        <f t="shared" si="406"/>
        <v>1751.2335</v>
      </c>
      <c r="CV97" s="55">
        <f t="shared" si="406"/>
        <v>1692.85905</v>
      </c>
      <c r="CW97" s="55">
        <f t="shared" si="406"/>
        <v>1634.4846</v>
      </c>
      <c r="CX97" s="55">
        <f t="shared" si="406"/>
        <v>1576.11015</v>
      </c>
      <c r="CY97" s="55">
        <f t="shared" si="406"/>
        <v>1517.7357000000002</v>
      </c>
      <c r="CZ97" s="55">
        <f t="shared" si="406"/>
        <v>1459.3612500000002</v>
      </c>
      <c r="DA97" s="55">
        <f t="shared" si="406"/>
        <v>1400.9868000000001</v>
      </c>
      <c r="DB97" s="55">
        <f t="shared" si="406"/>
        <v>1342.6123500000001</v>
      </c>
      <c r="DC97" s="55">
        <f t="shared" si="406"/>
        <v>1284.2378999999999</v>
      </c>
      <c r="DD97" s="55">
        <f t="shared" si="406"/>
        <v>1225.8634500000001</v>
      </c>
      <c r="DE97" s="55">
        <f t="shared" si="406"/>
        <v>1167.489</v>
      </c>
      <c r="DF97" s="55">
        <f t="shared" si="406"/>
        <v>1109.11455</v>
      </c>
      <c r="DG97" s="55">
        <f t="shared" si="406"/>
        <v>1050.7401</v>
      </c>
      <c r="DH97" s="55">
        <f t="shared" si="406"/>
        <v>992.36564999999996</v>
      </c>
      <c r="DI97" s="55">
        <f t="shared" si="406"/>
        <v>933.99120000000005</v>
      </c>
      <c r="DJ97" s="55">
        <f t="shared" si="406"/>
        <v>875.61675000000002</v>
      </c>
      <c r="DK97" s="55">
        <f t="shared" si="406"/>
        <v>817.2423</v>
      </c>
      <c r="DL97" s="55">
        <f t="shared" si="406"/>
        <v>758.86785000000009</v>
      </c>
      <c r="DM97" s="55">
        <f t="shared" si="406"/>
        <v>700.49340000000007</v>
      </c>
      <c r="DN97" s="55">
        <f t="shared" si="406"/>
        <v>642.11894999999993</v>
      </c>
      <c r="DO97" s="55">
        <f t="shared" si="406"/>
        <v>583.74450000000002</v>
      </c>
      <c r="DP97" s="55">
        <f t="shared" si="406"/>
        <v>525.37004999999999</v>
      </c>
      <c r="DQ97" s="55">
        <f t="shared" si="406"/>
        <v>466.99560000000002</v>
      </c>
      <c r="DR97" s="55">
        <f t="shared" si="406"/>
        <v>408.62115</v>
      </c>
      <c r="DS97" s="55">
        <f t="shared" si="406"/>
        <v>350.24670000000003</v>
      </c>
      <c r="DT97" s="55">
        <f t="shared" si="406"/>
        <v>291.87225000000001</v>
      </c>
      <c r="DU97" s="55">
        <f t="shared" si="406"/>
        <v>233.49780000000001</v>
      </c>
      <c r="DV97" s="55">
        <f t="shared" si="406"/>
        <v>175.12335000000002</v>
      </c>
      <c r="DW97" s="55">
        <f t="shared" si="406"/>
        <v>116.74890000000001</v>
      </c>
      <c r="DX97" s="55">
        <f t="shared" si="406"/>
        <v>58.374450000000003</v>
      </c>
      <c r="DY97" s="55">
        <f t="shared" si="406"/>
        <v>0</v>
      </c>
    </row>
    <row r="98" spans="1:129" x14ac:dyDescent="0.45">
      <c r="A98" s="3"/>
      <c r="B98" s="2"/>
      <c r="C98" s="121" t="s">
        <v>265</v>
      </c>
      <c r="D98" s="17"/>
      <c r="E98" s="2"/>
      <c r="F98" s="2"/>
      <c r="G98" s="2"/>
      <c r="H98" s="2"/>
      <c r="I98" s="14"/>
      <c r="J98" s="55"/>
      <c r="K98" s="55"/>
      <c r="L98" s="55"/>
      <c r="M98" s="55"/>
      <c r="N98" s="55"/>
      <c r="O98" s="55"/>
      <c r="P98" s="55"/>
      <c r="Q98" s="55"/>
      <c r="R98" s="55"/>
      <c r="S98" s="55"/>
      <c r="T98" s="55"/>
      <c r="U98" s="119">
        <f>'Plan Moyen Terme (PMT)'!C31-BAU_Liquidité_Dynamique!U97</f>
        <v>695.46840000000066</v>
      </c>
      <c r="V98" s="120">
        <f>IF(AND(U$1&lt;V$1, V$1&lt;=$F97),$U98*($F97-V$1)/($F97-$U$1),0)</f>
        <v>689.02887777777846</v>
      </c>
      <c r="W98" s="120">
        <f>IF(AND(V$1&lt;W$1, W$1&lt;=$F97),$U98*($F97-W$1)/($F97-$U$1),0)</f>
        <v>682.58935555555627</v>
      </c>
      <c r="X98" s="120">
        <f t="shared" ref="X98" si="849">IF(AND(W$1&lt;X$1, X$1&lt;=$F97),$U98*($F97-X$1)/($F97-$U$1),0)</f>
        <v>676.14983333333396</v>
      </c>
      <c r="Y98" s="120">
        <f t="shared" ref="Y98" si="850">IF(AND(X$1&lt;Y$1, Y$1&lt;=$F97),$U98*($F97-Y$1)/($F97-$U$1),0)</f>
        <v>669.71031111111176</v>
      </c>
      <c r="Z98" s="120">
        <f t="shared" ref="Z98" si="851">IF(AND(Y$1&lt;Z$1, Z$1&lt;=$F97),$U98*($F97-Z$1)/($F97-$U$1),0)</f>
        <v>663.27078888888946</v>
      </c>
      <c r="AA98" s="120">
        <f t="shared" ref="AA98" si="852">IF(AND(Z$1&lt;AA$1, AA$1&lt;=$F97),$U98*($F97-AA$1)/($F97-$U$1),0)</f>
        <v>656.83126666666726</v>
      </c>
      <c r="AB98" s="120">
        <f t="shared" ref="AB98" si="853">IF(AND(AA$1&lt;AB$1, AB$1&lt;=$F97),$U98*($F97-AB$1)/($F97-$U$1),0)</f>
        <v>650.39174444444507</v>
      </c>
      <c r="AC98" s="120">
        <f t="shared" ref="AC98" si="854">IF(AND(AB$1&lt;AC$1, AC$1&lt;=$F97),$U98*($F97-AC$1)/($F97-$U$1),0)</f>
        <v>643.95222222222287</v>
      </c>
      <c r="AD98" s="120">
        <f t="shared" ref="AD98" si="855">IF(AND(AC$1&lt;AD$1, AD$1&lt;=$F97),$U98*($F97-AD$1)/($F97-$U$1),0)</f>
        <v>637.51270000000068</v>
      </c>
      <c r="AE98" s="120">
        <f t="shared" ref="AE98" si="856">IF(AND(AD$1&lt;AE$1, AE$1&lt;=$F97),$U98*($F97-AE$1)/($F97-$U$1),0)</f>
        <v>631.07317777777837</v>
      </c>
      <c r="AF98" s="120">
        <f t="shared" ref="AF98" si="857">IF(AND(AE$1&lt;AF$1, AF$1&lt;=$F97),$U98*($F97-AF$1)/($F97-$U$1),0)</f>
        <v>624.63365555555617</v>
      </c>
      <c r="AG98" s="120">
        <f t="shared" ref="AG98" si="858">IF(AND(AF$1&lt;AG$1, AG$1&lt;=$F97),$U98*($F97-AG$1)/($F97-$U$1),0)</f>
        <v>618.19413333333387</v>
      </c>
      <c r="AH98" s="120">
        <f t="shared" ref="AH98" si="859">IF(AND(AG$1&lt;AH$1, AH$1&lt;=$F97),$U98*($F97-AH$1)/($F97-$U$1),0)</f>
        <v>611.75461111111167</v>
      </c>
      <c r="AI98" s="120">
        <f t="shared" ref="AI98" si="860">IF(AND(AH$1&lt;AI$1, AI$1&lt;=$F97),$U98*($F97-AI$1)/($F97-$U$1),0)</f>
        <v>605.31508888888948</v>
      </c>
      <c r="AJ98" s="120">
        <f t="shared" ref="AJ98" si="861">IF(AND(AI$1&lt;AJ$1, AJ$1&lt;=$F97),$U98*($F97-AJ$1)/($F97-$U$1),0)</f>
        <v>598.87556666666728</v>
      </c>
      <c r="AK98" s="120">
        <f t="shared" ref="AK98" si="862">IF(AND(AJ$1&lt;AK$1, AK$1&lt;=$F97),$U98*($F97-AK$1)/($F97-$U$1),0)</f>
        <v>592.43604444444497</v>
      </c>
      <c r="AL98" s="120">
        <f t="shared" ref="AL98" si="863">IF(AND(AK$1&lt;AL$1, AL$1&lt;=$F97),$U98*($F97-AL$1)/($F97-$U$1),0)</f>
        <v>585.99652222222278</v>
      </c>
      <c r="AM98" s="120">
        <f t="shared" ref="AM98" si="864">IF(AND(AL$1&lt;AM$1, AM$1&lt;=$F97),$U98*($F97-AM$1)/($F97-$U$1),0)</f>
        <v>579.55700000000058</v>
      </c>
      <c r="AN98" s="120">
        <f t="shared" ref="AN98" si="865">IF(AND(AM$1&lt;AN$1, AN$1&lt;=$F97),$U98*($F97-AN$1)/($F97-$U$1),0)</f>
        <v>573.11747777777828</v>
      </c>
      <c r="AO98" s="120">
        <f t="shared" ref="AO98" si="866">IF(AND(AN$1&lt;AO$1, AO$1&lt;=$F97),$U98*($F97-AO$1)/($F97-$U$1),0)</f>
        <v>566.67795555555608</v>
      </c>
      <c r="AP98" s="120">
        <f t="shared" ref="AP98" si="867">IF(AND(AO$1&lt;AP$1, AP$1&lt;=$F97),$U98*($F97-AP$1)/($F97-$U$1),0)</f>
        <v>560.23843333333389</v>
      </c>
      <c r="AQ98" s="120">
        <f t="shared" ref="AQ98" si="868">IF(AND(AP$1&lt;AQ$1, AQ$1&lt;=$F97),$U98*($F97-AQ$1)/($F97-$U$1),0)</f>
        <v>553.79891111111158</v>
      </c>
      <c r="AR98" s="120">
        <f t="shared" ref="AR98" si="869">IF(AND(AQ$1&lt;AR$1, AR$1&lt;=$F97),$U98*($F97-AR$1)/($F97-$U$1),0)</f>
        <v>547.35938888888938</v>
      </c>
      <c r="AS98" s="120">
        <f t="shared" ref="AS98" si="870">IF(AND(AR$1&lt;AS$1, AS$1&lt;=$F97),$U98*($F97-AS$1)/($F97-$U$1),0)</f>
        <v>540.91986666666719</v>
      </c>
      <c r="AT98" s="120">
        <f t="shared" ref="AT98" si="871">IF(AND(AS$1&lt;AT$1, AT$1&lt;=$F97),$U98*($F97-AT$1)/($F97-$U$1),0)</f>
        <v>534.480344444445</v>
      </c>
      <c r="AU98" s="120">
        <f t="shared" ref="AU98" si="872">IF(AND(AT$1&lt;AU$1, AU$1&lt;=$F97),$U98*($F97-AU$1)/($F97-$U$1),0)</f>
        <v>528.04082222222269</v>
      </c>
      <c r="AV98" s="120">
        <f t="shared" ref="AV98" si="873">IF(AND(AU$1&lt;AV$1, AV$1&lt;=$F97),$U98*($F97-AV$1)/($F97-$U$1),0)</f>
        <v>521.60130000000049</v>
      </c>
      <c r="AW98" s="120">
        <f t="shared" ref="AW98" si="874">IF(AND(AV$1&lt;AW$1, AW$1&lt;=$F97),$U98*($F97-AW$1)/($F97-$U$1),0)</f>
        <v>515.1617777777783</v>
      </c>
      <c r="AX98" s="120">
        <f t="shared" ref="AX98" si="875">IF(AND(AW$1&lt;AX$1, AX$1&lt;=$F97),$U98*($F97-AX$1)/($F97-$U$1),0)</f>
        <v>508.72225555555605</v>
      </c>
      <c r="AY98" s="120">
        <f t="shared" ref="AY98" si="876">IF(AND(AX$1&lt;AY$1, AY$1&lt;=$F97),$U98*($F97-AY$1)/($F97-$U$1),0)</f>
        <v>502.28273333333379</v>
      </c>
      <c r="AZ98" s="120">
        <f t="shared" ref="AZ98" si="877">IF(AND(AY$1&lt;AZ$1, AZ$1&lt;=$F97),$U98*($F97-AZ$1)/($F97-$U$1),0)</f>
        <v>495.8432111111116</v>
      </c>
      <c r="BA98" s="120">
        <f t="shared" ref="BA98" si="878">IF(AND(AZ$1&lt;BA$1, BA$1&lt;=$F97),$U98*($F97-BA$1)/($F97-$U$1),0)</f>
        <v>489.40368888888929</v>
      </c>
      <c r="BB98" s="120">
        <f t="shared" ref="BB98" si="879">IF(AND(BA$1&lt;BB$1, BB$1&lt;=$F97),$U98*($F97-BB$1)/($F97-$U$1),0)</f>
        <v>482.9641666666671</v>
      </c>
      <c r="BC98" s="120">
        <f t="shared" ref="BC98" si="880">IF(AND(BB$1&lt;BC$1, BC$1&lt;=$F97),$U98*($F97-BC$1)/($F97-$U$1),0)</f>
        <v>476.5246444444449</v>
      </c>
      <c r="BD98" s="120">
        <f t="shared" ref="BD98" si="881">IF(AND(BC$1&lt;BD$1, BD$1&lt;=$F97),$U98*($F97-BD$1)/($F97-$U$1),0)</f>
        <v>470.08512222222265</v>
      </c>
      <c r="BE98" s="120">
        <f t="shared" ref="BE98" si="882">IF(AND(BD$1&lt;BE$1, BE$1&lt;=$F97),$U98*($F97-BE$1)/($F97-$U$1),0)</f>
        <v>463.64560000000046</v>
      </c>
      <c r="BF98" s="120">
        <f t="shared" ref="BF98" si="883">IF(AND(BE$1&lt;BF$1, BF$1&lt;=$F97),$U98*($F97-BF$1)/($F97-$U$1),0)</f>
        <v>457.20607777777826</v>
      </c>
      <c r="BG98" s="120">
        <f t="shared" ref="BG98" si="884">IF(AND(BF$1&lt;BG$1, BG$1&lt;=$F97),$U98*($F97-BG$1)/($F97-$U$1),0)</f>
        <v>450.76655555555595</v>
      </c>
      <c r="BH98" s="120">
        <f t="shared" ref="BH98" si="885">IF(AND(BG$1&lt;BH$1, BH$1&lt;=$F97),$U98*($F97-BH$1)/($F97-$U$1),0)</f>
        <v>444.32703333333376</v>
      </c>
      <c r="BI98" s="120">
        <f t="shared" ref="BI98" si="886">IF(AND(BH$1&lt;BI$1, BI$1&lt;=$F97),$U98*($F97-BI$1)/($F97-$U$1),0)</f>
        <v>437.88751111111156</v>
      </c>
      <c r="BJ98" s="120">
        <f t="shared" ref="BJ98" si="887">IF(AND(BI$1&lt;BJ$1, BJ$1&lt;=$F97),$U98*($F97-BJ$1)/($F97-$U$1),0)</f>
        <v>431.44798888888931</v>
      </c>
      <c r="BK98" s="120">
        <f t="shared" ref="BK98" si="888">IF(AND(BJ$1&lt;BK$1, BK$1&lt;=$F97),$U98*($F97-BK$1)/($F97-$U$1),0)</f>
        <v>425.00846666666706</v>
      </c>
      <c r="BL98" s="120">
        <f t="shared" ref="BL98" si="889">IF(AND(BK$1&lt;BL$1, BL$1&lt;=$F97),$U98*($F97-BL$1)/($F97-$U$1),0)</f>
        <v>418.56894444444481</v>
      </c>
      <c r="BM98" s="120">
        <f t="shared" ref="BM98" si="890">IF(AND(BL$1&lt;BM$1, BM$1&lt;=$F97),$U98*($F97-BM$1)/($F97-$U$1),0)</f>
        <v>412.12942222222262</v>
      </c>
      <c r="BN98" s="120">
        <f t="shared" ref="BN98" si="891">IF(AND(BM$1&lt;BN$1, BN$1&lt;=$F97),$U98*($F97-BN$1)/($F97-$U$1),0)</f>
        <v>405.68990000000042</v>
      </c>
      <c r="BO98" s="120">
        <f t="shared" ref="BO98" si="892">IF(AND(BN$1&lt;BO$1, BO$1&lt;=$F97),$U98*($F97-BO$1)/($F97-$U$1),0)</f>
        <v>399.25037777777811</v>
      </c>
      <c r="BP98" s="120">
        <f t="shared" ref="BP98" si="893">IF(AND(BO$1&lt;BP$1, BP$1&lt;=$F97),$U98*($F97-BP$1)/($F97-$U$1),0)</f>
        <v>392.81085555555592</v>
      </c>
      <c r="BQ98" s="120">
        <f t="shared" ref="BQ98" si="894">IF(AND(BP$1&lt;BQ$1, BQ$1&lt;=$F97),$U98*($F97-BQ$1)/($F97-$U$1),0)</f>
        <v>386.37133333333367</v>
      </c>
      <c r="BR98" s="120">
        <f t="shared" ref="BR98" si="895">IF(AND(BQ$1&lt;BR$1, BR$1&lt;=$F97),$U98*($F97-BR$1)/($F97-$U$1),0)</f>
        <v>379.93181111111147</v>
      </c>
      <c r="BS98" s="120">
        <f t="shared" ref="BS98" si="896">IF(AND(BR$1&lt;BS$1, BS$1&lt;=$F97),$U98*($F97-BS$1)/($F97-$U$1),0)</f>
        <v>373.49228888888928</v>
      </c>
      <c r="BT98" s="120">
        <f t="shared" ref="BT98" si="897">IF(AND(BS$1&lt;BT$1, BT$1&lt;=$F97),$U98*($F97-BT$1)/($F97-$U$1),0)</f>
        <v>367.05276666666697</v>
      </c>
      <c r="BU98" s="120">
        <f t="shared" ref="BU98" si="898">IF(AND(BT$1&lt;BU$1, BU$1&lt;=$F97),$U98*($F97-BU$1)/($F97-$U$1),0)</f>
        <v>360.61324444444477</v>
      </c>
      <c r="BV98" s="120">
        <f t="shared" ref="BV98" si="899">IF(AND(BU$1&lt;BV$1, BV$1&lt;=$F97),$U98*($F97-BV$1)/($F97-$U$1),0)</f>
        <v>354.17372222222258</v>
      </c>
      <c r="BW98" s="120">
        <f t="shared" ref="BW98" si="900">IF(AND(BV$1&lt;BW$1, BW$1&lt;=$F97),$U98*($F97-BW$1)/($F97-$U$1),0)</f>
        <v>347.73420000000033</v>
      </c>
      <c r="BX98" s="120">
        <f t="shared" ref="BX98" si="901">IF(AND(BW$1&lt;BX$1, BX$1&lt;=$F97),$U98*($F97-BX$1)/($F97-$U$1),0)</f>
        <v>341.29467777777813</v>
      </c>
      <c r="BY98" s="120">
        <f t="shared" ref="BY98" si="902">IF(AND(BX$1&lt;BY$1, BY$1&lt;=$F97),$U98*($F97-BY$1)/($F97-$U$1),0)</f>
        <v>334.85515555555588</v>
      </c>
      <c r="BZ98" s="120">
        <f t="shared" ref="BZ98" si="903">IF(AND(BY$1&lt;BZ$1, BZ$1&lt;=$F97),$U98*($F97-BZ$1)/($F97-$U$1),0)</f>
        <v>328.41563333333363</v>
      </c>
      <c r="CA98" s="120">
        <f t="shared" ref="CA98" si="904">IF(AND(BZ$1&lt;CA$1, CA$1&lt;=$F97),$U98*($F97-CA$1)/($F97-$U$1),0)</f>
        <v>321.97611111111144</v>
      </c>
      <c r="CB98" s="120">
        <f t="shared" ref="CB98" si="905">IF(AND(CA$1&lt;CB$1, CB$1&lt;=$F97),$U98*($F97-CB$1)/($F97-$U$1),0)</f>
        <v>315.53658888888918</v>
      </c>
      <c r="CC98" s="120">
        <f t="shared" ref="CC98" si="906">IF(AND(CB$1&lt;CC$1, CC$1&lt;=$F97),$U98*($F97-CC$1)/($F97-$U$1),0)</f>
        <v>309.09706666666693</v>
      </c>
      <c r="CD98" s="120">
        <f t="shared" ref="CD98" si="907">IF(AND(CC$1&lt;CD$1, CD$1&lt;=$F97),$U98*($F97-CD$1)/($F97-$U$1),0)</f>
        <v>302.65754444444474</v>
      </c>
      <c r="CE98" s="120">
        <f t="shared" ref="CE98" si="908">IF(AND(CD$1&lt;CE$1, CE$1&lt;=$F97),$U98*($F97-CE$1)/($F97-$U$1),0)</f>
        <v>296.21802222222249</v>
      </c>
      <c r="CF98" s="120">
        <f t="shared" ref="CF98" si="909">IF(AND(CE$1&lt;CF$1, CF$1&lt;=$F97),$U98*($F97-CF$1)/($F97-$U$1),0)</f>
        <v>289.77850000000029</v>
      </c>
      <c r="CG98" s="120">
        <f t="shared" ref="CG98" si="910">IF(AND(CF$1&lt;CG$1, CG$1&lt;=$F97),$U98*($F97-CG$1)/($F97-$U$1),0)</f>
        <v>283.33897777777804</v>
      </c>
      <c r="CH98" s="120">
        <f t="shared" ref="CH98" si="911">IF(AND(CG$1&lt;CH$1, CH$1&lt;=$F97),$U98*($F97-CH$1)/($F97-$U$1),0)</f>
        <v>276.89945555555579</v>
      </c>
      <c r="CI98" s="120">
        <f t="shared" ref="CI98" si="912">IF(AND(CH$1&lt;CI$1, CI$1&lt;=$F97),$U98*($F97-CI$1)/($F97-$U$1),0)</f>
        <v>270.45993333333359</v>
      </c>
      <c r="CJ98" s="120">
        <f t="shared" ref="CJ98" si="913">IF(AND(CI$1&lt;CJ$1, CJ$1&lt;=$F97),$U98*($F97-CJ$1)/($F97-$U$1),0)</f>
        <v>264.02041111111134</v>
      </c>
      <c r="CK98" s="120">
        <f t="shared" ref="CK98" si="914">IF(AND(CJ$1&lt;CK$1, CK$1&lt;=$F97),$U98*($F97-CK$1)/($F97-$U$1),0)</f>
        <v>257.58088888888915</v>
      </c>
      <c r="CL98" s="120">
        <f t="shared" ref="CL98" si="915">IF(AND(CK$1&lt;CL$1, CL$1&lt;=$F97),$U98*($F97-CL$1)/($F97-$U$1),0)</f>
        <v>251.1413666666669</v>
      </c>
      <c r="CM98" s="120">
        <f t="shared" ref="CM98" si="916">IF(AND(CL$1&lt;CM$1, CM$1&lt;=$F97),$U98*($F97-CM$1)/($F97-$U$1),0)</f>
        <v>244.70184444444465</v>
      </c>
      <c r="CN98" s="120">
        <f t="shared" ref="CN98" si="917">IF(AND(CM$1&lt;CN$1, CN$1&lt;=$F97),$U98*($F97-CN$1)/($F97-$U$1),0)</f>
        <v>238.26232222222245</v>
      </c>
      <c r="CO98" s="120">
        <f t="shared" ref="CO98" si="918">IF(AND(CN$1&lt;CO$1, CO$1&lt;=$F97),$U98*($F97-CO$1)/($F97-$U$1),0)</f>
        <v>231.82280000000023</v>
      </c>
      <c r="CP98" s="120">
        <f t="shared" ref="CP98" si="919">IF(AND(CO$1&lt;CP$1, CP$1&lt;=$F97),$U98*($F97-CP$1)/($F97-$U$1),0)</f>
        <v>225.38327777777798</v>
      </c>
      <c r="CQ98" s="120">
        <f t="shared" ref="CQ98" si="920">IF(AND(CP$1&lt;CQ$1, CQ$1&lt;=$F97),$U98*($F97-CQ$1)/($F97-$U$1),0)</f>
        <v>218.94375555555578</v>
      </c>
      <c r="CR98" s="120">
        <f t="shared" ref="CR98" si="921">IF(AND(CQ$1&lt;CR$1, CR$1&lt;=$F97),$U98*($F97-CR$1)/($F97-$U$1),0)</f>
        <v>212.50423333333353</v>
      </c>
      <c r="CS98" s="120">
        <f t="shared" ref="CS98" si="922">IF(AND(CR$1&lt;CS$1, CS$1&lt;=$F97),$U98*($F97-CS$1)/($F97-$U$1),0)</f>
        <v>206.06471111111131</v>
      </c>
      <c r="CT98" s="120">
        <f t="shared" ref="CT98" si="923">IF(AND(CS$1&lt;CT$1, CT$1&lt;=$F97),$U98*($F97-CT$1)/($F97-$U$1),0)</f>
        <v>199.62518888888906</v>
      </c>
      <c r="CU98" s="120">
        <f t="shared" ref="CU98" si="924">IF(AND(CT$1&lt;CU$1, CU$1&lt;=$F97),$U98*($F97-CU$1)/($F97-$U$1),0)</f>
        <v>193.18566666666683</v>
      </c>
      <c r="CV98" s="120">
        <f t="shared" ref="CV98" si="925">IF(AND(CU$1&lt;CV$1, CV$1&lt;=$F97),$U98*($F97-CV$1)/($F97-$U$1),0)</f>
        <v>186.74614444444464</v>
      </c>
      <c r="CW98" s="120">
        <f t="shared" ref="CW98" si="926">IF(AND(CV$1&lt;CW$1, CW$1&lt;=$F97),$U98*($F97-CW$1)/($F97-$U$1),0)</f>
        <v>180.30662222222239</v>
      </c>
      <c r="CX98" s="120">
        <f t="shared" ref="CX98" si="927">IF(AND(CW$1&lt;CX$1, CX$1&lt;=$F97),$U98*($F97-CX$1)/($F97-$U$1),0)</f>
        <v>173.86710000000016</v>
      </c>
      <c r="CY98" s="120">
        <f t="shared" ref="CY98" si="928">IF(AND(CX$1&lt;CY$1, CY$1&lt;=$F97),$U98*($F97-CY$1)/($F97-$U$1),0)</f>
        <v>167.42757777777794</v>
      </c>
      <c r="CZ98" s="120">
        <f t="shared" ref="CZ98" si="929">IF(AND(CY$1&lt;CZ$1, CZ$1&lt;=$F97),$U98*($F97-CZ$1)/($F97-$U$1),0)</f>
        <v>160.98805555555572</v>
      </c>
      <c r="DA98" s="120">
        <f t="shared" ref="DA98" si="930">IF(AND(CZ$1&lt;DA$1, DA$1&lt;=$F97),$U98*($F97-DA$1)/($F97-$U$1),0)</f>
        <v>154.54853333333347</v>
      </c>
      <c r="DB98" s="120">
        <f t="shared" ref="DB98" si="931">IF(AND(DA$1&lt;DB$1, DB$1&lt;=$F97),$U98*($F97-DB$1)/($F97-$U$1),0)</f>
        <v>148.10901111111124</v>
      </c>
      <c r="DC98" s="120">
        <f t="shared" ref="DC98" si="932">IF(AND(DB$1&lt;DC$1, DC$1&lt;=$F97),$U98*($F97-DC$1)/($F97-$U$1),0)</f>
        <v>141.66948888888902</v>
      </c>
      <c r="DD98" s="120">
        <f t="shared" ref="DD98" si="933">IF(AND(DC$1&lt;DD$1, DD$1&lt;=$F97),$U98*($F97-DD$1)/($F97-$U$1),0)</f>
        <v>135.2299666666668</v>
      </c>
      <c r="DE98" s="120">
        <f t="shared" ref="DE98" si="934">IF(AND(DD$1&lt;DE$1, DE$1&lt;=$F97),$U98*($F97-DE$1)/($F97-$U$1),0)</f>
        <v>128.79044444444457</v>
      </c>
      <c r="DF98" s="120">
        <f t="shared" ref="DF98" si="935">IF(AND(DE$1&lt;DF$1, DF$1&lt;=$F97),$U98*($F97-DF$1)/($F97-$U$1),0)</f>
        <v>122.35092222222232</v>
      </c>
      <c r="DG98" s="120">
        <f t="shared" ref="DG98" si="936">IF(AND(DF$1&lt;DG$1, DG$1&lt;=$F97),$U98*($F97-DG$1)/($F97-$U$1),0)</f>
        <v>115.91140000000011</v>
      </c>
      <c r="DH98" s="120">
        <f t="shared" ref="DH98" si="937">IF(AND(DG$1&lt;DH$1, DH$1&lt;=$F97),$U98*($F97-DH$1)/($F97-$U$1),0)</f>
        <v>109.47187777777789</v>
      </c>
      <c r="DI98" s="120">
        <f t="shared" ref="DI98" si="938">IF(AND(DH$1&lt;DI$1, DI$1&lt;=$F97),$U98*($F97-DI$1)/($F97-$U$1),0)</f>
        <v>103.03235555555565</v>
      </c>
      <c r="DJ98" s="120">
        <f t="shared" ref="DJ98" si="939">IF(AND(DI$1&lt;DJ$1, DJ$1&lt;=$F97),$U98*($F97-DJ$1)/($F97-$U$1),0)</f>
        <v>96.592833333333417</v>
      </c>
      <c r="DK98" s="120">
        <f t="shared" ref="DK98" si="940">IF(AND(DJ$1&lt;DK$1, DK$1&lt;=$F97),$U98*($F97-DK$1)/($F97-$U$1),0)</f>
        <v>90.153311111111194</v>
      </c>
      <c r="DL98" s="120">
        <f t="shared" ref="DL98" si="941">IF(AND(DK$1&lt;DL$1, DL$1&lt;=$F97),$U98*($F97-DL$1)/($F97-$U$1),0)</f>
        <v>83.713788888888971</v>
      </c>
      <c r="DM98" s="120">
        <f t="shared" ref="DM98" si="942">IF(AND(DL$1&lt;DM$1, DM$1&lt;=$F97),$U98*($F97-DM$1)/($F97-$U$1),0)</f>
        <v>77.274266666666733</v>
      </c>
      <c r="DN98" s="120">
        <f t="shared" ref="DN98" si="943">IF(AND(DM$1&lt;DN$1, DN$1&lt;=$F97),$U98*($F97-DN$1)/($F97-$U$1),0)</f>
        <v>70.83474444444451</v>
      </c>
      <c r="DO98" s="120">
        <f t="shared" ref="DO98" si="944">IF(AND(DN$1&lt;DO$1, DO$1&lt;=$F97),$U98*($F97-DO$1)/($F97-$U$1),0)</f>
        <v>64.395222222222287</v>
      </c>
      <c r="DP98" s="120">
        <f t="shared" ref="DP98" si="945">IF(AND(DO$1&lt;DP$1, DP$1&lt;=$F97),$U98*($F97-DP$1)/($F97-$U$1),0)</f>
        <v>57.955700000000057</v>
      </c>
      <c r="DQ98" s="120">
        <f t="shared" ref="DQ98" si="946">IF(AND(DP$1&lt;DQ$1, DQ$1&lt;=$F97),$U98*($F97-DQ$1)/($F97-$U$1),0)</f>
        <v>51.516177777777827</v>
      </c>
      <c r="DR98" s="120">
        <f t="shared" ref="DR98" si="947">IF(AND(DQ$1&lt;DR$1, DR$1&lt;=$F97),$U98*($F97-DR$1)/($F97-$U$1),0)</f>
        <v>45.076655555555597</v>
      </c>
      <c r="DS98" s="120">
        <f t="shared" ref="DS98" si="948">IF(AND(DR$1&lt;DS$1, DS$1&lt;=$F97),$U98*($F97-DS$1)/($F97-$U$1),0)</f>
        <v>38.637133333333367</v>
      </c>
      <c r="DT98" s="120">
        <f t="shared" ref="DT98" si="949">IF(AND(DS$1&lt;DT$1, DT$1&lt;=$F97),$U98*($F97-DT$1)/($F97-$U$1),0)</f>
        <v>32.197611111111144</v>
      </c>
      <c r="DU98" s="120">
        <f t="shared" ref="DU98" si="950">IF(AND(DT$1&lt;DU$1, DU$1&lt;=$F97),$U98*($F97-DU$1)/($F97-$U$1),0)</f>
        <v>25.758088888888913</v>
      </c>
      <c r="DV98" s="120">
        <f t="shared" ref="DV98" si="951">IF(AND(DU$1&lt;DV$1, DV$1&lt;=$F97),$U98*($F97-DV$1)/($F97-$U$1),0)</f>
        <v>19.318566666666683</v>
      </c>
      <c r="DW98" s="120">
        <f t="shared" ref="DW98" si="952">IF(AND(DV$1&lt;DW$1, DW$1&lt;=$F97),$U98*($F97-DW$1)/($F97-$U$1),0)</f>
        <v>12.879044444444457</v>
      </c>
      <c r="DX98" s="120">
        <f t="shared" ref="DX98" si="953">IF(AND(DW$1&lt;DX$1, DX$1&lt;=$F97),$U98*($F97-DX$1)/($F97-$U$1),0)</f>
        <v>6.4395222222222284</v>
      </c>
      <c r="DY98" s="120">
        <f t="shared" ref="DY98" si="954">IF(AND(DX$1&lt;DY$1, DY$1&lt;=$F97),$U98*($F97-DY$1)/($F97-$U$1),0)</f>
        <v>0</v>
      </c>
    </row>
    <row r="99" spans="1:129" x14ac:dyDescent="0.45">
      <c r="A99" s="3"/>
      <c r="B99" s="2"/>
      <c r="C99" s="122" t="s">
        <v>266</v>
      </c>
      <c r="D99" s="17"/>
      <c r="E99" s="2"/>
      <c r="F99" s="2"/>
      <c r="G99" s="2"/>
      <c r="H99" s="2"/>
      <c r="I99" s="14"/>
      <c r="J99" s="55"/>
      <c r="K99" s="55"/>
      <c r="L99" s="55"/>
      <c r="M99" s="55"/>
      <c r="N99" s="55"/>
      <c r="O99" s="55"/>
      <c r="P99" s="55"/>
      <c r="Q99" s="55"/>
      <c r="R99" s="55"/>
      <c r="S99" s="55"/>
      <c r="T99" s="55"/>
      <c r="U99" s="95"/>
      <c r="V99" s="91"/>
      <c r="W99" s="91"/>
      <c r="X99" s="91"/>
      <c r="Y99" s="91"/>
      <c r="Z99" s="55"/>
      <c r="AA99" s="55"/>
      <c r="AB99" s="55"/>
      <c r="AC99" s="55"/>
      <c r="AD99" s="55"/>
      <c r="AE99" s="55"/>
      <c r="AF99" s="55"/>
      <c r="AG99" s="129">
        <f>'Plan Moyen Terme (PMT)'!D31-BAU_Liquidité_Dynamique!AG97</f>
        <v>1374.9618</v>
      </c>
      <c r="AH99" s="124">
        <f>IF(AND(AG$1&lt;AH$1, AH$1&lt;=$F97),$AG99*($F97-AH$1)/($F97-$AG$1),0)</f>
        <v>1360.6392812500001</v>
      </c>
      <c r="AI99" s="124">
        <f>IF(AND(AH$1&lt;AI$1, AI$1&lt;=$F97),$AG99*($F97-AI$1)/($F97-$AG$1),0)</f>
        <v>1346.3167625000001</v>
      </c>
      <c r="AJ99" s="124">
        <f t="shared" ref="AJ99:CU99" si="955">IF(AND(AI$1&lt;AJ$1, AJ$1&lt;=$F97),$AG99*($F97-AJ$1)/($F97-$AG$1),0)</f>
        <v>1331.9942437500001</v>
      </c>
      <c r="AK99" s="124">
        <f t="shared" si="955"/>
        <v>1317.6717249999999</v>
      </c>
      <c r="AL99" s="124">
        <f t="shared" si="955"/>
        <v>1303.3492062500002</v>
      </c>
      <c r="AM99" s="124">
        <f t="shared" si="955"/>
        <v>1289.0266875</v>
      </c>
      <c r="AN99" s="124">
        <f t="shared" si="955"/>
        <v>1274.70416875</v>
      </c>
      <c r="AO99" s="124">
        <f t="shared" si="955"/>
        <v>1260.38165</v>
      </c>
      <c r="AP99" s="124">
        <f t="shared" si="955"/>
        <v>1246.0591312500001</v>
      </c>
      <c r="AQ99" s="124">
        <f t="shared" si="955"/>
        <v>1231.7366125000001</v>
      </c>
      <c r="AR99" s="124">
        <f t="shared" si="955"/>
        <v>1217.4140937499999</v>
      </c>
      <c r="AS99" s="124">
        <f t="shared" si="955"/>
        <v>1203.0915750000001</v>
      </c>
      <c r="AT99" s="124">
        <f t="shared" si="955"/>
        <v>1188.7690562499999</v>
      </c>
      <c r="AU99" s="124">
        <f t="shared" si="955"/>
        <v>1174.4465375</v>
      </c>
      <c r="AV99" s="124">
        <f t="shared" si="955"/>
        <v>1160.12401875</v>
      </c>
      <c r="AW99" s="124">
        <f t="shared" si="955"/>
        <v>1145.8015</v>
      </c>
      <c r="AX99" s="124">
        <f t="shared" si="955"/>
        <v>1131.4789812500001</v>
      </c>
      <c r="AY99" s="124">
        <f t="shared" si="955"/>
        <v>1117.1564625000001</v>
      </c>
      <c r="AZ99" s="124">
        <f t="shared" si="955"/>
        <v>1102.8339437500001</v>
      </c>
      <c r="BA99" s="124">
        <f t="shared" si="955"/>
        <v>1088.5114249999999</v>
      </c>
      <c r="BB99" s="124">
        <f t="shared" si="955"/>
        <v>1074.1889062500002</v>
      </c>
      <c r="BC99" s="124">
        <f t="shared" si="955"/>
        <v>1059.8663875</v>
      </c>
      <c r="BD99" s="124">
        <f t="shared" si="955"/>
        <v>1045.54386875</v>
      </c>
      <c r="BE99" s="124">
        <f t="shared" si="955"/>
        <v>1031.22135</v>
      </c>
      <c r="BF99" s="124">
        <f t="shared" si="955"/>
        <v>1016.8988312500001</v>
      </c>
      <c r="BG99" s="124">
        <f t="shared" si="955"/>
        <v>1002.5763125</v>
      </c>
      <c r="BH99" s="124">
        <f t="shared" si="955"/>
        <v>988.25379375</v>
      </c>
      <c r="BI99" s="124">
        <f t="shared" si="955"/>
        <v>973.93127500000003</v>
      </c>
      <c r="BJ99" s="124">
        <f t="shared" si="955"/>
        <v>959.60875625000006</v>
      </c>
      <c r="BK99" s="124">
        <f t="shared" si="955"/>
        <v>945.28623749999997</v>
      </c>
      <c r="BL99" s="124">
        <f t="shared" si="955"/>
        <v>930.96371875000011</v>
      </c>
      <c r="BM99" s="124">
        <f t="shared" si="955"/>
        <v>916.64120000000003</v>
      </c>
      <c r="BN99" s="124">
        <f t="shared" si="955"/>
        <v>902.31868124999994</v>
      </c>
      <c r="BO99" s="124">
        <f t="shared" si="955"/>
        <v>887.99616250000008</v>
      </c>
      <c r="BP99" s="124">
        <f t="shared" si="955"/>
        <v>873.67364375</v>
      </c>
      <c r="BQ99" s="124">
        <f t="shared" si="955"/>
        <v>859.35112500000002</v>
      </c>
      <c r="BR99" s="124">
        <f t="shared" si="955"/>
        <v>845.02860625000005</v>
      </c>
      <c r="BS99" s="124">
        <f t="shared" si="955"/>
        <v>830.70608750000008</v>
      </c>
      <c r="BT99" s="124">
        <f t="shared" si="955"/>
        <v>816.38356874999999</v>
      </c>
      <c r="BU99" s="124">
        <f t="shared" si="955"/>
        <v>802.06104999999991</v>
      </c>
      <c r="BV99" s="124">
        <f t="shared" si="955"/>
        <v>787.73853125000005</v>
      </c>
      <c r="BW99" s="124">
        <f t="shared" si="955"/>
        <v>773.41601249999997</v>
      </c>
      <c r="BX99" s="124">
        <f t="shared" si="955"/>
        <v>759.09349374999999</v>
      </c>
      <c r="BY99" s="124">
        <f t="shared" si="955"/>
        <v>744.77097500000002</v>
      </c>
      <c r="BZ99" s="124">
        <f t="shared" si="955"/>
        <v>730.44845625000005</v>
      </c>
      <c r="CA99" s="124">
        <f t="shared" si="955"/>
        <v>716.12593749999996</v>
      </c>
      <c r="CB99" s="124">
        <f t="shared" si="955"/>
        <v>701.80341875000011</v>
      </c>
      <c r="CC99" s="124">
        <f t="shared" si="955"/>
        <v>687.48090000000002</v>
      </c>
      <c r="CD99" s="124">
        <f t="shared" si="955"/>
        <v>673.15838125000005</v>
      </c>
      <c r="CE99" s="124">
        <f t="shared" si="955"/>
        <v>658.83586249999996</v>
      </c>
      <c r="CF99" s="124">
        <f t="shared" si="955"/>
        <v>644.51334374999999</v>
      </c>
      <c r="CG99" s="124">
        <f t="shared" si="955"/>
        <v>630.19082500000002</v>
      </c>
      <c r="CH99" s="124">
        <f t="shared" si="955"/>
        <v>615.86830625000005</v>
      </c>
      <c r="CI99" s="124">
        <f t="shared" si="955"/>
        <v>601.54578750000007</v>
      </c>
      <c r="CJ99" s="124">
        <f t="shared" si="955"/>
        <v>587.22326874999999</v>
      </c>
      <c r="CK99" s="124">
        <f t="shared" si="955"/>
        <v>572.90075000000002</v>
      </c>
      <c r="CL99" s="124">
        <f t="shared" si="955"/>
        <v>558.57823125000004</v>
      </c>
      <c r="CM99" s="124">
        <f t="shared" si="955"/>
        <v>544.25571249999996</v>
      </c>
      <c r="CN99" s="124">
        <f t="shared" si="955"/>
        <v>529.93319374999999</v>
      </c>
      <c r="CO99" s="124">
        <f t="shared" si="955"/>
        <v>515.61067500000001</v>
      </c>
      <c r="CP99" s="124">
        <f t="shared" si="955"/>
        <v>501.28815624999999</v>
      </c>
      <c r="CQ99" s="124">
        <f t="shared" si="955"/>
        <v>486.96563750000001</v>
      </c>
      <c r="CR99" s="124">
        <f t="shared" si="955"/>
        <v>472.64311874999999</v>
      </c>
      <c r="CS99" s="124">
        <f t="shared" si="955"/>
        <v>458.32060000000001</v>
      </c>
      <c r="CT99" s="124">
        <f t="shared" si="955"/>
        <v>443.99808125000004</v>
      </c>
      <c r="CU99" s="124">
        <f t="shared" si="955"/>
        <v>429.67556250000001</v>
      </c>
      <c r="CV99" s="124">
        <f t="shared" ref="CV99:DY99" si="956">IF(AND(CU$1&lt;CV$1, CV$1&lt;=$F97),$AG99*($F97-CV$1)/($F97-$AG$1),0)</f>
        <v>415.35304375000004</v>
      </c>
      <c r="CW99" s="124">
        <f t="shared" si="956"/>
        <v>401.03052499999995</v>
      </c>
      <c r="CX99" s="124">
        <f t="shared" si="956"/>
        <v>386.70800624999998</v>
      </c>
      <c r="CY99" s="124">
        <f t="shared" si="956"/>
        <v>372.38548750000001</v>
      </c>
      <c r="CZ99" s="124">
        <f t="shared" si="956"/>
        <v>358.06296874999998</v>
      </c>
      <c r="DA99" s="124">
        <f t="shared" si="956"/>
        <v>343.74045000000001</v>
      </c>
      <c r="DB99" s="124">
        <f t="shared" si="956"/>
        <v>329.41793124999998</v>
      </c>
      <c r="DC99" s="124">
        <f t="shared" si="956"/>
        <v>315.09541250000001</v>
      </c>
      <c r="DD99" s="124">
        <f t="shared" si="956"/>
        <v>300.77289375000004</v>
      </c>
      <c r="DE99" s="124">
        <f t="shared" si="956"/>
        <v>286.45037500000001</v>
      </c>
      <c r="DF99" s="124">
        <f t="shared" si="956"/>
        <v>272.12785624999998</v>
      </c>
      <c r="DG99" s="124">
        <f t="shared" si="956"/>
        <v>257.80533750000001</v>
      </c>
      <c r="DH99" s="124">
        <f t="shared" si="956"/>
        <v>243.48281875000001</v>
      </c>
      <c r="DI99" s="124">
        <f t="shared" si="956"/>
        <v>229.16030000000001</v>
      </c>
      <c r="DJ99" s="124">
        <f t="shared" si="956"/>
        <v>214.83778125000001</v>
      </c>
      <c r="DK99" s="124">
        <f t="shared" si="956"/>
        <v>200.51526249999998</v>
      </c>
      <c r="DL99" s="124">
        <f t="shared" si="956"/>
        <v>186.19274375000001</v>
      </c>
      <c r="DM99" s="124">
        <f t="shared" si="956"/>
        <v>171.870225</v>
      </c>
      <c r="DN99" s="124">
        <f t="shared" si="956"/>
        <v>157.54770625</v>
      </c>
      <c r="DO99" s="124">
        <f t="shared" si="956"/>
        <v>143.2251875</v>
      </c>
      <c r="DP99" s="124">
        <f t="shared" si="956"/>
        <v>128.90266875</v>
      </c>
      <c r="DQ99" s="124">
        <f t="shared" si="956"/>
        <v>114.58015</v>
      </c>
      <c r="DR99" s="124">
        <f t="shared" si="956"/>
        <v>100.25763124999999</v>
      </c>
      <c r="DS99" s="124">
        <f t="shared" si="956"/>
        <v>85.935112500000002</v>
      </c>
      <c r="DT99" s="124">
        <f t="shared" si="956"/>
        <v>71.612593750000002</v>
      </c>
      <c r="DU99" s="124">
        <f t="shared" si="956"/>
        <v>57.290075000000002</v>
      </c>
      <c r="DV99" s="124">
        <f t="shared" si="956"/>
        <v>42.967556250000001</v>
      </c>
      <c r="DW99" s="124">
        <f t="shared" si="956"/>
        <v>28.645037500000001</v>
      </c>
      <c r="DX99" s="124">
        <f t="shared" si="956"/>
        <v>14.32251875</v>
      </c>
      <c r="DY99" s="124">
        <f t="shared" si="956"/>
        <v>0</v>
      </c>
    </row>
    <row r="100" spans="1:129" x14ac:dyDescent="0.45">
      <c r="A100" s="3"/>
      <c r="B100" s="2"/>
      <c r="C100" s="125" t="s">
        <v>267</v>
      </c>
      <c r="D100" s="17"/>
      <c r="E100" s="2"/>
      <c r="F100" s="2"/>
      <c r="G100" s="2"/>
      <c r="H100" s="2"/>
      <c r="I100" s="14"/>
      <c r="J100" s="55"/>
      <c r="K100" s="55"/>
      <c r="L100" s="55"/>
      <c r="M100" s="55"/>
      <c r="N100" s="55"/>
      <c r="O100" s="55"/>
      <c r="P100" s="55"/>
      <c r="Q100" s="55"/>
      <c r="R100" s="55"/>
      <c r="S100" s="55"/>
      <c r="T100" s="55"/>
      <c r="U100" s="96"/>
      <c r="V100" s="55"/>
      <c r="W100" s="55"/>
      <c r="X100" s="55"/>
      <c r="Y100" s="55"/>
      <c r="Z100" s="55"/>
      <c r="AA100" s="55"/>
      <c r="AB100" s="55"/>
      <c r="AC100" s="55"/>
      <c r="AD100" s="55"/>
      <c r="AE100" s="55"/>
      <c r="AF100" s="55"/>
      <c r="AG100" s="102"/>
      <c r="AH100" s="91"/>
      <c r="AI100" s="91"/>
      <c r="AJ100" s="91"/>
      <c r="AK100" s="55"/>
      <c r="AL100" s="55"/>
      <c r="AM100" s="55"/>
      <c r="AN100" s="55"/>
      <c r="AO100" s="55"/>
      <c r="AP100" s="55"/>
      <c r="AQ100" s="55"/>
      <c r="AR100" s="55"/>
      <c r="AS100" s="130">
        <f>'Plan Moyen Terme (PMT)'!E31-BAU_Liquidité_Dynamique!AS97</f>
        <v>-2959.4538000000002</v>
      </c>
      <c r="AT100" s="126">
        <f>IF(AND(AS$1&lt;AT$1, AT$1&lt;=$F97),$AS100*($F97-AT$1)/($F97-$AS$1),0)</f>
        <v>-2924.2222071428573</v>
      </c>
      <c r="AU100" s="126">
        <f t="shared" ref="AU100:DF100" si="957">IF(AND(AT$1&lt;AU$1, AU$1&lt;=$F97),$AS100*($F97-AU$1)/($F97-$AS$1),0)</f>
        <v>-2888.9906142857144</v>
      </c>
      <c r="AV100" s="126">
        <f t="shared" si="957"/>
        <v>-2853.7590214285715</v>
      </c>
      <c r="AW100" s="126">
        <f t="shared" si="957"/>
        <v>-2818.5274285714286</v>
      </c>
      <c r="AX100" s="126">
        <f t="shared" si="957"/>
        <v>-2783.2958357142861</v>
      </c>
      <c r="AY100" s="126">
        <f t="shared" si="957"/>
        <v>-2748.0642428571432</v>
      </c>
      <c r="AZ100" s="126">
        <f t="shared" si="957"/>
        <v>-2712.8326500000003</v>
      </c>
      <c r="BA100" s="126">
        <f t="shared" si="957"/>
        <v>-2677.6010571428574</v>
      </c>
      <c r="BB100" s="126">
        <f t="shared" si="957"/>
        <v>-2642.3694642857145</v>
      </c>
      <c r="BC100" s="126">
        <f t="shared" si="957"/>
        <v>-2607.1378714285715</v>
      </c>
      <c r="BD100" s="126">
        <f t="shared" si="957"/>
        <v>-2571.9062785714291</v>
      </c>
      <c r="BE100" s="126">
        <f t="shared" si="957"/>
        <v>-2536.6746857142857</v>
      </c>
      <c r="BF100" s="126">
        <f t="shared" si="957"/>
        <v>-2501.4430928571433</v>
      </c>
      <c r="BG100" s="126">
        <f t="shared" si="957"/>
        <v>-2466.2114999999999</v>
      </c>
      <c r="BH100" s="126">
        <f t="shared" si="957"/>
        <v>-2430.9799071428574</v>
      </c>
      <c r="BI100" s="126">
        <f t="shared" si="957"/>
        <v>-2395.7483142857145</v>
      </c>
      <c r="BJ100" s="126">
        <f t="shared" si="957"/>
        <v>-2360.5167214285716</v>
      </c>
      <c r="BK100" s="126">
        <f t="shared" si="957"/>
        <v>-2325.2851285714287</v>
      </c>
      <c r="BL100" s="126">
        <f t="shared" si="957"/>
        <v>-2290.0535357142858</v>
      </c>
      <c r="BM100" s="126">
        <f t="shared" si="957"/>
        <v>-2254.8219428571429</v>
      </c>
      <c r="BN100" s="126">
        <f t="shared" si="957"/>
        <v>-2219.5903500000004</v>
      </c>
      <c r="BO100" s="126">
        <f t="shared" si="957"/>
        <v>-2184.358757142857</v>
      </c>
      <c r="BP100" s="126">
        <f t="shared" si="957"/>
        <v>-2149.1271642857146</v>
      </c>
      <c r="BQ100" s="126">
        <f t="shared" si="957"/>
        <v>-2113.8955714285717</v>
      </c>
      <c r="BR100" s="126">
        <f t="shared" si="957"/>
        <v>-2078.6639785714287</v>
      </c>
      <c r="BS100" s="126">
        <f t="shared" si="957"/>
        <v>-2043.4323857142861</v>
      </c>
      <c r="BT100" s="126">
        <f t="shared" si="957"/>
        <v>-2008.2007928571429</v>
      </c>
      <c r="BU100" s="126">
        <f t="shared" si="957"/>
        <v>-1972.9692000000002</v>
      </c>
      <c r="BV100" s="126">
        <f t="shared" si="957"/>
        <v>-1937.7376071428571</v>
      </c>
      <c r="BW100" s="126">
        <f t="shared" si="957"/>
        <v>-1902.5060142857144</v>
      </c>
      <c r="BX100" s="126">
        <f t="shared" si="957"/>
        <v>-1867.2744214285717</v>
      </c>
      <c r="BY100" s="126">
        <f t="shared" si="957"/>
        <v>-1832.0428285714286</v>
      </c>
      <c r="BZ100" s="126">
        <f t="shared" si="957"/>
        <v>-1796.8112357142859</v>
      </c>
      <c r="CA100" s="126">
        <f t="shared" si="957"/>
        <v>-1761.579642857143</v>
      </c>
      <c r="CB100" s="126">
        <f t="shared" si="957"/>
        <v>-1726.3480500000001</v>
      </c>
      <c r="CC100" s="126">
        <f t="shared" si="957"/>
        <v>-1691.1164571428574</v>
      </c>
      <c r="CD100" s="126">
        <f t="shared" si="957"/>
        <v>-1655.8848642857145</v>
      </c>
      <c r="CE100" s="126">
        <f t="shared" si="957"/>
        <v>-1620.6532714285718</v>
      </c>
      <c r="CF100" s="126">
        <f t="shared" si="957"/>
        <v>-1585.4216785714286</v>
      </c>
      <c r="CG100" s="126">
        <f t="shared" si="957"/>
        <v>-1550.1900857142859</v>
      </c>
      <c r="CH100" s="126">
        <f t="shared" si="957"/>
        <v>-1514.958492857143</v>
      </c>
      <c r="CI100" s="126">
        <f t="shared" si="957"/>
        <v>-1479.7269000000001</v>
      </c>
      <c r="CJ100" s="126">
        <f t="shared" si="957"/>
        <v>-1444.4953071428572</v>
      </c>
      <c r="CK100" s="126">
        <f t="shared" si="957"/>
        <v>-1409.2637142857143</v>
      </c>
      <c r="CL100" s="126">
        <f t="shared" si="957"/>
        <v>-1374.0321214285716</v>
      </c>
      <c r="CM100" s="126">
        <f t="shared" si="957"/>
        <v>-1338.8005285714287</v>
      </c>
      <c r="CN100" s="126">
        <f t="shared" si="957"/>
        <v>-1303.5689357142858</v>
      </c>
      <c r="CO100" s="126">
        <f t="shared" si="957"/>
        <v>-1268.3373428571429</v>
      </c>
      <c r="CP100" s="126">
        <f t="shared" si="957"/>
        <v>-1233.1057499999999</v>
      </c>
      <c r="CQ100" s="126">
        <f t="shared" si="957"/>
        <v>-1197.8741571428573</v>
      </c>
      <c r="CR100" s="126">
        <f t="shared" si="957"/>
        <v>-1162.6425642857143</v>
      </c>
      <c r="CS100" s="126">
        <f t="shared" si="957"/>
        <v>-1127.4109714285714</v>
      </c>
      <c r="CT100" s="126">
        <f t="shared" si="957"/>
        <v>-1092.1793785714285</v>
      </c>
      <c r="CU100" s="126">
        <f t="shared" si="957"/>
        <v>-1056.9477857142858</v>
      </c>
      <c r="CV100" s="126">
        <f t="shared" si="957"/>
        <v>-1021.716192857143</v>
      </c>
      <c r="CW100" s="126">
        <f t="shared" si="957"/>
        <v>-986.48460000000011</v>
      </c>
      <c r="CX100" s="126">
        <f t="shared" si="957"/>
        <v>-951.2530071428572</v>
      </c>
      <c r="CY100" s="126">
        <f t="shared" si="957"/>
        <v>-916.02141428571429</v>
      </c>
      <c r="CZ100" s="126">
        <f t="shared" si="957"/>
        <v>-880.78982142857149</v>
      </c>
      <c r="DA100" s="126">
        <f t="shared" si="957"/>
        <v>-845.55822857142869</v>
      </c>
      <c r="DB100" s="126">
        <f t="shared" si="957"/>
        <v>-810.32663571428589</v>
      </c>
      <c r="DC100" s="126">
        <f t="shared" si="957"/>
        <v>-775.09504285714297</v>
      </c>
      <c r="DD100" s="126">
        <f t="shared" si="957"/>
        <v>-739.86345000000006</v>
      </c>
      <c r="DE100" s="126">
        <f t="shared" si="957"/>
        <v>-704.63185714285714</v>
      </c>
      <c r="DF100" s="126">
        <f t="shared" si="957"/>
        <v>-669.40026428571434</v>
      </c>
      <c r="DG100" s="126">
        <f t="shared" ref="DG100:DY100" si="958">IF(AND(DF$1&lt;DG$1, DG$1&lt;=$F97),$AS100*($F97-DG$1)/($F97-$AS$1),0)</f>
        <v>-634.16867142857143</v>
      </c>
      <c r="DH100" s="126">
        <f t="shared" si="958"/>
        <v>-598.93707857142863</v>
      </c>
      <c r="DI100" s="126">
        <f t="shared" si="958"/>
        <v>-563.70548571428571</v>
      </c>
      <c r="DJ100" s="126">
        <f t="shared" si="958"/>
        <v>-528.47389285714291</v>
      </c>
      <c r="DK100" s="126">
        <f t="shared" si="958"/>
        <v>-493.24230000000006</v>
      </c>
      <c r="DL100" s="126">
        <f t="shared" si="958"/>
        <v>-458.01070714285714</v>
      </c>
      <c r="DM100" s="126">
        <f t="shared" si="958"/>
        <v>-422.77911428571434</v>
      </c>
      <c r="DN100" s="126">
        <f t="shared" si="958"/>
        <v>-387.54752142857149</v>
      </c>
      <c r="DO100" s="126">
        <f t="shared" si="958"/>
        <v>-352.31592857142857</v>
      </c>
      <c r="DP100" s="126">
        <f t="shared" si="958"/>
        <v>-317.08433571428571</v>
      </c>
      <c r="DQ100" s="126">
        <f t="shared" si="958"/>
        <v>-281.85274285714286</v>
      </c>
      <c r="DR100" s="126">
        <f t="shared" si="958"/>
        <v>-246.62115000000003</v>
      </c>
      <c r="DS100" s="126">
        <f t="shared" si="958"/>
        <v>-211.38955714285717</v>
      </c>
      <c r="DT100" s="126">
        <f t="shared" si="958"/>
        <v>-176.15796428571429</v>
      </c>
      <c r="DU100" s="126">
        <f t="shared" si="958"/>
        <v>-140.92637142857143</v>
      </c>
      <c r="DV100" s="126">
        <f t="shared" si="958"/>
        <v>-105.69477857142859</v>
      </c>
      <c r="DW100" s="126">
        <f t="shared" si="958"/>
        <v>-70.463185714285714</v>
      </c>
      <c r="DX100" s="126">
        <f t="shared" si="958"/>
        <v>-35.231592857142857</v>
      </c>
      <c r="DY100" s="126">
        <f t="shared" si="958"/>
        <v>0</v>
      </c>
    </row>
    <row r="101" spans="1:129" x14ac:dyDescent="0.45">
      <c r="A101" s="3">
        <v>46022</v>
      </c>
      <c r="B101" s="2" t="s">
        <v>19</v>
      </c>
      <c r="C101" s="6" t="s">
        <v>29</v>
      </c>
      <c r="D101" s="17">
        <v>0</v>
      </c>
      <c r="E101" s="2" t="s">
        <v>43</v>
      </c>
      <c r="F101" s="2">
        <v>120</v>
      </c>
      <c r="G101" s="2" t="s">
        <v>43</v>
      </c>
      <c r="H101" s="2">
        <v>120</v>
      </c>
      <c r="I101" s="14">
        <v>0</v>
      </c>
      <c r="J101" s="55">
        <f t="shared" si="404"/>
        <v>0</v>
      </c>
      <c r="K101" s="55">
        <f t="shared" si="404"/>
        <v>0</v>
      </c>
      <c r="L101" s="55">
        <f t="shared" si="404"/>
        <v>0</v>
      </c>
      <c r="M101" s="55">
        <f t="shared" si="404"/>
        <v>0</v>
      </c>
      <c r="N101" s="55">
        <f t="shared" si="404"/>
        <v>0</v>
      </c>
      <c r="O101" s="55">
        <f t="shared" si="404"/>
        <v>0</v>
      </c>
      <c r="P101" s="55">
        <f t="shared" si="404"/>
        <v>0</v>
      </c>
      <c r="Q101" s="55">
        <f t="shared" si="404"/>
        <v>0</v>
      </c>
      <c r="R101" s="55">
        <f t="shared" si="404"/>
        <v>0</v>
      </c>
      <c r="S101" s="55">
        <f t="shared" si="404"/>
        <v>0</v>
      </c>
      <c r="T101" s="55">
        <f t="shared" si="404"/>
        <v>0</v>
      </c>
      <c r="U101" s="96">
        <f t="shared" si="404"/>
        <v>0</v>
      </c>
      <c r="V101" s="55">
        <f t="shared" si="404"/>
        <v>0</v>
      </c>
      <c r="W101" s="55">
        <f t="shared" si="404"/>
        <v>0</v>
      </c>
      <c r="X101" s="55">
        <f t="shared" si="404"/>
        <v>0</v>
      </c>
      <c r="Y101" s="55">
        <f t="shared" si="404"/>
        <v>0</v>
      </c>
      <c r="Z101" s="55">
        <f t="shared" si="848"/>
        <v>0</v>
      </c>
      <c r="AA101" s="55">
        <f t="shared" si="848"/>
        <v>0</v>
      </c>
      <c r="AB101" s="55">
        <f t="shared" si="848"/>
        <v>0</v>
      </c>
      <c r="AC101" s="55">
        <f t="shared" si="848"/>
        <v>0</v>
      </c>
      <c r="AD101" s="55">
        <f t="shared" si="848"/>
        <v>0</v>
      </c>
      <c r="AE101" s="55">
        <f t="shared" si="848"/>
        <v>0</v>
      </c>
      <c r="AF101" s="55">
        <f t="shared" si="848"/>
        <v>0</v>
      </c>
      <c r="AG101" s="102">
        <f t="shared" si="848"/>
        <v>0</v>
      </c>
      <c r="AH101" s="55">
        <f t="shared" si="848"/>
        <v>0</v>
      </c>
      <c r="AI101" s="55">
        <f t="shared" si="848"/>
        <v>0</v>
      </c>
      <c r="AJ101" s="55">
        <f t="shared" si="848"/>
        <v>0</v>
      </c>
      <c r="AK101" s="55">
        <f t="shared" si="848"/>
        <v>0</v>
      </c>
      <c r="AL101" s="55">
        <f t="shared" si="848"/>
        <v>0</v>
      </c>
      <c r="AM101" s="55">
        <f t="shared" si="848"/>
        <v>0</v>
      </c>
      <c r="AN101" s="55">
        <f t="shared" si="848"/>
        <v>0</v>
      </c>
      <c r="AO101" s="55">
        <f t="shared" si="848"/>
        <v>0</v>
      </c>
      <c r="AP101" s="55">
        <f t="shared" si="848"/>
        <v>0</v>
      </c>
      <c r="AQ101" s="55">
        <f t="shared" si="848"/>
        <v>0</v>
      </c>
      <c r="AR101" s="55">
        <f t="shared" si="848"/>
        <v>0</v>
      </c>
      <c r="AS101" s="108">
        <f t="shared" si="848"/>
        <v>0</v>
      </c>
      <c r="AT101" s="55">
        <f t="shared" si="848"/>
        <v>0</v>
      </c>
      <c r="AU101" s="55">
        <f t="shared" si="848"/>
        <v>0</v>
      </c>
      <c r="AV101" s="55">
        <f t="shared" si="848"/>
        <v>0</v>
      </c>
      <c r="AW101" s="55">
        <f t="shared" si="848"/>
        <v>0</v>
      </c>
      <c r="AX101" s="55">
        <f t="shared" si="848"/>
        <v>0</v>
      </c>
      <c r="AY101" s="55">
        <f t="shared" si="848"/>
        <v>0</v>
      </c>
      <c r="AZ101" s="55">
        <f t="shared" si="848"/>
        <v>0</v>
      </c>
      <c r="BA101" s="55">
        <f t="shared" si="848"/>
        <v>0</v>
      </c>
      <c r="BB101" s="55">
        <f t="shared" si="848"/>
        <v>0</v>
      </c>
      <c r="BC101" s="55">
        <f t="shared" si="848"/>
        <v>0</v>
      </c>
      <c r="BD101" s="55">
        <f t="shared" si="848"/>
        <v>0</v>
      </c>
      <c r="BE101" s="55">
        <f t="shared" si="848"/>
        <v>0</v>
      </c>
      <c r="BF101" s="55">
        <f t="shared" si="848"/>
        <v>0</v>
      </c>
      <c r="BG101" s="55">
        <f t="shared" si="848"/>
        <v>0</v>
      </c>
      <c r="BH101" s="55">
        <f t="shared" si="848"/>
        <v>0</v>
      </c>
      <c r="BI101" s="55">
        <f t="shared" si="848"/>
        <v>0</v>
      </c>
      <c r="BJ101" s="55">
        <f t="shared" si="848"/>
        <v>0</v>
      </c>
      <c r="BK101" s="55">
        <f t="shared" si="848"/>
        <v>0</v>
      </c>
      <c r="BL101" s="55">
        <f t="shared" si="848"/>
        <v>0</v>
      </c>
      <c r="BM101" s="55">
        <f t="shared" si="848"/>
        <v>0</v>
      </c>
      <c r="BN101" s="55">
        <f t="shared" si="848"/>
        <v>0</v>
      </c>
      <c r="BO101" s="55">
        <f t="shared" si="848"/>
        <v>0</v>
      </c>
      <c r="BP101" s="55">
        <f t="shared" si="848"/>
        <v>0</v>
      </c>
      <c r="BQ101" s="55">
        <f t="shared" si="848"/>
        <v>0</v>
      </c>
      <c r="BR101" s="55">
        <f t="shared" si="848"/>
        <v>0</v>
      </c>
      <c r="BS101" s="55">
        <f t="shared" si="848"/>
        <v>0</v>
      </c>
      <c r="BT101" s="55">
        <f t="shared" si="848"/>
        <v>0</v>
      </c>
      <c r="BU101" s="55">
        <f t="shared" si="848"/>
        <v>0</v>
      </c>
      <c r="BV101" s="55">
        <f t="shared" si="848"/>
        <v>0</v>
      </c>
      <c r="BW101" s="55">
        <f t="shared" si="848"/>
        <v>0</v>
      </c>
      <c r="BX101" s="55">
        <f t="shared" si="848"/>
        <v>0</v>
      </c>
      <c r="BY101" s="55">
        <f t="shared" si="848"/>
        <v>0</v>
      </c>
      <c r="BZ101" s="55">
        <f t="shared" si="848"/>
        <v>0</v>
      </c>
      <c r="CA101" s="55">
        <f t="shared" si="848"/>
        <v>0</v>
      </c>
      <c r="CB101" s="55">
        <f t="shared" si="848"/>
        <v>0</v>
      </c>
      <c r="CC101" s="55">
        <f t="shared" si="848"/>
        <v>0</v>
      </c>
      <c r="CD101" s="55">
        <f t="shared" si="848"/>
        <v>0</v>
      </c>
      <c r="CE101" s="55">
        <f t="shared" si="848"/>
        <v>0</v>
      </c>
      <c r="CF101" s="55">
        <f t="shared" si="848"/>
        <v>0</v>
      </c>
      <c r="CG101" s="55">
        <f t="shared" si="848"/>
        <v>0</v>
      </c>
      <c r="CH101" s="55">
        <f t="shared" si="848"/>
        <v>0</v>
      </c>
      <c r="CI101" s="55">
        <f t="shared" si="848"/>
        <v>0</v>
      </c>
      <c r="CJ101" s="55">
        <f t="shared" si="848"/>
        <v>0</v>
      </c>
      <c r="CK101" s="55">
        <f t="shared" si="848"/>
        <v>0</v>
      </c>
      <c r="CL101" s="55">
        <f t="shared" si="406"/>
        <v>0</v>
      </c>
      <c r="CM101" s="55">
        <f t="shared" si="406"/>
        <v>0</v>
      </c>
      <c r="CN101" s="55">
        <f t="shared" si="406"/>
        <v>0</v>
      </c>
      <c r="CO101" s="55">
        <f t="shared" si="406"/>
        <v>0</v>
      </c>
      <c r="CP101" s="55">
        <f t="shared" si="406"/>
        <v>0</v>
      </c>
      <c r="CQ101" s="55">
        <f t="shared" si="406"/>
        <v>0</v>
      </c>
      <c r="CR101" s="55">
        <f t="shared" si="406"/>
        <v>0</v>
      </c>
      <c r="CS101" s="55">
        <f t="shared" si="406"/>
        <v>0</v>
      </c>
      <c r="CT101" s="55">
        <f t="shared" si="406"/>
        <v>0</v>
      </c>
      <c r="CU101" s="55">
        <f t="shared" si="406"/>
        <v>0</v>
      </c>
      <c r="CV101" s="55">
        <f t="shared" si="406"/>
        <v>0</v>
      </c>
      <c r="CW101" s="55">
        <f t="shared" si="406"/>
        <v>0</v>
      </c>
      <c r="CX101" s="55">
        <f t="shared" si="406"/>
        <v>0</v>
      </c>
      <c r="CY101" s="55">
        <f t="shared" si="406"/>
        <v>0</v>
      </c>
      <c r="CZ101" s="55">
        <f t="shared" si="406"/>
        <v>0</v>
      </c>
      <c r="DA101" s="55">
        <f t="shared" si="406"/>
        <v>0</v>
      </c>
      <c r="DB101" s="55">
        <f t="shared" si="406"/>
        <v>0</v>
      </c>
      <c r="DC101" s="55">
        <f t="shared" si="406"/>
        <v>0</v>
      </c>
      <c r="DD101" s="55">
        <f t="shared" si="406"/>
        <v>0</v>
      </c>
      <c r="DE101" s="55">
        <f t="shared" si="406"/>
        <v>0</v>
      </c>
      <c r="DF101" s="55">
        <f t="shared" si="406"/>
        <v>0</v>
      </c>
      <c r="DG101" s="55">
        <f t="shared" si="406"/>
        <v>0</v>
      </c>
      <c r="DH101" s="55">
        <f t="shared" si="406"/>
        <v>0</v>
      </c>
      <c r="DI101" s="55">
        <f t="shared" si="406"/>
        <v>0</v>
      </c>
      <c r="DJ101" s="55">
        <f t="shared" si="406"/>
        <v>0</v>
      </c>
      <c r="DK101" s="55">
        <f t="shared" si="406"/>
        <v>0</v>
      </c>
      <c r="DL101" s="55">
        <f t="shared" si="406"/>
        <v>0</v>
      </c>
      <c r="DM101" s="55">
        <f t="shared" si="406"/>
        <v>0</v>
      </c>
      <c r="DN101" s="55">
        <f t="shared" si="406"/>
        <v>0</v>
      </c>
      <c r="DO101" s="55">
        <f t="shared" si="406"/>
        <v>0</v>
      </c>
      <c r="DP101" s="55">
        <f t="shared" si="406"/>
        <v>0</v>
      </c>
      <c r="DQ101" s="55">
        <f t="shared" si="406"/>
        <v>0</v>
      </c>
      <c r="DR101" s="55">
        <f t="shared" si="406"/>
        <v>0</v>
      </c>
      <c r="DS101" s="55">
        <f t="shared" si="406"/>
        <v>0</v>
      </c>
      <c r="DT101" s="55">
        <f t="shared" si="406"/>
        <v>0</v>
      </c>
      <c r="DU101" s="55">
        <f t="shared" si="406"/>
        <v>0</v>
      </c>
      <c r="DV101" s="55">
        <f t="shared" si="406"/>
        <v>0</v>
      </c>
      <c r="DW101" s="55">
        <f t="shared" si="406"/>
        <v>0</v>
      </c>
      <c r="DX101" s="55">
        <f t="shared" si="406"/>
        <v>0</v>
      </c>
      <c r="DY101" s="55">
        <f t="shared" si="406"/>
        <v>0</v>
      </c>
    </row>
    <row r="102" spans="1:129" x14ac:dyDescent="0.45">
      <c r="A102" s="3"/>
      <c r="B102" s="2"/>
      <c r="C102" s="121" t="s">
        <v>265</v>
      </c>
      <c r="D102" s="17"/>
      <c r="E102" s="2"/>
      <c r="F102" s="2"/>
      <c r="G102" s="2"/>
      <c r="H102" s="2"/>
      <c r="I102" s="14"/>
      <c r="J102" s="55"/>
      <c r="K102" s="55"/>
      <c r="L102" s="55"/>
      <c r="M102" s="55"/>
      <c r="N102" s="55"/>
      <c r="O102" s="55"/>
      <c r="P102" s="55"/>
      <c r="Q102" s="55"/>
      <c r="R102" s="55"/>
      <c r="S102" s="55"/>
      <c r="T102" s="55"/>
      <c r="U102" s="119">
        <f>'Plan Moyen Terme (PMT)'!C32-BAU_Liquidité_Dynamique!U101</f>
        <v>0</v>
      </c>
      <c r="V102" s="120">
        <f>IF(AND(U$1&lt;V$1, V$1&lt;=$F101),$U102*($F101-V$1)/($F101-$U$1),0)</f>
        <v>0</v>
      </c>
      <c r="W102" s="120">
        <f>IF(AND(V$1&lt;W$1, W$1&lt;=$F101),$U102*($F101-W$1)/($F101-$U$1),0)</f>
        <v>0</v>
      </c>
      <c r="X102" s="120">
        <f t="shared" ref="X102" si="959">IF(AND(W$1&lt;X$1, X$1&lt;=$F101),$U102*($F101-X$1)/($F101-$U$1),0)</f>
        <v>0</v>
      </c>
      <c r="Y102" s="120">
        <f t="shared" ref="Y102" si="960">IF(AND(X$1&lt;Y$1, Y$1&lt;=$F101),$U102*($F101-Y$1)/($F101-$U$1),0)</f>
        <v>0</v>
      </c>
      <c r="Z102" s="120">
        <f t="shared" ref="Z102" si="961">IF(AND(Y$1&lt;Z$1, Z$1&lt;=$F101),$U102*($F101-Z$1)/($F101-$U$1),0)</f>
        <v>0</v>
      </c>
      <c r="AA102" s="120">
        <f t="shared" ref="AA102" si="962">IF(AND(Z$1&lt;AA$1, AA$1&lt;=$F101),$U102*($F101-AA$1)/($F101-$U$1),0)</f>
        <v>0</v>
      </c>
      <c r="AB102" s="120">
        <f t="shared" ref="AB102" si="963">IF(AND(AA$1&lt;AB$1, AB$1&lt;=$F101),$U102*($F101-AB$1)/($F101-$U$1),0)</f>
        <v>0</v>
      </c>
      <c r="AC102" s="120">
        <f t="shared" ref="AC102" si="964">IF(AND(AB$1&lt;AC$1, AC$1&lt;=$F101),$U102*($F101-AC$1)/($F101-$U$1),0)</f>
        <v>0</v>
      </c>
      <c r="AD102" s="120">
        <f t="shared" ref="AD102" si="965">IF(AND(AC$1&lt;AD$1, AD$1&lt;=$F101),$U102*($F101-AD$1)/($F101-$U$1),0)</f>
        <v>0</v>
      </c>
      <c r="AE102" s="120">
        <f t="shared" ref="AE102" si="966">IF(AND(AD$1&lt;AE$1, AE$1&lt;=$F101),$U102*($F101-AE$1)/($F101-$U$1),0)</f>
        <v>0</v>
      </c>
      <c r="AF102" s="120">
        <f t="shared" ref="AF102" si="967">IF(AND(AE$1&lt;AF$1, AF$1&lt;=$F101),$U102*($F101-AF$1)/($F101-$U$1),0)</f>
        <v>0</v>
      </c>
      <c r="AG102" s="120">
        <f t="shared" ref="AG102" si="968">IF(AND(AF$1&lt;AG$1, AG$1&lt;=$F101),$U102*($F101-AG$1)/($F101-$U$1),0)</f>
        <v>0</v>
      </c>
      <c r="AH102" s="120">
        <f t="shared" ref="AH102" si="969">IF(AND(AG$1&lt;AH$1, AH$1&lt;=$F101),$U102*($F101-AH$1)/($F101-$U$1),0)</f>
        <v>0</v>
      </c>
      <c r="AI102" s="120">
        <f t="shared" ref="AI102" si="970">IF(AND(AH$1&lt;AI$1, AI$1&lt;=$F101),$U102*($F101-AI$1)/($F101-$U$1),0)</f>
        <v>0</v>
      </c>
      <c r="AJ102" s="120">
        <f t="shared" ref="AJ102" si="971">IF(AND(AI$1&lt;AJ$1, AJ$1&lt;=$F101),$U102*($F101-AJ$1)/($F101-$U$1),0)</f>
        <v>0</v>
      </c>
      <c r="AK102" s="120">
        <f t="shared" ref="AK102" si="972">IF(AND(AJ$1&lt;AK$1, AK$1&lt;=$F101),$U102*($F101-AK$1)/($F101-$U$1),0)</f>
        <v>0</v>
      </c>
      <c r="AL102" s="120">
        <f t="shared" ref="AL102" si="973">IF(AND(AK$1&lt;AL$1, AL$1&lt;=$F101),$U102*($F101-AL$1)/($F101-$U$1),0)</f>
        <v>0</v>
      </c>
      <c r="AM102" s="120">
        <f t="shared" ref="AM102" si="974">IF(AND(AL$1&lt;AM$1, AM$1&lt;=$F101),$U102*($F101-AM$1)/($F101-$U$1),0)</f>
        <v>0</v>
      </c>
      <c r="AN102" s="120">
        <f t="shared" ref="AN102" si="975">IF(AND(AM$1&lt;AN$1, AN$1&lt;=$F101),$U102*($F101-AN$1)/($F101-$U$1),0)</f>
        <v>0</v>
      </c>
      <c r="AO102" s="120">
        <f t="shared" ref="AO102" si="976">IF(AND(AN$1&lt;AO$1, AO$1&lt;=$F101),$U102*($F101-AO$1)/($F101-$U$1),0)</f>
        <v>0</v>
      </c>
      <c r="AP102" s="120">
        <f t="shared" ref="AP102" si="977">IF(AND(AO$1&lt;AP$1, AP$1&lt;=$F101),$U102*($F101-AP$1)/($F101-$U$1),0)</f>
        <v>0</v>
      </c>
      <c r="AQ102" s="120">
        <f t="shared" ref="AQ102" si="978">IF(AND(AP$1&lt;AQ$1, AQ$1&lt;=$F101),$U102*($F101-AQ$1)/($F101-$U$1),0)</f>
        <v>0</v>
      </c>
      <c r="AR102" s="120">
        <f t="shared" ref="AR102" si="979">IF(AND(AQ$1&lt;AR$1, AR$1&lt;=$F101),$U102*($F101-AR$1)/($F101-$U$1),0)</f>
        <v>0</v>
      </c>
      <c r="AS102" s="120">
        <f t="shared" ref="AS102" si="980">IF(AND(AR$1&lt;AS$1, AS$1&lt;=$F101),$U102*($F101-AS$1)/($F101-$U$1),0)</f>
        <v>0</v>
      </c>
      <c r="AT102" s="120">
        <f t="shared" ref="AT102" si="981">IF(AND(AS$1&lt;AT$1, AT$1&lt;=$F101),$U102*($F101-AT$1)/($F101-$U$1),0)</f>
        <v>0</v>
      </c>
      <c r="AU102" s="120">
        <f t="shared" ref="AU102" si="982">IF(AND(AT$1&lt;AU$1, AU$1&lt;=$F101),$U102*($F101-AU$1)/($F101-$U$1),0)</f>
        <v>0</v>
      </c>
      <c r="AV102" s="120">
        <f t="shared" ref="AV102" si="983">IF(AND(AU$1&lt;AV$1, AV$1&lt;=$F101),$U102*($F101-AV$1)/($F101-$U$1),0)</f>
        <v>0</v>
      </c>
      <c r="AW102" s="120">
        <f t="shared" ref="AW102" si="984">IF(AND(AV$1&lt;AW$1, AW$1&lt;=$F101),$U102*($F101-AW$1)/($F101-$U$1),0)</f>
        <v>0</v>
      </c>
      <c r="AX102" s="120">
        <f t="shared" ref="AX102" si="985">IF(AND(AW$1&lt;AX$1, AX$1&lt;=$F101),$U102*($F101-AX$1)/($F101-$U$1),0)</f>
        <v>0</v>
      </c>
      <c r="AY102" s="120">
        <f t="shared" ref="AY102" si="986">IF(AND(AX$1&lt;AY$1, AY$1&lt;=$F101),$U102*($F101-AY$1)/($F101-$U$1),0)</f>
        <v>0</v>
      </c>
      <c r="AZ102" s="120">
        <f t="shared" ref="AZ102" si="987">IF(AND(AY$1&lt;AZ$1, AZ$1&lt;=$F101),$U102*($F101-AZ$1)/($F101-$U$1),0)</f>
        <v>0</v>
      </c>
      <c r="BA102" s="120">
        <f t="shared" ref="BA102" si="988">IF(AND(AZ$1&lt;BA$1, BA$1&lt;=$F101),$U102*($F101-BA$1)/($F101-$U$1),0)</f>
        <v>0</v>
      </c>
      <c r="BB102" s="120">
        <f t="shared" ref="BB102" si="989">IF(AND(BA$1&lt;BB$1, BB$1&lt;=$F101),$U102*($F101-BB$1)/($F101-$U$1),0)</f>
        <v>0</v>
      </c>
      <c r="BC102" s="120">
        <f t="shared" ref="BC102" si="990">IF(AND(BB$1&lt;BC$1, BC$1&lt;=$F101),$U102*($F101-BC$1)/($F101-$U$1),0)</f>
        <v>0</v>
      </c>
      <c r="BD102" s="120">
        <f t="shared" ref="BD102" si="991">IF(AND(BC$1&lt;BD$1, BD$1&lt;=$F101),$U102*($F101-BD$1)/($F101-$U$1),0)</f>
        <v>0</v>
      </c>
      <c r="BE102" s="120">
        <f t="shared" ref="BE102" si="992">IF(AND(BD$1&lt;BE$1, BE$1&lt;=$F101),$U102*($F101-BE$1)/($F101-$U$1),0)</f>
        <v>0</v>
      </c>
      <c r="BF102" s="120">
        <f t="shared" ref="BF102" si="993">IF(AND(BE$1&lt;BF$1, BF$1&lt;=$F101),$U102*($F101-BF$1)/($F101-$U$1),0)</f>
        <v>0</v>
      </c>
      <c r="BG102" s="120">
        <f t="shared" ref="BG102" si="994">IF(AND(BF$1&lt;BG$1, BG$1&lt;=$F101),$U102*($F101-BG$1)/($F101-$U$1),0)</f>
        <v>0</v>
      </c>
      <c r="BH102" s="120">
        <f t="shared" ref="BH102" si="995">IF(AND(BG$1&lt;BH$1, BH$1&lt;=$F101),$U102*($F101-BH$1)/($F101-$U$1),0)</f>
        <v>0</v>
      </c>
      <c r="BI102" s="120">
        <f t="shared" ref="BI102" si="996">IF(AND(BH$1&lt;BI$1, BI$1&lt;=$F101),$U102*($F101-BI$1)/($F101-$U$1),0)</f>
        <v>0</v>
      </c>
      <c r="BJ102" s="120">
        <f t="shared" ref="BJ102" si="997">IF(AND(BI$1&lt;BJ$1, BJ$1&lt;=$F101),$U102*($F101-BJ$1)/($F101-$U$1),0)</f>
        <v>0</v>
      </c>
      <c r="BK102" s="120">
        <f t="shared" ref="BK102" si="998">IF(AND(BJ$1&lt;BK$1, BK$1&lt;=$F101),$U102*($F101-BK$1)/($F101-$U$1),0)</f>
        <v>0</v>
      </c>
      <c r="BL102" s="120">
        <f t="shared" ref="BL102" si="999">IF(AND(BK$1&lt;BL$1, BL$1&lt;=$F101),$U102*($F101-BL$1)/($F101-$U$1),0)</f>
        <v>0</v>
      </c>
      <c r="BM102" s="120">
        <f t="shared" ref="BM102" si="1000">IF(AND(BL$1&lt;BM$1, BM$1&lt;=$F101),$U102*($F101-BM$1)/($F101-$U$1),0)</f>
        <v>0</v>
      </c>
      <c r="BN102" s="120">
        <f t="shared" ref="BN102" si="1001">IF(AND(BM$1&lt;BN$1, BN$1&lt;=$F101),$U102*($F101-BN$1)/($F101-$U$1),0)</f>
        <v>0</v>
      </c>
      <c r="BO102" s="120">
        <f t="shared" ref="BO102" si="1002">IF(AND(BN$1&lt;BO$1, BO$1&lt;=$F101),$U102*($F101-BO$1)/($F101-$U$1),0)</f>
        <v>0</v>
      </c>
      <c r="BP102" s="120">
        <f t="shared" ref="BP102" si="1003">IF(AND(BO$1&lt;BP$1, BP$1&lt;=$F101),$U102*($F101-BP$1)/($F101-$U$1),0)</f>
        <v>0</v>
      </c>
      <c r="BQ102" s="120">
        <f t="shared" ref="BQ102" si="1004">IF(AND(BP$1&lt;BQ$1, BQ$1&lt;=$F101),$U102*($F101-BQ$1)/($F101-$U$1),0)</f>
        <v>0</v>
      </c>
      <c r="BR102" s="120">
        <f t="shared" ref="BR102" si="1005">IF(AND(BQ$1&lt;BR$1, BR$1&lt;=$F101),$U102*($F101-BR$1)/($F101-$U$1),0)</f>
        <v>0</v>
      </c>
      <c r="BS102" s="120">
        <f t="shared" ref="BS102" si="1006">IF(AND(BR$1&lt;BS$1, BS$1&lt;=$F101),$U102*($F101-BS$1)/($F101-$U$1),0)</f>
        <v>0</v>
      </c>
      <c r="BT102" s="120">
        <f t="shared" ref="BT102" si="1007">IF(AND(BS$1&lt;BT$1, BT$1&lt;=$F101),$U102*($F101-BT$1)/($F101-$U$1),0)</f>
        <v>0</v>
      </c>
      <c r="BU102" s="120">
        <f t="shared" ref="BU102" si="1008">IF(AND(BT$1&lt;BU$1, BU$1&lt;=$F101),$U102*($F101-BU$1)/($F101-$U$1),0)</f>
        <v>0</v>
      </c>
      <c r="BV102" s="120">
        <f t="shared" ref="BV102" si="1009">IF(AND(BU$1&lt;BV$1, BV$1&lt;=$F101),$U102*($F101-BV$1)/($F101-$U$1),0)</f>
        <v>0</v>
      </c>
      <c r="BW102" s="120">
        <f t="shared" ref="BW102" si="1010">IF(AND(BV$1&lt;BW$1, BW$1&lt;=$F101),$U102*($F101-BW$1)/($F101-$U$1),0)</f>
        <v>0</v>
      </c>
      <c r="BX102" s="120">
        <f t="shared" ref="BX102" si="1011">IF(AND(BW$1&lt;BX$1, BX$1&lt;=$F101),$U102*($F101-BX$1)/($F101-$U$1),0)</f>
        <v>0</v>
      </c>
      <c r="BY102" s="120">
        <f t="shared" ref="BY102" si="1012">IF(AND(BX$1&lt;BY$1, BY$1&lt;=$F101),$U102*($F101-BY$1)/($F101-$U$1),0)</f>
        <v>0</v>
      </c>
      <c r="BZ102" s="120">
        <f t="shared" ref="BZ102" si="1013">IF(AND(BY$1&lt;BZ$1, BZ$1&lt;=$F101),$U102*($F101-BZ$1)/($F101-$U$1),0)</f>
        <v>0</v>
      </c>
      <c r="CA102" s="120">
        <f t="shared" ref="CA102" si="1014">IF(AND(BZ$1&lt;CA$1, CA$1&lt;=$F101),$U102*($F101-CA$1)/($F101-$U$1),0)</f>
        <v>0</v>
      </c>
      <c r="CB102" s="120">
        <f t="shared" ref="CB102" si="1015">IF(AND(CA$1&lt;CB$1, CB$1&lt;=$F101),$U102*($F101-CB$1)/($F101-$U$1),0)</f>
        <v>0</v>
      </c>
      <c r="CC102" s="120">
        <f t="shared" ref="CC102" si="1016">IF(AND(CB$1&lt;CC$1, CC$1&lt;=$F101),$U102*($F101-CC$1)/($F101-$U$1),0)</f>
        <v>0</v>
      </c>
      <c r="CD102" s="120">
        <f t="shared" ref="CD102" si="1017">IF(AND(CC$1&lt;CD$1, CD$1&lt;=$F101),$U102*($F101-CD$1)/($F101-$U$1),0)</f>
        <v>0</v>
      </c>
      <c r="CE102" s="120">
        <f t="shared" ref="CE102" si="1018">IF(AND(CD$1&lt;CE$1, CE$1&lt;=$F101),$U102*($F101-CE$1)/($F101-$U$1),0)</f>
        <v>0</v>
      </c>
      <c r="CF102" s="120">
        <f t="shared" ref="CF102" si="1019">IF(AND(CE$1&lt;CF$1, CF$1&lt;=$F101),$U102*($F101-CF$1)/($F101-$U$1),0)</f>
        <v>0</v>
      </c>
      <c r="CG102" s="120">
        <f t="shared" ref="CG102" si="1020">IF(AND(CF$1&lt;CG$1, CG$1&lt;=$F101),$U102*($F101-CG$1)/($F101-$U$1),0)</f>
        <v>0</v>
      </c>
      <c r="CH102" s="120">
        <f t="shared" ref="CH102" si="1021">IF(AND(CG$1&lt;CH$1, CH$1&lt;=$F101),$U102*($F101-CH$1)/($F101-$U$1),0)</f>
        <v>0</v>
      </c>
      <c r="CI102" s="120">
        <f t="shared" ref="CI102" si="1022">IF(AND(CH$1&lt;CI$1, CI$1&lt;=$F101),$U102*($F101-CI$1)/($F101-$U$1),0)</f>
        <v>0</v>
      </c>
      <c r="CJ102" s="120">
        <f t="shared" ref="CJ102" si="1023">IF(AND(CI$1&lt;CJ$1, CJ$1&lt;=$F101),$U102*($F101-CJ$1)/($F101-$U$1),0)</f>
        <v>0</v>
      </c>
      <c r="CK102" s="120">
        <f t="shared" ref="CK102" si="1024">IF(AND(CJ$1&lt;CK$1, CK$1&lt;=$F101),$U102*($F101-CK$1)/($F101-$U$1),0)</f>
        <v>0</v>
      </c>
      <c r="CL102" s="120">
        <f t="shared" ref="CL102" si="1025">IF(AND(CK$1&lt;CL$1, CL$1&lt;=$F101),$U102*($F101-CL$1)/($F101-$U$1),0)</f>
        <v>0</v>
      </c>
      <c r="CM102" s="120">
        <f t="shared" ref="CM102" si="1026">IF(AND(CL$1&lt;CM$1, CM$1&lt;=$F101),$U102*($F101-CM$1)/($F101-$U$1),0)</f>
        <v>0</v>
      </c>
      <c r="CN102" s="120">
        <f t="shared" ref="CN102" si="1027">IF(AND(CM$1&lt;CN$1, CN$1&lt;=$F101),$U102*($F101-CN$1)/($F101-$U$1),0)</f>
        <v>0</v>
      </c>
      <c r="CO102" s="120">
        <f t="shared" ref="CO102" si="1028">IF(AND(CN$1&lt;CO$1, CO$1&lt;=$F101),$U102*($F101-CO$1)/($F101-$U$1),0)</f>
        <v>0</v>
      </c>
      <c r="CP102" s="120">
        <f t="shared" ref="CP102" si="1029">IF(AND(CO$1&lt;CP$1, CP$1&lt;=$F101),$U102*($F101-CP$1)/($F101-$U$1),0)</f>
        <v>0</v>
      </c>
      <c r="CQ102" s="120">
        <f t="shared" ref="CQ102" si="1030">IF(AND(CP$1&lt;CQ$1, CQ$1&lt;=$F101),$U102*($F101-CQ$1)/($F101-$U$1),0)</f>
        <v>0</v>
      </c>
      <c r="CR102" s="120">
        <f t="shared" ref="CR102" si="1031">IF(AND(CQ$1&lt;CR$1, CR$1&lt;=$F101),$U102*($F101-CR$1)/($F101-$U$1),0)</f>
        <v>0</v>
      </c>
      <c r="CS102" s="120">
        <f t="shared" ref="CS102" si="1032">IF(AND(CR$1&lt;CS$1, CS$1&lt;=$F101),$U102*($F101-CS$1)/($F101-$U$1),0)</f>
        <v>0</v>
      </c>
      <c r="CT102" s="120">
        <f t="shared" ref="CT102" si="1033">IF(AND(CS$1&lt;CT$1, CT$1&lt;=$F101),$U102*($F101-CT$1)/($F101-$U$1),0)</f>
        <v>0</v>
      </c>
      <c r="CU102" s="120">
        <f t="shared" ref="CU102" si="1034">IF(AND(CT$1&lt;CU$1, CU$1&lt;=$F101),$U102*($F101-CU$1)/($F101-$U$1),0)</f>
        <v>0</v>
      </c>
      <c r="CV102" s="120">
        <f t="shared" ref="CV102" si="1035">IF(AND(CU$1&lt;CV$1, CV$1&lt;=$F101),$U102*($F101-CV$1)/($F101-$U$1),0)</f>
        <v>0</v>
      </c>
      <c r="CW102" s="120">
        <f t="shared" ref="CW102" si="1036">IF(AND(CV$1&lt;CW$1, CW$1&lt;=$F101),$U102*($F101-CW$1)/($F101-$U$1),0)</f>
        <v>0</v>
      </c>
      <c r="CX102" s="120">
        <f t="shared" ref="CX102" si="1037">IF(AND(CW$1&lt;CX$1, CX$1&lt;=$F101),$U102*($F101-CX$1)/($F101-$U$1),0)</f>
        <v>0</v>
      </c>
      <c r="CY102" s="120">
        <f t="shared" ref="CY102" si="1038">IF(AND(CX$1&lt;CY$1, CY$1&lt;=$F101),$U102*($F101-CY$1)/($F101-$U$1),0)</f>
        <v>0</v>
      </c>
      <c r="CZ102" s="120">
        <f t="shared" ref="CZ102" si="1039">IF(AND(CY$1&lt;CZ$1, CZ$1&lt;=$F101),$U102*($F101-CZ$1)/($F101-$U$1),0)</f>
        <v>0</v>
      </c>
      <c r="DA102" s="120">
        <f t="shared" ref="DA102" si="1040">IF(AND(CZ$1&lt;DA$1, DA$1&lt;=$F101),$U102*($F101-DA$1)/($F101-$U$1),0)</f>
        <v>0</v>
      </c>
      <c r="DB102" s="120">
        <f t="shared" ref="DB102" si="1041">IF(AND(DA$1&lt;DB$1, DB$1&lt;=$F101),$U102*($F101-DB$1)/($F101-$U$1),0)</f>
        <v>0</v>
      </c>
      <c r="DC102" s="120">
        <f t="shared" ref="DC102" si="1042">IF(AND(DB$1&lt;DC$1, DC$1&lt;=$F101),$U102*($F101-DC$1)/($F101-$U$1),0)</f>
        <v>0</v>
      </c>
      <c r="DD102" s="120">
        <f t="shared" ref="DD102" si="1043">IF(AND(DC$1&lt;DD$1, DD$1&lt;=$F101),$U102*($F101-DD$1)/($F101-$U$1),0)</f>
        <v>0</v>
      </c>
      <c r="DE102" s="120">
        <f t="shared" ref="DE102" si="1044">IF(AND(DD$1&lt;DE$1, DE$1&lt;=$F101),$U102*($F101-DE$1)/($F101-$U$1),0)</f>
        <v>0</v>
      </c>
      <c r="DF102" s="120">
        <f t="shared" ref="DF102" si="1045">IF(AND(DE$1&lt;DF$1, DF$1&lt;=$F101),$U102*($F101-DF$1)/($F101-$U$1),0)</f>
        <v>0</v>
      </c>
      <c r="DG102" s="120">
        <f t="shared" ref="DG102" si="1046">IF(AND(DF$1&lt;DG$1, DG$1&lt;=$F101),$U102*($F101-DG$1)/($F101-$U$1),0)</f>
        <v>0</v>
      </c>
      <c r="DH102" s="120">
        <f t="shared" ref="DH102" si="1047">IF(AND(DG$1&lt;DH$1, DH$1&lt;=$F101),$U102*($F101-DH$1)/($F101-$U$1),0)</f>
        <v>0</v>
      </c>
      <c r="DI102" s="120">
        <f t="shared" ref="DI102" si="1048">IF(AND(DH$1&lt;DI$1, DI$1&lt;=$F101),$U102*($F101-DI$1)/($F101-$U$1),0)</f>
        <v>0</v>
      </c>
      <c r="DJ102" s="120">
        <f t="shared" ref="DJ102" si="1049">IF(AND(DI$1&lt;DJ$1, DJ$1&lt;=$F101),$U102*($F101-DJ$1)/($F101-$U$1),0)</f>
        <v>0</v>
      </c>
      <c r="DK102" s="120">
        <f t="shared" ref="DK102" si="1050">IF(AND(DJ$1&lt;DK$1, DK$1&lt;=$F101),$U102*($F101-DK$1)/($F101-$U$1),0)</f>
        <v>0</v>
      </c>
      <c r="DL102" s="120">
        <f t="shared" ref="DL102" si="1051">IF(AND(DK$1&lt;DL$1, DL$1&lt;=$F101),$U102*($F101-DL$1)/($F101-$U$1),0)</f>
        <v>0</v>
      </c>
      <c r="DM102" s="120">
        <f t="shared" ref="DM102" si="1052">IF(AND(DL$1&lt;DM$1, DM$1&lt;=$F101),$U102*($F101-DM$1)/($F101-$U$1),0)</f>
        <v>0</v>
      </c>
      <c r="DN102" s="120">
        <f t="shared" ref="DN102" si="1053">IF(AND(DM$1&lt;DN$1, DN$1&lt;=$F101),$U102*($F101-DN$1)/($F101-$U$1),0)</f>
        <v>0</v>
      </c>
      <c r="DO102" s="120">
        <f t="shared" ref="DO102" si="1054">IF(AND(DN$1&lt;DO$1, DO$1&lt;=$F101),$U102*($F101-DO$1)/($F101-$U$1),0)</f>
        <v>0</v>
      </c>
      <c r="DP102" s="120">
        <f t="shared" ref="DP102" si="1055">IF(AND(DO$1&lt;DP$1, DP$1&lt;=$F101),$U102*($F101-DP$1)/($F101-$U$1),0)</f>
        <v>0</v>
      </c>
      <c r="DQ102" s="120">
        <f t="shared" ref="DQ102" si="1056">IF(AND(DP$1&lt;DQ$1, DQ$1&lt;=$F101),$U102*($F101-DQ$1)/($F101-$U$1),0)</f>
        <v>0</v>
      </c>
      <c r="DR102" s="120">
        <f t="shared" ref="DR102" si="1057">IF(AND(DQ$1&lt;DR$1, DR$1&lt;=$F101),$U102*($F101-DR$1)/($F101-$U$1),0)</f>
        <v>0</v>
      </c>
      <c r="DS102" s="120">
        <f t="shared" ref="DS102" si="1058">IF(AND(DR$1&lt;DS$1, DS$1&lt;=$F101),$U102*($F101-DS$1)/($F101-$U$1),0)</f>
        <v>0</v>
      </c>
      <c r="DT102" s="120">
        <f t="shared" ref="DT102" si="1059">IF(AND(DS$1&lt;DT$1, DT$1&lt;=$F101),$U102*($F101-DT$1)/($F101-$U$1),0)</f>
        <v>0</v>
      </c>
      <c r="DU102" s="120">
        <f t="shared" ref="DU102" si="1060">IF(AND(DT$1&lt;DU$1, DU$1&lt;=$F101),$U102*($F101-DU$1)/($F101-$U$1),0)</f>
        <v>0</v>
      </c>
      <c r="DV102" s="120">
        <f t="shared" ref="DV102" si="1061">IF(AND(DU$1&lt;DV$1, DV$1&lt;=$F101),$U102*($F101-DV$1)/($F101-$U$1),0)</f>
        <v>0</v>
      </c>
      <c r="DW102" s="120">
        <f t="shared" ref="DW102" si="1062">IF(AND(DV$1&lt;DW$1, DW$1&lt;=$F101),$U102*($F101-DW$1)/($F101-$U$1),0)</f>
        <v>0</v>
      </c>
      <c r="DX102" s="120">
        <f t="shared" ref="DX102" si="1063">IF(AND(DW$1&lt;DX$1, DX$1&lt;=$F101),$U102*($F101-DX$1)/($F101-$U$1),0)</f>
        <v>0</v>
      </c>
      <c r="DY102" s="120">
        <f t="shared" ref="DY102" si="1064">IF(AND(DX$1&lt;DY$1, DY$1&lt;=$F101),$U102*($F101-DY$1)/($F101-$U$1),0)</f>
        <v>0</v>
      </c>
    </row>
    <row r="103" spans="1:129" x14ac:dyDescent="0.45">
      <c r="A103" s="3"/>
      <c r="B103" s="2"/>
      <c r="C103" s="122" t="s">
        <v>266</v>
      </c>
      <c r="D103" s="17"/>
      <c r="E103" s="2"/>
      <c r="F103" s="2"/>
      <c r="G103" s="2"/>
      <c r="H103" s="2"/>
      <c r="I103" s="14"/>
      <c r="J103" s="55"/>
      <c r="K103" s="55"/>
      <c r="L103" s="55"/>
      <c r="M103" s="55"/>
      <c r="N103" s="55"/>
      <c r="O103" s="55"/>
      <c r="P103" s="55"/>
      <c r="Q103" s="55"/>
      <c r="R103" s="55"/>
      <c r="S103" s="55"/>
      <c r="T103" s="55"/>
      <c r="U103" s="95"/>
      <c r="V103" s="91"/>
      <c r="W103" s="91"/>
      <c r="X103" s="91"/>
      <c r="Y103" s="91"/>
      <c r="Z103" s="55"/>
      <c r="AA103" s="55"/>
      <c r="AB103" s="55"/>
      <c r="AC103" s="55"/>
      <c r="AD103" s="55"/>
      <c r="AE103" s="55"/>
      <c r="AF103" s="55"/>
      <c r="AG103" s="129">
        <f>'Plan Moyen Terme (PMT)'!D32-BAU_Liquidité_Dynamique!AG101</f>
        <v>0</v>
      </c>
      <c r="AH103" s="124">
        <f>IF(AND(AG$1&lt;AH$1, AH$1&lt;=$F101),$AG103*($F101-AH$1)/($F101-$AG$1),0)</f>
        <v>0</v>
      </c>
      <c r="AI103" s="124">
        <f>IF(AND(AH$1&lt;AI$1, AI$1&lt;=$F101),$AG103*($F101-AI$1)/($F101-$AG$1),0)</f>
        <v>0</v>
      </c>
      <c r="AJ103" s="124">
        <f t="shared" ref="AJ103:CU103" si="1065">IF(AND(AI$1&lt;AJ$1, AJ$1&lt;=$F101),$AG103*($F101-AJ$1)/($F101-$AG$1),0)</f>
        <v>0</v>
      </c>
      <c r="AK103" s="124">
        <f t="shared" si="1065"/>
        <v>0</v>
      </c>
      <c r="AL103" s="124">
        <f t="shared" si="1065"/>
        <v>0</v>
      </c>
      <c r="AM103" s="124">
        <f t="shared" si="1065"/>
        <v>0</v>
      </c>
      <c r="AN103" s="124">
        <f t="shared" si="1065"/>
        <v>0</v>
      </c>
      <c r="AO103" s="124">
        <f t="shared" si="1065"/>
        <v>0</v>
      </c>
      <c r="AP103" s="124">
        <f t="shared" si="1065"/>
        <v>0</v>
      </c>
      <c r="AQ103" s="124">
        <f t="shared" si="1065"/>
        <v>0</v>
      </c>
      <c r="AR103" s="124">
        <f t="shared" si="1065"/>
        <v>0</v>
      </c>
      <c r="AS103" s="124">
        <f t="shared" si="1065"/>
        <v>0</v>
      </c>
      <c r="AT103" s="124">
        <f t="shared" si="1065"/>
        <v>0</v>
      </c>
      <c r="AU103" s="124">
        <f t="shared" si="1065"/>
        <v>0</v>
      </c>
      <c r="AV103" s="124">
        <f t="shared" si="1065"/>
        <v>0</v>
      </c>
      <c r="AW103" s="124">
        <f t="shared" si="1065"/>
        <v>0</v>
      </c>
      <c r="AX103" s="124">
        <f t="shared" si="1065"/>
        <v>0</v>
      </c>
      <c r="AY103" s="124">
        <f t="shared" si="1065"/>
        <v>0</v>
      </c>
      <c r="AZ103" s="124">
        <f t="shared" si="1065"/>
        <v>0</v>
      </c>
      <c r="BA103" s="124">
        <f t="shared" si="1065"/>
        <v>0</v>
      </c>
      <c r="BB103" s="124">
        <f t="shared" si="1065"/>
        <v>0</v>
      </c>
      <c r="BC103" s="124">
        <f t="shared" si="1065"/>
        <v>0</v>
      </c>
      <c r="BD103" s="124">
        <f t="shared" si="1065"/>
        <v>0</v>
      </c>
      <c r="BE103" s="124">
        <f t="shared" si="1065"/>
        <v>0</v>
      </c>
      <c r="BF103" s="124">
        <f t="shared" si="1065"/>
        <v>0</v>
      </c>
      <c r="BG103" s="124">
        <f t="shared" si="1065"/>
        <v>0</v>
      </c>
      <c r="BH103" s="124">
        <f t="shared" si="1065"/>
        <v>0</v>
      </c>
      <c r="BI103" s="124">
        <f t="shared" si="1065"/>
        <v>0</v>
      </c>
      <c r="BJ103" s="124">
        <f t="shared" si="1065"/>
        <v>0</v>
      </c>
      <c r="BK103" s="124">
        <f t="shared" si="1065"/>
        <v>0</v>
      </c>
      <c r="BL103" s="124">
        <f t="shared" si="1065"/>
        <v>0</v>
      </c>
      <c r="BM103" s="124">
        <f t="shared" si="1065"/>
        <v>0</v>
      </c>
      <c r="BN103" s="124">
        <f t="shared" si="1065"/>
        <v>0</v>
      </c>
      <c r="BO103" s="124">
        <f t="shared" si="1065"/>
        <v>0</v>
      </c>
      <c r="BP103" s="124">
        <f t="shared" si="1065"/>
        <v>0</v>
      </c>
      <c r="BQ103" s="124">
        <f t="shared" si="1065"/>
        <v>0</v>
      </c>
      <c r="BR103" s="124">
        <f t="shared" si="1065"/>
        <v>0</v>
      </c>
      <c r="BS103" s="124">
        <f t="shared" si="1065"/>
        <v>0</v>
      </c>
      <c r="BT103" s="124">
        <f t="shared" si="1065"/>
        <v>0</v>
      </c>
      <c r="BU103" s="124">
        <f t="shared" si="1065"/>
        <v>0</v>
      </c>
      <c r="BV103" s="124">
        <f t="shared" si="1065"/>
        <v>0</v>
      </c>
      <c r="BW103" s="124">
        <f t="shared" si="1065"/>
        <v>0</v>
      </c>
      <c r="BX103" s="124">
        <f t="shared" si="1065"/>
        <v>0</v>
      </c>
      <c r="BY103" s="124">
        <f t="shared" si="1065"/>
        <v>0</v>
      </c>
      <c r="BZ103" s="124">
        <f t="shared" si="1065"/>
        <v>0</v>
      </c>
      <c r="CA103" s="124">
        <f t="shared" si="1065"/>
        <v>0</v>
      </c>
      <c r="CB103" s="124">
        <f t="shared" si="1065"/>
        <v>0</v>
      </c>
      <c r="CC103" s="124">
        <f t="shared" si="1065"/>
        <v>0</v>
      </c>
      <c r="CD103" s="124">
        <f t="shared" si="1065"/>
        <v>0</v>
      </c>
      <c r="CE103" s="124">
        <f t="shared" si="1065"/>
        <v>0</v>
      </c>
      <c r="CF103" s="124">
        <f t="shared" si="1065"/>
        <v>0</v>
      </c>
      <c r="CG103" s="124">
        <f t="shared" si="1065"/>
        <v>0</v>
      </c>
      <c r="CH103" s="124">
        <f t="shared" si="1065"/>
        <v>0</v>
      </c>
      <c r="CI103" s="124">
        <f t="shared" si="1065"/>
        <v>0</v>
      </c>
      <c r="CJ103" s="124">
        <f t="shared" si="1065"/>
        <v>0</v>
      </c>
      <c r="CK103" s="124">
        <f t="shared" si="1065"/>
        <v>0</v>
      </c>
      <c r="CL103" s="124">
        <f t="shared" si="1065"/>
        <v>0</v>
      </c>
      <c r="CM103" s="124">
        <f t="shared" si="1065"/>
        <v>0</v>
      </c>
      <c r="CN103" s="124">
        <f t="shared" si="1065"/>
        <v>0</v>
      </c>
      <c r="CO103" s="124">
        <f t="shared" si="1065"/>
        <v>0</v>
      </c>
      <c r="CP103" s="124">
        <f t="shared" si="1065"/>
        <v>0</v>
      </c>
      <c r="CQ103" s="124">
        <f t="shared" si="1065"/>
        <v>0</v>
      </c>
      <c r="CR103" s="124">
        <f t="shared" si="1065"/>
        <v>0</v>
      </c>
      <c r="CS103" s="124">
        <f t="shared" si="1065"/>
        <v>0</v>
      </c>
      <c r="CT103" s="124">
        <f t="shared" si="1065"/>
        <v>0</v>
      </c>
      <c r="CU103" s="124">
        <f t="shared" si="1065"/>
        <v>0</v>
      </c>
      <c r="CV103" s="124">
        <f t="shared" ref="CV103:DY103" si="1066">IF(AND(CU$1&lt;CV$1, CV$1&lt;=$F101),$AG103*($F101-CV$1)/($F101-$AG$1),0)</f>
        <v>0</v>
      </c>
      <c r="CW103" s="124">
        <f t="shared" si="1066"/>
        <v>0</v>
      </c>
      <c r="CX103" s="124">
        <f t="shared" si="1066"/>
        <v>0</v>
      </c>
      <c r="CY103" s="124">
        <f t="shared" si="1066"/>
        <v>0</v>
      </c>
      <c r="CZ103" s="124">
        <f t="shared" si="1066"/>
        <v>0</v>
      </c>
      <c r="DA103" s="124">
        <f t="shared" si="1066"/>
        <v>0</v>
      </c>
      <c r="DB103" s="124">
        <f t="shared" si="1066"/>
        <v>0</v>
      </c>
      <c r="DC103" s="124">
        <f t="shared" si="1066"/>
        <v>0</v>
      </c>
      <c r="DD103" s="124">
        <f t="shared" si="1066"/>
        <v>0</v>
      </c>
      <c r="DE103" s="124">
        <f t="shared" si="1066"/>
        <v>0</v>
      </c>
      <c r="DF103" s="124">
        <f t="shared" si="1066"/>
        <v>0</v>
      </c>
      <c r="DG103" s="124">
        <f t="shared" si="1066"/>
        <v>0</v>
      </c>
      <c r="DH103" s="124">
        <f t="shared" si="1066"/>
        <v>0</v>
      </c>
      <c r="DI103" s="124">
        <f t="shared" si="1066"/>
        <v>0</v>
      </c>
      <c r="DJ103" s="124">
        <f t="shared" si="1066"/>
        <v>0</v>
      </c>
      <c r="DK103" s="124">
        <f t="shared" si="1066"/>
        <v>0</v>
      </c>
      <c r="DL103" s="124">
        <f t="shared" si="1066"/>
        <v>0</v>
      </c>
      <c r="DM103" s="124">
        <f t="shared" si="1066"/>
        <v>0</v>
      </c>
      <c r="DN103" s="124">
        <f t="shared" si="1066"/>
        <v>0</v>
      </c>
      <c r="DO103" s="124">
        <f t="shared" si="1066"/>
        <v>0</v>
      </c>
      <c r="DP103" s="124">
        <f t="shared" si="1066"/>
        <v>0</v>
      </c>
      <c r="DQ103" s="124">
        <f t="shared" si="1066"/>
        <v>0</v>
      </c>
      <c r="DR103" s="124">
        <f t="shared" si="1066"/>
        <v>0</v>
      </c>
      <c r="DS103" s="124">
        <f t="shared" si="1066"/>
        <v>0</v>
      </c>
      <c r="DT103" s="124">
        <f t="shared" si="1066"/>
        <v>0</v>
      </c>
      <c r="DU103" s="124">
        <f t="shared" si="1066"/>
        <v>0</v>
      </c>
      <c r="DV103" s="124">
        <f t="shared" si="1066"/>
        <v>0</v>
      </c>
      <c r="DW103" s="124">
        <f t="shared" si="1066"/>
        <v>0</v>
      </c>
      <c r="DX103" s="124">
        <f t="shared" si="1066"/>
        <v>0</v>
      </c>
      <c r="DY103" s="124">
        <f t="shared" si="1066"/>
        <v>0</v>
      </c>
    </row>
    <row r="104" spans="1:129" x14ac:dyDescent="0.45">
      <c r="A104" s="3"/>
      <c r="B104" s="2"/>
      <c r="C104" s="125" t="s">
        <v>267</v>
      </c>
      <c r="D104" s="17"/>
      <c r="E104" s="2"/>
      <c r="F104" s="2"/>
      <c r="G104" s="2"/>
      <c r="H104" s="2"/>
      <c r="I104" s="14"/>
      <c r="J104" s="55"/>
      <c r="K104" s="55"/>
      <c r="L104" s="55"/>
      <c r="M104" s="55"/>
      <c r="N104" s="55"/>
      <c r="O104" s="55"/>
      <c r="P104" s="55"/>
      <c r="Q104" s="55"/>
      <c r="R104" s="55"/>
      <c r="S104" s="55"/>
      <c r="T104" s="55"/>
      <c r="U104" s="96"/>
      <c r="V104" s="55"/>
      <c r="W104" s="55"/>
      <c r="X104" s="55"/>
      <c r="Y104" s="55"/>
      <c r="Z104" s="55"/>
      <c r="AA104" s="55"/>
      <c r="AB104" s="55"/>
      <c r="AC104" s="55"/>
      <c r="AD104" s="55"/>
      <c r="AE104" s="55"/>
      <c r="AF104" s="55"/>
      <c r="AG104" s="102"/>
      <c r="AH104" s="91"/>
      <c r="AI104" s="91"/>
      <c r="AJ104" s="91"/>
      <c r="AK104" s="55"/>
      <c r="AL104" s="55"/>
      <c r="AM104" s="55"/>
      <c r="AN104" s="55"/>
      <c r="AO104" s="55"/>
      <c r="AP104" s="55"/>
      <c r="AQ104" s="55"/>
      <c r="AR104" s="55"/>
      <c r="AS104" s="130">
        <f>'Plan Moyen Terme (PMT)'!E32-BAU_Liquidité_Dynamique!AS101</f>
        <v>2979</v>
      </c>
      <c r="AT104" s="126">
        <f>IF(AND(AS$1&lt;AT$1, AT$1&lt;=$F101),$AS104*($F101-AT$1)/($F101-$AS$1),0)</f>
        <v>2943.5357142857142</v>
      </c>
      <c r="AU104" s="126">
        <f t="shared" ref="AU104:DF104" si="1067">IF(AND(AT$1&lt;AU$1, AU$1&lt;=$F101),$AS104*($F101-AU$1)/($F101-$AS$1),0)</f>
        <v>2908.0714285714284</v>
      </c>
      <c r="AV104" s="126">
        <f t="shared" si="1067"/>
        <v>2872.6071428571427</v>
      </c>
      <c r="AW104" s="126">
        <f t="shared" si="1067"/>
        <v>2837.1428571428573</v>
      </c>
      <c r="AX104" s="126">
        <f t="shared" si="1067"/>
        <v>2801.6785714285716</v>
      </c>
      <c r="AY104" s="126">
        <f t="shared" si="1067"/>
        <v>2766.2142857142858</v>
      </c>
      <c r="AZ104" s="126">
        <f t="shared" si="1067"/>
        <v>2730.75</v>
      </c>
      <c r="BA104" s="126">
        <f t="shared" si="1067"/>
        <v>2695.2857142857142</v>
      </c>
      <c r="BB104" s="126">
        <f t="shared" si="1067"/>
        <v>2659.8214285714284</v>
      </c>
      <c r="BC104" s="126">
        <f t="shared" si="1067"/>
        <v>2624.3571428571427</v>
      </c>
      <c r="BD104" s="126">
        <f t="shared" si="1067"/>
        <v>2588.8928571428573</v>
      </c>
      <c r="BE104" s="126">
        <f t="shared" si="1067"/>
        <v>2553.4285714285716</v>
      </c>
      <c r="BF104" s="126">
        <f t="shared" si="1067"/>
        <v>2517.9642857142858</v>
      </c>
      <c r="BG104" s="126">
        <f t="shared" si="1067"/>
        <v>2482.5</v>
      </c>
      <c r="BH104" s="126">
        <f t="shared" si="1067"/>
        <v>2447.0357142857142</v>
      </c>
      <c r="BI104" s="126">
        <f t="shared" si="1067"/>
        <v>2411.5714285714284</v>
      </c>
      <c r="BJ104" s="126">
        <f t="shared" si="1067"/>
        <v>2376.1071428571427</v>
      </c>
      <c r="BK104" s="126">
        <f t="shared" si="1067"/>
        <v>2340.6428571428573</v>
      </c>
      <c r="BL104" s="126">
        <f t="shared" si="1067"/>
        <v>2305.1785714285716</v>
      </c>
      <c r="BM104" s="126">
        <f t="shared" si="1067"/>
        <v>2269.7142857142858</v>
      </c>
      <c r="BN104" s="126">
        <f t="shared" si="1067"/>
        <v>2234.25</v>
      </c>
      <c r="BO104" s="126">
        <f t="shared" si="1067"/>
        <v>2198.7857142857142</v>
      </c>
      <c r="BP104" s="126">
        <f t="shared" si="1067"/>
        <v>2163.3214285714284</v>
      </c>
      <c r="BQ104" s="126">
        <f t="shared" si="1067"/>
        <v>2127.8571428571427</v>
      </c>
      <c r="BR104" s="126">
        <f t="shared" si="1067"/>
        <v>2092.3928571428573</v>
      </c>
      <c r="BS104" s="126">
        <f t="shared" si="1067"/>
        <v>2056.9285714285716</v>
      </c>
      <c r="BT104" s="126">
        <f t="shared" si="1067"/>
        <v>2021.4642857142858</v>
      </c>
      <c r="BU104" s="126">
        <f t="shared" si="1067"/>
        <v>1986</v>
      </c>
      <c r="BV104" s="126">
        <f t="shared" si="1067"/>
        <v>1950.5357142857142</v>
      </c>
      <c r="BW104" s="126">
        <f t="shared" si="1067"/>
        <v>1915.0714285714287</v>
      </c>
      <c r="BX104" s="126">
        <f t="shared" si="1067"/>
        <v>1879.6071428571429</v>
      </c>
      <c r="BY104" s="126">
        <f t="shared" si="1067"/>
        <v>1844.1428571428571</v>
      </c>
      <c r="BZ104" s="126">
        <f t="shared" si="1067"/>
        <v>1808.6785714285713</v>
      </c>
      <c r="CA104" s="126">
        <f t="shared" si="1067"/>
        <v>1773.2142857142858</v>
      </c>
      <c r="CB104" s="126">
        <f t="shared" si="1067"/>
        <v>1737.75</v>
      </c>
      <c r="CC104" s="126">
        <f t="shared" si="1067"/>
        <v>1702.2857142857142</v>
      </c>
      <c r="CD104" s="126">
        <f t="shared" si="1067"/>
        <v>1666.8214285714287</v>
      </c>
      <c r="CE104" s="126">
        <f t="shared" si="1067"/>
        <v>1631.3571428571429</v>
      </c>
      <c r="CF104" s="126">
        <f t="shared" si="1067"/>
        <v>1595.8928571428571</v>
      </c>
      <c r="CG104" s="126">
        <f t="shared" si="1067"/>
        <v>1560.4285714285713</v>
      </c>
      <c r="CH104" s="126">
        <f t="shared" si="1067"/>
        <v>1524.9642857142858</v>
      </c>
      <c r="CI104" s="126">
        <f t="shared" si="1067"/>
        <v>1489.5</v>
      </c>
      <c r="CJ104" s="126">
        <f t="shared" si="1067"/>
        <v>1454.0357142857142</v>
      </c>
      <c r="CK104" s="126">
        <f t="shared" si="1067"/>
        <v>1418.5714285714287</v>
      </c>
      <c r="CL104" s="126">
        <f t="shared" si="1067"/>
        <v>1383.1071428571429</v>
      </c>
      <c r="CM104" s="126">
        <f t="shared" si="1067"/>
        <v>1347.6428571428571</v>
      </c>
      <c r="CN104" s="126">
        <f t="shared" si="1067"/>
        <v>1312.1785714285713</v>
      </c>
      <c r="CO104" s="126">
        <f t="shared" si="1067"/>
        <v>1276.7142857142858</v>
      </c>
      <c r="CP104" s="126">
        <f t="shared" si="1067"/>
        <v>1241.25</v>
      </c>
      <c r="CQ104" s="126">
        <f t="shared" si="1067"/>
        <v>1205.7857142857142</v>
      </c>
      <c r="CR104" s="126">
        <f t="shared" si="1067"/>
        <v>1170.3214285714287</v>
      </c>
      <c r="CS104" s="126">
        <f t="shared" si="1067"/>
        <v>1134.8571428571429</v>
      </c>
      <c r="CT104" s="126">
        <f t="shared" si="1067"/>
        <v>1099.3928571428571</v>
      </c>
      <c r="CU104" s="126">
        <f t="shared" si="1067"/>
        <v>1063.9285714285713</v>
      </c>
      <c r="CV104" s="126">
        <f t="shared" si="1067"/>
        <v>1028.4642857142858</v>
      </c>
      <c r="CW104" s="126">
        <f t="shared" si="1067"/>
        <v>993</v>
      </c>
      <c r="CX104" s="126">
        <f t="shared" si="1067"/>
        <v>957.53571428571433</v>
      </c>
      <c r="CY104" s="126">
        <f t="shared" si="1067"/>
        <v>922.07142857142856</v>
      </c>
      <c r="CZ104" s="126">
        <f t="shared" si="1067"/>
        <v>886.60714285714289</v>
      </c>
      <c r="DA104" s="126">
        <f t="shared" si="1067"/>
        <v>851.14285714285711</v>
      </c>
      <c r="DB104" s="126">
        <f t="shared" si="1067"/>
        <v>815.67857142857144</v>
      </c>
      <c r="DC104" s="126">
        <f t="shared" si="1067"/>
        <v>780.21428571428567</v>
      </c>
      <c r="DD104" s="126">
        <f t="shared" si="1067"/>
        <v>744.75</v>
      </c>
      <c r="DE104" s="126">
        <f t="shared" si="1067"/>
        <v>709.28571428571433</v>
      </c>
      <c r="DF104" s="126">
        <f t="shared" si="1067"/>
        <v>673.82142857142856</v>
      </c>
      <c r="DG104" s="126">
        <f t="shared" ref="DG104:DY104" si="1068">IF(AND(DF$1&lt;DG$1, DG$1&lt;=$F101),$AS104*($F101-DG$1)/($F101-$AS$1),0)</f>
        <v>638.35714285714289</v>
      </c>
      <c r="DH104" s="126">
        <f t="shared" si="1068"/>
        <v>602.89285714285711</v>
      </c>
      <c r="DI104" s="126">
        <f t="shared" si="1068"/>
        <v>567.42857142857144</v>
      </c>
      <c r="DJ104" s="126">
        <f t="shared" si="1068"/>
        <v>531.96428571428567</v>
      </c>
      <c r="DK104" s="126">
        <f t="shared" si="1068"/>
        <v>496.5</v>
      </c>
      <c r="DL104" s="126">
        <f t="shared" si="1068"/>
        <v>461.03571428571428</v>
      </c>
      <c r="DM104" s="126">
        <f t="shared" si="1068"/>
        <v>425.57142857142856</v>
      </c>
      <c r="DN104" s="126">
        <f t="shared" si="1068"/>
        <v>390.10714285714283</v>
      </c>
      <c r="DO104" s="126">
        <f t="shared" si="1068"/>
        <v>354.64285714285717</v>
      </c>
      <c r="DP104" s="126">
        <f t="shared" si="1068"/>
        <v>319.17857142857144</v>
      </c>
      <c r="DQ104" s="126">
        <f t="shared" si="1068"/>
        <v>283.71428571428572</v>
      </c>
      <c r="DR104" s="126">
        <f t="shared" si="1068"/>
        <v>248.25</v>
      </c>
      <c r="DS104" s="126">
        <f t="shared" si="1068"/>
        <v>212.78571428571428</v>
      </c>
      <c r="DT104" s="126">
        <f t="shared" si="1068"/>
        <v>177.32142857142858</v>
      </c>
      <c r="DU104" s="126">
        <f t="shared" si="1068"/>
        <v>141.85714285714286</v>
      </c>
      <c r="DV104" s="126">
        <f t="shared" si="1068"/>
        <v>106.39285714285714</v>
      </c>
      <c r="DW104" s="126">
        <f t="shared" si="1068"/>
        <v>70.928571428571431</v>
      </c>
      <c r="DX104" s="126">
        <f t="shared" si="1068"/>
        <v>35.464285714285715</v>
      </c>
      <c r="DY104" s="126">
        <f t="shared" si="1068"/>
        <v>0</v>
      </c>
    </row>
    <row r="105" spans="1:129" x14ac:dyDescent="0.45">
      <c r="A105" s="3">
        <v>46022</v>
      </c>
      <c r="B105" s="2" t="s">
        <v>19</v>
      </c>
      <c r="C105" s="6" t="s">
        <v>30</v>
      </c>
      <c r="D105" s="17">
        <v>0</v>
      </c>
      <c r="E105" s="2" t="s">
        <v>43</v>
      </c>
      <c r="F105" s="2">
        <v>120</v>
      </c>
      <c r="G105" s="2" t="s">
        <v>43</v>
      </c>
      <c r="H105" s="2">
        <v>120</v>
      </c>
      <c r="I105" s="14">
        <v>0</v>
      </c>
      <c r="J105" s="55">
        <f t="shared" si="404"/>
        <v>0</v>
      </c>
      <c r="K105" s="55">
        <f t="shared" si="404"/>
        <v>0</v>
      </c>
      <c r="L105" s="55">
        <f t="shared" si="404"/>
        <v>0</v>
      </c>
      <c r="M105" s="55">
        <f t="shared" si="404"/>
        <v>0</v>
      </c>
      <c r="N105" s="55">
        <f t="shared" si="404"/>
        <v>0</v>
      </c>
      <c r="O105" s="55">
        <f t="shared" si="404"/>
        <v>0</v>
      </c>
      <c r="P105" s="55">
        <f t="shared" si="404"/>
        <v>0</v>
      </c>
      <c r="Q105" s="55">
        <f t="shared" si="404"/>
        <v>0</v>
      </c>
      <c r="R105" s="55">
        <f t="shared" si="404"/>
        <v>0</v>
      </c>
      <c r="S105" s="55">
        <f t="shared" si="404"/>
        <v>0</v>
      </c>
      <c r="T105" s="55">
        <f t="shared" si="404"/>
        <v>0</v>
      </c>
      <c r="U105" s="96">
        <f t="shared" si="404"/>
        <v>0</v>
      </c>
      <c r="V105" s="55">
        <f t="shared" si="404"/>
        <v>0</v>
      </c>
      <c r="W105" s="55">
        <f t="shared" si="404"/>
        <v>0</v>
      </c>
      <c r="X105" s="55">
        <f t="shared" si="404"/>
        <v>0</v>
      </c>
      <c r="Y105" s="55">
        <f t="shared" si="404"/>
        <v>0</v>
      </c>
      <c r="Z105" s="55">
        <f t="shared" si="848"/>
        <v>0</v>
      </c>
      <c r="AA105" s="55">
        <f t="shared" si="848"/>
        <v>0</v>
      </c>
      <c r="AB105" s="55">
        <f t="shared" si="848"/>
        <v>0</v>
      </c>
      <c r="AC105" s="55">
        <f t="shared" si="848"/>
        <v>0</v>
      </c>
      <c r="AD105" s="55">
        <f t="shared" si="848"/>
        <v>0</v>
      </c>
      <c r="AE105" s="55">
        <f t="shared" si="848"/>
        <v>0</v>
      </c>
      <c r="AF105" s="55">
        <f t="shared" si="848"/>
        <v>0</v>
      </c>
      <c r="AG105" s="102">
        <f t="shared" si="848"/>
        <v>0</v>
      </c>
      <c r="AH105" s="55">
        <f t="shared" si="848"/>
        <v>0</v>
      </c>
      <c r="AI105" s="55">
        <f t="shared" si="848"/>
        <v>0</v>
      </c>
      <c r="AJ105" s="55">
        <f t="shared" si="848"/>
        <v>0</v>
      </c>
      <c r="AK105" s="55">
        <f t="shared" si="848"/>
        <v>0</v>
      </c>
      <c r="AL105" s="55">
        <f t="shared" si="848"/>
        <v>0</v>
      </c>
      <c r="AM105" s="55">
        <f t="shared" si="848"/>
        <v>0</v>
      </c>
      <c r="AN105" s="55">
        <f t="shared" si="848"/>
        <v>0</v>
      </c>
      <c r="AO105" s="55">
        <f t="shared" si="848"/>
        <v>0</v>
      </c>
      <c r="AP105" s="55">
        <f t="shared" si="848"/>
        <v>0</v>
      </c>
      <c r="AQ105" s="55">
        <f t="shared" si="848"/>
        <v>0</v>
      </c>
      <c r="AR105" s="55">
        <f t="shared" si="848"/>
        <v>0</v>
      </c>
      <c r="AS105" s="108">
        <f t="shared" si="848"/>
        <v>0</v>
      </c>
      <c r="AT105" s="55">
        <f t="shared" si="848"/>
        <v>0</v>
      </c>
      <c r="AU105" s="55">
        <f t="shared" si="848"/>
        <v>0</v>
      </c>
      <c r="AV105" s="55">
        <f t="shared" si="848"/>
        <v>0</v>
      </c>
      <c r="AW105" s="55">
        <f t="shared" si="848"/>
        <v>0</v>
      </c>
      <c r="AX105" s="55">
        <f t="shared" si="848"/>
        <v>0</v>
      </c>
      <c r="AY105" s="55">
        <f t="shared" si="848"/>
        <v>0</v>
      </c>
      <c r="AZ105" s="55">
        <f t="shared" si="848"/>
        <v>0</v>
      </c>
      <c r="BA105" s="55">
        <f t="shared" si="848"/>
        <v>0</v>
      </c>
      <c r="BB105" s="55">
        <f t="shared" si="848"/>
        <v>0</v>
      </c>
      <c r="BC105" s="55">
        <f t="shared" si="848"/>
        <v>0</v>
      </c>
      <c r="BD105" s="55">
        <f t="shared" si="848"/>
        <v>0</v>
      </c>
      <c r="BE105" s="55">
        <f t="shared" si="848"/>
        <v>0</v>
      </c>
      <c r="BF105" s="55">
        <f t="shared" si="848"/>
        <v>0</v>
      </c>
      <c r="BG105" s="55">
        <f t="shared" si="848"/>
        <v>0</v>
      </c>
      <c r="BH105" s="55">
        <f t="shared" si="848"/>
        <v>0</v>
      </c>
      <c r="BI105" s="55">
        <f t="shared" si="848"/>
        <v>0</v>
      </c>
      <c r="BJ105" s="55">
        <f t="shared" si="848"/>
        <v>0</v>
      </c>
      <c r="BK105" s="55">
        <f t="shared" si="848"/>
        <v>0</v>
      </c>
      <c r="BL105" s="55">
        <f t="shared" si="848"/>
        <v>0</v>
      </c>
      <c r="BM105" s="55">
        <f t="shared" si="848"/>
        <v>0</v>
      </c>
      <c r="BN105" s="55">
        <f t="shared" si="848"/>
        <v>0</v>
      </c>
      <c r="BO105" s="55">
        <f t="shared" si="848"/>
        <v>0</v>
      </c>
      <c r="BP105" s="55">
        <f t="shared" si="848"/>
        <v>0</v>
      </c>
      <c r="BQ105" s="55">
        <f t="shared" si="848"/>
        <v>0</v>
      </c>
      <c r="BR105" s="55">
        <f t="shared" si="848"/>
        <v>0</v>
      </c>
      <c r="BS105" s="55">
        <f t="shared" si="848"/>
        <v>0</v>
      </c>
      <c r="BT105" s="55">
        <f t="shared" si="848"/>
        <v>0</v>
      </c>
      <c r="BU105" s="55">
        <f t="shared" si="848"/>
        <v>0</v>
      </c>
      <c r="BV105" s="55">
        <f t="shared" si="848"/>
        <v>0</v>
      </c>
      <c r="BW105" s="55">
        <f t="shared" si="848"/>
        <v>0</v>
      </c>
      <c r="BX105" s="55">
        <f t="shared" si="848"/>
        <v>0</v>
      </c>
      <c r="BY105" s="55">
        <f t="shared" si="848"/>
        <v>0</v>
      </c>
      <c r="BZ105" s="55">
        <f t="shared" si="848"/>
        <v>0</v>
      </c>
      <c r="CA105" s="55">
        <f t="shared" si="848"/>
        <v>0</v>
      </c>
      <c r="CB105" s="55">
        <f t="shared" si="848"/>
        <v>0</v>
      </c>
      <c r="CC105" s="55">
        <f t="shared" si="848"/>
        <v>0</v>
      </c>
      <c r="CD105" s="55">
        <f t="shared" si="848"/>
        <v>0</v>
      </c>
      <c r="CE105" s="55">
        <f t="shared" si="848"/>
        <v>0</v>
      </c>
      <c r="CF105" s="55">
        <f t="shared" si="848"/>
        <v>0</v>
      </c>
      <c r="CG105" s="55">
        <f t="shared" si="848"/>
        <v>0</v>
      </c>
      <c r="CH105" s="55">
        <f t="shared" si="848"/>
        <v>0</v>
      </c>
      <c r="CI105" s="55">
        <f t="shared" si="848"/>
        <v>0</v>
      </c>
      <c r="CJ105" s="55">
        <f t="shared" si="848"/>
        <v>0</v>
      </c>
      <c r="CK105" s="55">
        <f t="shared" si="848"/>
        <v>0</v>
      </c>
      <c r="CL105" s="55">
        <f t="shared" si="406"/>
        <v>0</v>
      </c>
      <c r="CM105" s="55">
        <f t="shared" si="406"/>
        <v>0</v>
      </c>
      <c r="CN105" s="55">
        <f t="shared" si="406"/>
        <v>0</v>
      </c>
      <c r="CO105" s="55">
        <f t="shared" si="406"/>
        <v>0</v>
      </c>
      <c r="CP105" s="55">
        <f t="shared" si="406"/>
        <v>0</v>
      </c>
      <c r="CQ105" s="55">
        <f t="shared" si="406"/>
        <v>0</v>
      </c>
      <c r="CR105" s="55">
        <f t="shared" si="406"/>
        <v>0</v>
      </c>
      <c r="CS105" s="55">
        <f t="shared" si="406"/>
        <v>0</v>
      </c>
      <c r="CT105" s="55">
        <f t="shared" si="406"/>
        <v>0</v>
      </c>
      <c r="CU105" s="55">
        <f t="shared" si="406"/>
        <v>0</v>
      </c>
      <c r="CV105" s="55">
        <f t="shared" si="406"/>
        <v>0</v>
      </c>
      <c r="CW105" s="55">
        <f t="shared" si="406"/>
        <v>0</v>
      </c>
      <c r="CX105" s="55">
        <f t="shared" si="406"/>
        <v>0</v>
      </c>
      <c r="CY105" s="55">
        <f t="shared" si="406"/>
        <v>0</v>
      </c>
      <c r="CZ105" s="55">
        <f t="shared" si="406"/>
        <v>0</v>
      </c>
      <c r="DA105" s="55">
        <f t="shared" ref="DA105:DY105" si="1069">IF(DA$1&lt;$F105,$I105*(($F105-DA$1)/$F105),0)</f>
        <v>0</v>
      </c>
      <c r="DB105" s="55">
        <f t="shared" si="1069"/>
        <v>0</v>
      </c>
      <c r="DC105" s="55">
        <f t="shared" si="1069"/>
        <v>0</v>
      </c>
      <c r="DD105" s="55">
        <f t="shared" si="1069"/>
        <v>0</v>
      </c>
      <c r="DE105" s="55">
        <f t="shared" si="1069"/>
        <v>0</v>
      </c>
      <c r="DF105" s="55">
        <f t="shared" si="1069"/>
        <v>0</v>
      </c>
      <c r="DG105" s="55">
        <f t="shared" si="1069"/>
        <v>0</v>
      </c>
      <c r="DH105" s="55">
        <f t="shared" si="1069"/>
        <v>0</v>
      </c>
      <c r="DI105" s="55">
        <f t="shared" si="1069"/>
        <v>0</v>
      </c>
      <c r="DJ105" s="55">
        <f t="shared" si="1069"/>
        <v>0</v>
      </c>
      <c r="DK105" s="55">
        <f t="shared" si="1069"/>
        <v>0</v>
      </c>
      <c r="DL105" s="55">
        <f t="shared" si="1069"/>
        <v>0</v>
      </c>
      <c r="DM105" s="55">
        <f t="shared" si="1069"/>
        <v>0</v>
      </c>
      <c r="DN105" s="55">
        <f t="shared" si="1069"/>
        <v>0</v>
      </c>
      <c r="DO105" s="55">
        <f t="shared" si="1069"/>
        <v>0</v>
      </c>
      <c r="DP105" s="55">
        <f t="shared" si="1069"/>
        <v>0</v>
      </c>
      <c r="DQ105" s="55">
        <f t="shared" si="1069"/>
        <v>0</v>
      </c>
      <c r="DR105" s="55">
        <f t="shared" si="1069"/>
        <v>0</v>
      </c>
      <c r="DS105" s="55">
        <f t="shared" si="1069"/>
        <v>0</v>
      </c>
      <c r="DT105" s="55">
        <f t="shared" si="1069"/>
        <v>0</v>
      </c>
      <c r="DU105" s="55">
        <f t="shared" si="1069"/>
        <v>0</v>
      </c>
      <c r="DV105" s="55">
        <f t="shared" si="1069"/>
        <v>0</v>
      </c>
      <c r="DW105" s="55">
        <f t="shared" si="1069"/>
        <v>0</v>
      </c>
      <c r="DX105" s="55">
        <f t="shared" si="1069"/>
        <v>0</v>
      </c>
      <c r="DY105" s="55">
        <f t="shared" si="1069"/>
        <v>0</v>
      </c>
    </row>
    <row r="106" spans="1:129" x14ac:dyDescent="0.45">
      <c r="A106" s="3"/>
      <c r="B106" s="2"/>
      <c r="C106" s="121" t="s">
        <v>265</v>
      </c>
      <c r="D106" s="17"/>
      <c r="E106" s="2"/>
      <c r="F106" s="2"/>
      <c r="G106" s="2"/>
      <c r="H106" s="2"/>
      <c r="I106" s="14"/>
      <c r="J106" s="55"/>
      <c r="K106" s="55"/>
      <c r="L106" s="55"/>
      <c r="M106" s="55"/>
      <c r="N106" s="55"/>
      <c r="O106" s="55"/>
      <c r="P106" s="55"/>
      <c r="Q106" s="55"/>
      <c r="R106" s="55"/>
      <c r="S106" s="55"/>
      <c r="T106" s="55"/>
      <c r="U106" s="96"/>
      <c r="V106" s="55"/>
      <c r="W106" s="55"/>
      <c r="X106" s="55"/>
      <c r="Y106" s="55"/>
      <c r="Z106" s="55"/>
      <c r="AA106" s="55"/>
      <c r="AB106" s="55"/>
      <c r="AC106" s="55"/>
      <c r="AD106" s="55"/>
      <c r="AE106" s="55"/>
      <c r="AF106" s="55"/>
      <c r="AG106" s="102"/>
      <c r="AH106" s="55"/>
      <c r="AI106" s="55"/>
      <c r="AJ106" s="55"/>
      <c r="AK106" s="55"/>
      <c r="AL106" s="55"/>
      <c r="AM106" s="55"/>
      <c r="AN106" s="55"/>
      <c r="AO106" s="55"/>
      <c r="AP106" s="55"/>
      <c r="AQ106" s="55"/>
      <c r="AR106" s="55"/>
      <c r="AS106" s="108"/>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row>
    <row r="107" spans="1:129" x14ac:dyDescent="0.45">
      <c r="A107" s="3"/>
      <c r="B107" s="2"/>
      <c r="C107" s="122" t="s">
        <v>266</v>
      </c>
      <c r="D107" s="17"/>
      <c r="E107" s="2"/>
      <c r="F107" s="2"/>
      <c r="G107" s="2"/>
      <c r="H107" s="2"/>
      <c r="I107" s="14"/>
      <c r="J107" s="55"/>
      <c r="K107" s="55"/>
      <c r="L107" s="55"/>
      <c r="M107" s="55"/>
      <c r="N107" s="55"/>
      <c r="O107" s="55"/>
      <c r="P107" s="55"/>
      <c r="Q107" s="55"/>
      <c r="R107" s="55"/>
      <c r="S107" s="55"/>
      <c r="T107" s="55"/>
      <c r="U107" s="96"/>
      <c r="V107" s="55"/>
      <c r="W107" s="55"/>
      <c r="X107" s="55"/>
      <c r="Y107" s="55"/>
      <c r="Z107" s="55"/>
      <c r="AA107" s="55"/>
      <c r="AB107" s="55"/>
      <c r="AC107" s="55"/>
      <c r="AD107" s="55"/>
      <c r="AE107" s="55"/>
      <c r="AF107" s="55"/>
      <c r="AG107" s="102"/>
      <c r="AH107" s="55"/>
      <c r="AI107" s="55"/>
      <c r="AJ107" s="55"/>
      <c r="AK107" s="55"/>
      <c r="AL107" s="55"/>
      <c r="AM107" s="55"/>
      <c r="AN107" s="55"/>
      <c r="AO107" s="55"/>
      <c r="AP107" s="55"/>
      <c r="AQ107" s="55"/>
      <c r="AR107" s="55"/>
      <c r="AS107" s="108"/>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row>
    <row r="108" spans="1:129" x14ac:dyDescent="0.45">
      <c r="A108" s="3"/>
      <c r="B108" s="2"/>
      <c r="C108" s="125" t="s">
        <v>267</v>
      </c>
      <c r="D108" s="17"/>
      <c r="E108" s="2"/>
      <c r="F108" s="2"/>
      <c r="G108" s="2"/>
      <c r="H108" s="2"/>
      <c r="I108" s="14"/>
      <c r="J108" s="55"/>
      <c r="K108" s="55"/>
      <c r="L108" s="55"/>
      <c r="M108" s="55"/>
      <c r="N108" s="55"/>
      <c r="O108" s="55"/>
      <c r="P108" s="55"/>
      <c r="Q108" s="55"/>
      <c r="R108" s="55"/>
      <c r="S108" s="55"/>
      <c r="T108" s="55"/>
      <c r="U108" s="96"/>
      <c r="V108" s="55"/>
      <c r="W108" s="55"/>
      <c r="X108" s="55"/>
      <c r="Y108" s="55"/>
      <c r="Z108" s="55"/>
      <c r="AA108" s="55"/>
      <c r="AB108" s="55"/>
      <c r="AC108" s="55"/>
      <c r="AD108" s="55"/>
      <c r="AE108" s="55"/>
      <c r="AF108" s="55"/>
      <c r="AG108" s="102"/>
      <c r="AH108" s="55"/>
      <c r="AI108" s="55"/>
      <c r="AJ108" s="55"/>
      <c r="AK108" s="55"/>
      <c r="AL108" s="55"/>
      <c r="AM108" s="55"/>
      <c r="AN108" s="55"/>
      <c r="AO108" s="55"/>
      <c r="AP108" s="55"/>
      <c r="AQ108" s="55"/>
      <c r="AR108" s="55"/>
      <c r="AS108" s="108"/>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row>
    <row r="109" spans="1:129" x14ac:dyDescent="0.45">
      <c r="A109" s="72"/>
      <c r="B109" s="73"/>
      <c r="C109" s="139" t="s">
        <v>276</v>
      </c>
      <c r="D109" s="137"/>
      <c r="E109" s="135"/>
      <c r="F109" s="135"/>
      <c r="G109" s="135"/>
      <c r="H109" s="135"/>
      <c r="I109" s="138">
        <f>SUM(I52+I56+I61+I65+I69+I73+I77+I82+I86+I94+I90+I98+I102+I106)</f>
        <v>0</v>
      </c>
      <c r="J109" s="138">
        <f t="shared" ref="J109:BU109" si="1070">SUM(J52+J56+J61+J65+J69+J73+J77+J82+J86+J94+J90+J98+J102+J106)</f>
        <v>0</v>
      </c>
      <c r="K109" s="138">
        <f t="shared" si="1070"/>
        <v>0</v>
      </c>
      <c r="L109" s="138">
        <f t="shared" si="1070"/>
        <v>0</v>
      </c>
      <c r="M109" s="138">
        <f t="shared" si="1070"/>
        <v>0</v>
      </c>
      <c r="N109" s="138">
        <f t="shared" si="1070"/>
        <v>0</v>
      </c>
      <c r="O109" s="138">
        <f t="shared" si="1070"/>
        <v>0</v>
      </c>
      <c r="P109" s="138">
        <f t="shared" si="1070"/>
        <v>0</v>
      </c>
      <c r="Q109" s="138">
        <f t="shared" si="1070"/>
        <v>0</v>
      </c>
      <c r="R109" s="138">
        <f t="shared" si="1070"/>
        <v>0</v>
      </c>
      <c r="S109" s="138">
        <f t="shared" si="1070"/>
        <v>0</v>
      </c>
      <c r="T109" s="138">
        <f t="shared" si="1070"/>
        <v>0</v>
      </c>
      <c r="U109" s="138">
        <f t="shared" si="1070"/>
        <v>55067.941941947414</v>
      </c>
      <c r="V109" s="138">
        <f t="shared" si="1070"/>
        <v>50699.653130653765</v>
      </c>
      <c r="W109" s="138">
        <f t="shared" si="1070"/>
        <v>48468.197062345163</v>
      </c>
      <c r="X109" s="138">
        <f t="shared" si="1070"/>
        <v>46636.031461928484</v>
      </c>
      <c r="Y109" s="138">
        <f t="shared" si="1070"/>
        <v>45130.777246985817</v>
      </c>
      <c r="Z109" s="138">
        <f t="shared" si="1070"/>
        <v>43893.175436862082</v>
      </c>
      <c r="AA109" s="138">
        <f t="shared" si="1070"/>
        <v>42874.708881698869</v>
      </c>
      <c r="AB109" s="138">
        <f t="shared" si="1070"/>
        <v>42035.655098855408</v>
      </c>
      <c r="AC109" s="138">
        <f t="shared" si="1070"/>
        <v>41343.492070205131</v>
      </c>
      <c r="AD109" s="138">
        <f t="shared" si="1070"/>
        <v>40771.59301935562</v>
      </c>
      <c r="AE109" s="138">
        <f t="shared" si="1070"/>
        <v>40298.157785619071</v>
      </c>
      <c r="AF109" s="138">
        <f t="shared" si="1070"/>
        <v>39905.337907018373</v>
      </c>
      <c r="AG109" s="138">
        <f t="shared" si="1070"/>
        <v>22773.62029883769</v>
      </c>
      <c r="AH109" s="138">
        <f t="shared" si="1070"/>
        <v>22500.840779222835</v>
      </c>
      <c r="AI109" s="138">
        <f t="shared" si="1070"/>
        <v>22272.303904554388</v>
      </c>
      <c r="AJ109" s="138">
        <f t="shared" si="1070"/>
        <v>22079.989843901061</v>
      </c>
      <c r="AK109" s="138">
        <f t="shared" si="1070"/>
        <v>21917.332515044949</v>
      </c>
      <c r="AL109" s="138">
        <f t="shared" si="1070"/>
        <v>21778.95606454699</v>
      </c>
      <c r="AM109" s="138">
        <f t="shared" si="1070"/>
        <v>21660.459115872614</v>
      </c>
      <c r="AN109" s="138">
        <f t="shared" si="1070"/>
        <v>21558.238126697062</v>
      </c>
      <c r="AO109" s="138">
        <f t="shared" si="1070"/>
        <v>21469.342766099053</v>
      </c>
      <c r="AP109" s="138">
        <f t="shared" si="1070"/>
        <v>21391.35750742157</v>
      </c>
      <c r="AQ109" s="138">
        <f t="shared" si="1070"/>
        <v>21322.304684705643</v>
      </c>
      <c r="AR109" s="138">
        <f t="shared" si="1070"/>
        <v>21260.565122011336</v>
      </c>
      <c r="AS109" s="138">
        <f t="shared" si="1070"/>
        <v>21204.813150201986</v>
      </c>
      <c r="AT109" s="138">
        <f t="shared" si="1070"/>
        <v>21153.963403187012</v>
      </c>
      <c r="AU109" s="138">
        <f t="shared" si="1070"/>
        <v>21107.12725836967</v>
      </c>
      <c r="AV109" s="138">
        <f t="shared" si="1070"/>
        <v>21063.577173102174</v>
      </c>
      <c r="AW109" s="138">
        <f t="shared" si="1070"/>
        <v>21022.717485844565</v>
      </c>
      <c r="AX109" s="138">
        <f t="shared" si="1070"/>
        <v>20984.060510175681</v>
      </c>
      <c r="AY109" s="138">
        <f t="shared" si="1070"/>
        <v>20947.206962224649</v>
      </c>
      <c r="AZ109" s="138">
        <f t="shared" si="1070"/>
        <v>20911.829936007165</v>
      </c>
      <c r="BA109" s="138">
        <f t="shared" si="1070"/>
        <v>20877.661783540541</v>
      </c>
      <c r="BB109" s="138">
        <f t="shared" si="1070"/>
        <v>20844.483373190316</v>
      </c>
      <c r="BC109" s="138">
        <f t="shared" si="1070"/>
        <v>20812.115295148411</v>
      </c>
      <c r="BD109" s="138">
        <f t="shared" si="1070"/>
        <v>20780.410661087546</v>
      </c>
      <c r="BE109" s="138">
        <f t="shared" si="1070"/>
        <v>20749.249209016903</v>
      </c>
      <c r="BF109" s="138">
        <f t="shared" si="1070"/>
        <v>20718.532476746161</v>
      </c>
      <c r="BG109" s="138">
        <f t="shared" si="1070"/>
        <v>20688.179850252112</v>
      </c>
      <c r="BH109" s="138">
        <f t="shared" si="1070"/>
        <v>20658.125328354814</v>
      </c>
      <c r="BI109" s="138">
        <f t="shared" si="1070"/>
        <v>20628.314873858501</v>
      </c>
      <c r="BJ109" s="138">
        <f t="shared" si="1070"/>
        <v>20598.704244849207</v>
      </c>
      <c r="BK109" s="138">
        <f t="shared" si="1070"/>
        <v>20569.257219111376</v>
      </c>
      <c r="BL109" s="138">
        <f t="shared" si="1070"/>
        <v>20539.944140403208</v>
      </c>
      <c r="BM109" s="138">
        <f t="shared" si="1070"/>
        <v>20510.7407282475</v>
      </c>
      <c r="BN109" s="138">
        <f t="shared" si="1070"/>
        <v>20481.627103470877</v>
      </c>
      <c r="BO109" s="138">
        <f t="shared" si="1070"/>
        <v>20452.586990382755</v>
      </c>
      <c r="BP109" s="138">
        <f t="shared" si="1070"/>
        <v>20423.607063574702</v>
      </c>
      <c r="BQ109" s="138">
        <f t="shared" si="1070"/>
        <v>8067.6414131250731</v>
      </c>
      <c r="BR109" s="138">
        <f t="shared" si="1070"/>
        <v>8038.751106745477</v>
      </c>
      <c r="BS109" s="138">
        <f t="shared" si="1070"/>
        <v>8009.8938312967248</v>
      </c>
      <c r="BT109" s="138">
        <f t="shared" si="1070"/>
        <v>7981.0635992868547</v>
      </c>
      <c r="BU109" s="138">
        <f t="shared" si="1070"/>
        <v>7952.2555085720678</v>
      </c>
      <c r="BV109" s="138">
        <f t="shared" ref="BV109:DY109" si="1071">SUM(BV52+BV56+BV61+BV65+BV69+BV73+BV77+BV82+BV86+BV94+BV90+BV98+BV102+BV106)</f>
        <v>7923.4655456164764</v>
      </c>
      <c r="BW109" s="138">
        <f t="shared" si="1071"/>
        <v>7894.6904244148245</v>
      </c>
      <c r="BX109" s="138">
        <f t="shared" si="1071"/>
        <v>7865.9274546135548</v>
      </c>
      <c r="BY109" s="138">
        <f t="shared" si="1071"/>
        <v>7837.174433537466</v>
      </c>
      <c r="BZ109" s="138">
        <f t="shared" si="1071"/>
        <v>7808.4295577886405</v>
      </c>
      <c r="CA109" s="138">
        <f t="shared" si="1071"/>
        <v>7779.691350869738</v>
      </c>
      <c r="CB109" s="138">
        <f t="shared" si="1071"/>
        <v>7750.9586039269807</v>
      </c>
      <c r="CC109" s="138">
        <f t="shared" si="1071"/>
        <v>1378.0793272345902</v>
      </c>
      <c r="CD109" s="138">
        <f t="shared" si="1071"/>
        <v>1349.3547104736742</v>
      </c>
      <c r="CE109" s="138">
        <f t="shared" si="1071"/>
        <v>1320.6330902111997</v>
      </c>
      <c r="CF109" s="138">
        <f t="shared" si="1071"/>
        <v>1291.9139232741504</v>
      </c>
      <c r="CG109" s="138">
        <f t="shared" si="1071"/>
        <v>1263.1967649500743</v>
      </c>
      <c r="CH109" s="138">
        <f t="shared" si="1071"/>
        <v>1234.4812511392101</v>
      </c>
      <c r="CI109" s="138">
        <f t="shared" si="1071"/>
        <v>1205.7670837418868</v>
      </c>
      <c r="CJ109" s="138">
        <f t="shared" si="1071"/>
        <v>1177.0540186947355</v>
      </c>
      <c r="CK109" s="138">
        <f t="shared" si="1071"/>
        <v>1148.3418561755705</v>
      </c>
      <c r="CL109" s="138">
        <f t="shared" si="1071"/>
        <v>1119.6304325838234</v>
      </c>
      <c r="CM109" s="138">
        <f t="shared" si="1071"/>
        <v>1090.9196139746782</v>
      </c>
      <c r="CN109" s="138">
        <f t="shared" si="1071"/>
        <v>1062.2092906833936</v>
      </c>
      <c r="CO109" s="138">
        <f t="shared" si="1071"/>
        <v>1033.4993729240744</v>
      </c>
      <c r="CP109" s="138">
        <f t="shared" si="1071"/>
        <v>1004.7897871862464</v>
      </c>
      <c r="CQ109" s="138">
        <f t="shared" si="1071"/>
        <v>976.08047328462419</v>
      </c>
      <c r="CR109" s="138">
        <f t="shared" si="1071"/>
        <v>947.3713819436631</v>
      </c>
      <c r="CS109" s="138">
        <f t="shared" si="1071"/>
        <v>918.66247281995993</v>
      </c>
      <c r="CT109" s="138">
        <f t="shared" si="1071"/>
        <v>889.95371288312958</v>
      </c>
      <c r="CU109" s="138">
        <f t="shared" si="1071"/>
        <v>861.24507509017997</v>
      </c>
      <c r="CV109" s="138">
        <f t="shared" si="1071"/>
        <v>832.53653730018186</v>
      </c>
      <c r="CW109" s="138">
        <f t="shared" si="1071"/>
        <v>803.82808138567543</v>
      </c>
      <c r="CX109" s="138">
        <f t="shared" si="1071"/>
        <v>775.11969250515187</v>
      </c>
      <c r="CY109" s="138">
        <f t="shared" si="1071"/>
        <v>746.41135850741171</v>
      </c>
      <c r="CZ109" s="138">
        <f t="shared" si="1071"/>
        <v>717.70306944389404</v>
      </c>
      <c r="DA109" s="138">
        <f t="shared" si="1071"/>
        <v>688.99481716940636</v>
      </c>
      <c r="DB109" s="138">
        <f t="shared" si="1071"/>
        <v>660.28659501522884</v>
      </c>
      <c r="DC109" s="138">
        <f t="shared" si="1071"/>
        <v>631.57839752147538</v>
      </c>
      <c r="DD109" s="138">
        <f t="shared" si="1071"/>
        <v>602.87022021796975</v>
      </c>
      <c r="DE109" s="138">
        <f t="shared" si="1071"/>
        <v>574.16205944484079</v>
      </c>
      <c r="DF109" s="138">
        <f t="shared" si="1071"/>
        <v>545.45391220563954</v>
      </c>
      <c r="DG109" s="138">
        <f t="shared" si="1071"/>
        <v>516.74577604708111</v>
      </c>
      <c r="DH109" s="138">
        <f t="shared" si="1071"/>
        <v>488.0376489605859</v>
      </c>
      <c r="DI109" s="138">
        <f t="shared" si="1071"/>
        <v>459.32952930166755</v>
      </c>
      <c r="DJ109" s="138">
        <f t="shared" si="1071"/>
        <v>430.62141572393506</v>
      </c>
      <c r="DK109" s="138">
        <f t="shared" si="1071"/>
        <v>401.91330712505641</v>
      </c>
      <c r="DL109" s="138">
        <f t="shared" si="1071"/>
        <v>373.20520260251834</v>
      </c>
      <c r="DM109" s="138">
        <f t="shared" si="1071"/>
        <v>344.49710141740582</v>
      </c>
      <c r="DN109" s="138">
        <f t="shared" si="1071"/>
        <v>315.78900296474615</v>
      </c>
      <c r="DO109" s="138">
        <f t="shared" si="1071"/>
        <v>287.08090674922971</v>
      </c>
      <c r="DP109" s="138">
        <f t="shared" si="1071"/>
        <v>258.37281236533113</v>
      </c>
      <c r="DQ109" s="138">
        <f t="shared" si="1071"/>
        <v>229.66471948103458</v>
      </c>
      <c r="DR109" s="138">
        <f t="shared" si="1071"/>
        <v>200.9566278245083</v>
      </c>
      <c r="DS109" s="138">
        <f t="shared" si="1071"/>
        <v>172.24853717319522</v>
      </c>
      <c r="DT109" s="138">
        <f t="shared" si="1071"/>
        <v>143.5404473448811</v>
      </c>
      <c r="DU109" s="138">
        <f t="shared" si="1071"/>
        <v>114.8323581903816</v>
      </c>
      <c r="DV109" s="138">
        <f t="shared" si="1071"/>
        <v>86.124269587554821</v>
      </c>
      <c r="DW109" s="138">
        <f t="shared" si="1071"/>
        <v>57.416181436399441</v>
      </c>
      <c r="DX109" s="138">
        <f t="shared" si="1071"/>
        <v>28.708093655041374</v>
      </c>
      <c r="DY109" s="138">
        <f t="shared" si="1071"/>
        <v>0</v>
      </c>
    </row>
    <row r="110" spans="1:129" x14ac:dyDescent="0.45">
      <c r="A110" s="72"/>
      <c r="B110" s="73"/>
      <c r="C110" s="139" t="s">
        <v>275</v>
      </c>
      <c r="D110" s="137"/>
      <c r="E110" s="135"/>
      <c r="F110" s="135"/>
      <c r="G110" s="135"/>
      <c r="H110" s="135"/>
      <c r="I110" s="138">
        <f>SUM(I53+I57+I62+I66+I70+I74+I78+I83+I87+I91+I95+I99+I103+I107)</f>
        <v>0</v>
      </c>
      <c r="J110" s="138">
        <f t="shared" ref="J110:BU110" si="1072">SUM(J53+J57+J62+J66+J70+J74+J78+J83+J87+J91+J95+J99+J103+J107)</f>
        <v>0</v>
      </c>
      <c r="K110" s="138">
        <f t="shared" si="1072"/>
        <v>0</v>
      </c>
      <c r="L110" s="138">
        <f t="shared" si="1072"/>
        <v>0</v>
      </c>
      <c r="M110" s="138">
        <f t="shared" si="1072"/>
        <v>0</v>
      </c>
      <c r="N110" s="138">
        <f t="shared" si="1072"/>
        <v>0</v>
      </c>
      <c r="O110" s="138">
        <f t="shared" si="1072"/>
        <v>0</v>
      </c>
      <c r="P110" s="138">
        <f t="shared" si="1072"/>
        <v>0</v>
      </c>
      <c r="Q110" s="138">
        <f t="shared" si="1072"/>
        <v>0</v>
      </c>
      <c r="R110" s="138">
        <f t="shared" si="1072"/>
        <v>0</v>
      </c>
      <c r="S110" s="138">
        <f t="shared" si="1072"/>
        <v>0</v>
      </c>
      <c r="T110" s="138">
        <f t="shared" si="1072"/>
        <v>0</v>
      </c>
      <c r="U110" s="138">
        <f t="shared" si="1072"/>
        <v>0</v>
      </c>
      <c r="V110" s="138">
        <f t="shared" si="1072"/>
        <v>0</v>
      </c>
      <c r="W110" s="138">
        <f t="shared" si="1072"/>
        <v>0</v>
      </c>
      <c r="X110" s="138">
        <f t="shared" si="1072"/>
        <v>0</v>
      </c>
      <c r="Y110" s="138">
        <f t="shared" si="1072"/>
        <v>0</v>
      </c>
      <c r="Z110" s="138">
        <f t="shared" si="1072"/>
        <v>0</v>
      </c>
      <c r="AA110" s="138">
        <f t="shared" si="1072"/>
        <v>0</v>
      </c>
      <c r="AB110" s="138">
        <f t="shared" si="1072"/>
        <v>0</v>
      </c>
      <c r="AC110" s="138">
        <f t="shared" si="1072"/>
        <v>0</v>
      </c>
      <c r="AD110" s="138">
        <f t="shared" si="1072"/>
        <v>0</v>
      </c>
      <c r="AE110" s="138">
        <f t="shared" si="1072"/>
        <v>0</v>
      </c>
      <c r="AF110" s="138">
        <f t="shared" si="1072"/>
        <v>0</v>
      </c>
      <c r="AG110" s="138">
        <f t="shared" si="1072"/>
        <v>84896.427162000386</v>
      </c>
      <c r="AH110" s="138">
        <f t="shared" si="1072"/>
        <v>76130.284108104708</v>
      </c>
      <c r="AI110" s="138">
        <f t="shared" si="1072"/>
        <v>71648.373576003258</v>
      </c>
      <c r="AJ110" s="138">
        <f t="shared" si="1072"/>
        <v>67967.018545403218</v>
      </c>
      <c r="AK110" s="138">
        <f t="shared" si="1072"/>
        <v>64941.102923428181</v>
      </c>
      <c r="AL110" s="138">
        <f t="shared" si="1072"/>
        <v>62451.815702073662</v>
      </c>
      <c r="AM110" s="138">
        <f t="shared" si="1072"/>
        <v>60401.882655282214</v>
      </c>
      <c r="AN110" s="138">
        <f t="shared" si="1072"/>
        <v>58711.662382698742</v>
      </c>
      <c r="AO110" s="138">
        <f t="shared" si="1072"/>
        <v>57315.950020634358</v>
      </c>
      <c r="AP110" s="138">
        <f t="shared" si="1072"/>
        <v>56161.36034193667</v>
      </c>
      <c r="AQ110" s="138">
        <f t="shared" si="1072"/>
        <v>55204.185219375977</v>
      </c>
      <c r="AR110" s="138">
        <f t="shared" si="1072"/>
        <v>54408.639465029897</v>
      </c>
      <c r="AS110" s="138">
        <f t="shared" si="1072"/>
        <v>53745.424645041683</v>
      </c>
      <c r="AT110" s="138">
        <f t="shared" si="1072"/>
        <v>53190.553230595775</v>
      </c>
      <c r="AU110" s="138">
        <f t="shared" si="1072"/>
        <v>52724.385894160587</v>
      </c>
      <c r="AV110" s="138">
        <f t="shared" si="1072"/>
        <v>52330.843314316175</v>
      </c>
      <c r="AW110" s="138">
        <f t="shared" si="1072"/>
        <v>51996.760856127454</v>
      </c>
      <c r="AX110" s="138">
        <f t="shared" si="1072"/>
        <v>51711.36022812</v>
      </c>
      <c r="AY110" s="138">
        <f t="shared" si="1072"/>
        <v>51465.816911598049</v>
      </c>
      <c r="AZ110" s="138">
        <f t="shared" si="1072"/>
        <v>51252.906001724332</v>
      </c>
      <c r="BA110" s="138">
        <f t="shared" si="1072"/>
        <v>51066.71224672041</v>
      </c>
      <c r="BB110" s="138">
        <f t="shared" si="1072"/>
        <v>50902.392648043198</v>
      </c>
      <c r="BC110" s="138">
        <f t="shared" si="1072"/>
        <v>50755.982093848252</v>
      </c>
      <c r="BD110" s="138">
        <f t="shared" si="1072"/>
        <v>50624.234225129214</v>
      </c>
      <c r="BE110" s="138">
        <f t="shared" si="1072"/>
        <v>50504.491147931993</v>
      </c>
      <c r="BF110" s="138">
        <f t="shared" si="1072"/>
        <v>50394.576762737968</v>
      </c>
      <c r="BG110" s="138">
        <f t="shared" si="1072"/>
        <v>50292.709429949507</v>
      </c>
      <c r="BH110" s="138">
        <f t="shared" si="1072"/>
        <v>50197.430466437079</v>
      </c>
      <c r="BI110" s="138">
        <f t="shared" si="1072"/>
        <v>50107.545603463623</v>
      </c>
      <c r="BJ110" s="138">
        <f t="shared" si="1072"/>
        <v>50022.077056486589</v>
      </c>
      <c r="BK110" s="138">
        <f t="shared" si="1072"/>
        <v>49940.224283231124</v>
      </c>
      <c r="BL110" s="138">
        <f t="shared" si="1072"/>
        <v>49861.331855117714</v>
      </c>
      <c r="BM110" s="138">
        <f t="shared" si="1072"/>
        <v>49784.863152611797</v>
      </c>
      <c r="BN110" s="138">
        <f t="shared" si="1072"/>
        <v>49710.378828797773</v>
      </c>
      <c r="BO110" s="138">
        <f t="shared" si="1072"/>
        <v>49637.519176844558</v>
      </c>
      <c r="BP110" s="138">
        <f t="shared" si="1072"/>
        <v>49565.98969370743</v>
      </c>
      <c r="BQ110" s="138">
        <f t="shared" si="1072"/>
        <v>7397.5142606868321</v>
      </c>
      <c r="BR110" s="138">
        <f t="shared" si="1072"/>
        <v>7327.9654664882773</v>
      </c>
      <c r="BS110" s="138">
        <f t="shared" si="1072"/>
        <v>7259.1466844139695</v>
      </c>
      <c r="BT110" s="138">
        <f t="shared" si="1072"/>
        <v>7190.9255857158969</v>
      </c>
      <c r="BU110" s="138">
        <f t="shared" si="1072"/>
        <v>7123.1938287785579</v>
      </c>
      <c r="BV110" s="138">
        <f t="shared" ref="BV110:DY110" si="1073">SUM(BV53+BV57+BV62+BV66+BV70+BV74+BV78+BV83+BV87+BV91+BV95+BV99+BV103+BV107)</f>
        <v>7055.8627109894924</v>
      </c>
      <c r="BW110" s="138">
        <f t="shared" si="1073"/>
        <v>6988.8596087920059</v>
      </c>
      <c r="BX110" s="138">
        <f t="shared" si="1073"/>
        <v>6922.1250630468367</v>
      </c>
      <c r="BY110" s="138">
        <f t="shared" si="1073"/>
        <v>6855.6103927281156</v>
      </c>
      <c r="BZ110" s="138">
        <f t="shared" si="1073"/>
        <v>6789.2757411828725</v>
      </c>
      <c r="CA110" s="138">
        <f t="shared" si="1073"/>
        <v>6723.0884765436076</v>
      </c>
      <c r="CB110" s="138">
        <f t="shared" si="1073"/>
        <v>6657.0218820968712</v>
      </c>
      <c r="CC110" s="138">
        <f t="shared" si="1073"/>
        <v>3147.0507640477158</v>
      </c>
      <c r="CD110" s="138">
        <f t="shared" si="1073"/>
        <v>3081.1638536475884</v>
      </c>
      <c r="CE110" s="138">
        <f t="shared" si="1073"/>
        <v>3015.3431684532479</v>
      </c>
      <c r="CF110" s="138">
        <f t="shared" si="1073"/>
        <v>2949.5767038715153</v>
      </c>
      <c r="CG110" s="138">
        <f t="shared" si="1073"/>
        <v>2883.8546313727757</v>
      </c>
      <c r="CH110" s="138">
        <f t="shared" si="1073"/>
        <v>2818.1689040375745</v>
      </c>
      <c r="CI110" s="138">
        <f t="shared" si="1073"/>
        <v>2752.5129336054893</v>
      </c>
      <c r="CJ110" s="138">
        <f t="shared" si="1073"/>
        <v>2686.8813260650995</v>
      </c>
      <c r="CK110" s="138">
        <f t="shared" si="1073"/>
        <v>2621.2696651733768</v>
      </c>
      <c r="CL110" s="138">
        <f t="shared" si="1073"/>
        <v>2555.674335216338</v>
      </c>
      <c r="CM110" s="138">
        <f t="shared" si="1073"/>
        <v>2490.0923758977506</v>
      </c>
      <c r="CN110" s="138">
        <f t="shared" si="1073"/>
        <v>2424.5213635320524</v>
      </c>
      <c r="CO110" s="138">
        <f t="shared" si="1073"/>
        <v>2358.9593137733373</v>
      </c>
      <c r="CP110" s="138">
        <f t="shared" si="1073"/>
        <v>2293.404601976586</v>
      </c>
      <c r="CQ110" s="138">
        <f t="shared" si="1073"/>
        <v>2227.8558979949603</v>
      </c>
      <c r="CR110" s="138">
        <f t="shared" si="1073"/>
        <v>2162.3121127963368</v>
      </c>
      <c r="CS110" s="138">
        <f t="shared" si="1073"/>
        <v>2096.7723547566238</v>
      </c>
      <c r="CT110" s="138">
        <f t="shared" si="1073"/>
        <v>2031.2358938757598</v>
      </c>
      <c r="CU110" s="138">
        <f t="shared" si="1073"/>
        <v>1965.7021324802424</v>
      </c>
      <c r="CV110" s="138">
        <f t="shared" si="1073"/>
        <v>1900.1705812363957</v>
      </c>
      <c r="CW110" s="138">
        <f t="shared" si="1073"/>
        <v>1834.640839511691</v>
      </c>
      <c r="CX110" s="138">
        <f t="shared" si="1073"/>
        <v>1769.112579295956</v>
      </c>
      <c r="CY110" s="138">
        <f t="shared" si="1073"/>
        <v>1703.5855320371761</v>
      </c>
      <c r="CZ110" s="138">
        <f t="shared" si="1073"/>
        <v>1638.0594778635566</v>
      </c>
      <c r="DA110" s="138">
        <f t="shared" si="1073"/>
        <v>1572.5342367592991</v>
      </c>
      <c r="DB110" s="138">
        <f t="shared" si="1073"/>
        <v>1507.0096613399321</v>
      </c>
      <c r="DC110" s="138">
        <f t="shared" si="1073"/>
        <v>1441.4856309372569</v>
      </c>
      <c r="DD110" s="138">
        <f t="shared" si="1073"/>
        <v>1375.9620467565085</v>
      </c>
      <c r="DE110" s="138">
        <f t="shared" si="1073"/>
        <v>1310.4388279113737</v>
      </c>
      <c r="DF110" s="138">
        <f t="shared" si="1073"/>
        <v>1244.9159081777418</v>
      </c>
      <c r="DG110" s="138">
        <f t="shared" si="1073"/>
        <v>1179.3932333358953</v>
      </c>
      <c r="DH110" s="138">
        <f t="shared" si="1073"/>
        <v>1113.8707589944847</v>
      </c>
      <c r="DI110" s="138">
        <f t="shared" si="1073"/>
        <v>1048.3484488089471</v>
      </c>
      <c r="DJ110" s="138">
        <f t="shared" si="1073"/>
        <v>982.82627302287142</v>
      </c>
      <c r="DK110" s="138">
        <f t="shared" si="1073"/>
        <v>917.30420727376759</v>
      </c>
      <c r="DL110" s="138">
        <f t="shared" si="1073"/>
        <v>851.7822316153173</v>
      </c>
      <c r="DM110" s="138">
        <f t="shared" si="1073"/>
        <v>786.26032971685538</v>
      </c>
      <c r="DN110" s="138">
        <f t="shared" si="1073"/>
        <v>720.73848820796411</v>
      </c>
      <c r="DO110" s="138">
        <f t="shared" si="1073"/>
        <v>655.21669614187158</v>
      </c>
      <c r="DP110" s="138">
        <f t="shared" si="1073"/>
        <v>589.69494455611925</v>
      </c>
      <c r="DQ110" s="138">
        <f t="shared" si="1073"/>
        <v>524.1732261128659</v>
      </c>
      <c r="DR110" s="138">
        <f t="shared" si="1073"/>
        <v>458.65153480439579</v>
      </c>
      <c r="DS110" s="138">
        <f t="shared" si="1073"/>
        <v>393.12986571200742</v>
      </c>
      <c r="DT110" s="138">
        <f t="shared" si="1073"/>
        <v>327.60821480860807</v>
      </c>
      <c r="DU110" s="138">
        <f t="shared" si="1073"/>
        <v>262.08657879709364</v>
      </c>
      <c r="DV110" s="138">
        <f t="shared" si="1073"/>
        <v>196.56495497802328</v>
      </c>
      <c r="DW110" s="138">
        <f t="shared" si="1073"/>
        <v>131.04334114128181</v>
      </c>
      <c r="DX110" s="138">
        <f t="shared" si="1073"/>
        <v>65.521735477380005</v>
      </c>
      <c r="DY110" s="138">
        <f t="shared" si="1073"/>
        <v>0</v>
      </c>
    </row>
    <row r="111" spans="1:129" x14ac:dyDescent="0.45">
      <c r="A111" s="72"/>
      <c r="B111" s="73"/>
      <c r="C111" s="139" t="s">
        <v>274</v>
      </c>
      <c r="D111" s="137"/>
      <c r="E111" s="135"/>
      <c r="F111" s="135"/>
      <c r="G111" s="135"/>
      <c r="H111" s="135"/>
      <c r="I111" s="138">
        <f>SUM(I54+I58+I63+I67+I71+I75+I79+I84+I88+I92+I96+I100+I104+I108)</f>
        <v>0</v>
      </c>
      <c r="J111" s="138">
        <f t="shared" ref="J111:BU111" si="1074">SUM(J54+J58+J63+J67+J71+J75+J79+J84+J88+J92+J96+J100+J104+J108)</f>
        <v>0</v>
      </c>
      <c r="K111" s="138">
        <f t="shared" si="1074"/>
        <v>0</v>
      </c>
      <c r="L111" s="138">
        <f t="shared" si="1074"/>
        <v>0</v>
      </c>
      <c r="M111" s="138">
        <f t="shared" si="1074"/>
        <v>0</v>
      </c>
      <c r="N111" s="138">
        <f t="shared" si="1074"/>
        <v>0</v>
      </c>
      <c r="O111" s="138">
        <f t="shared" si="1074"/>
        <v>0</v>
      </c>
      <c r="P111" s="138">
        <f t="shared" si="1074"/>
        <v>0</v>
      </c>
      <c r="Q111" s="138">
        <f t="shared" si="1074"/>
        <v>0</v>
      </c>
      <c r="R111" s="138">
        <f t="shared" si="1074"/>
        <v>0</v>
      </c>
      <c r="S111" s="138">
        <f t="shared" si="1074"/>
        <v>0</v>
      </c>
      <c r="T111" s="138">
        <f t="shared" si="1074"/>
        <v>0</v>
      </c>
      <c r="U111" s="138">
        <f t="shared" si="1074"/>
        <v>0</v>
      </c>
      <c r="V111" s="138">
        <f t="shared" si="1074"/>
        <v>0</v>
      </c>
      <c r="W111" s="138">
        <f t="shared" si="1074"/>
        <v>0</v>
      </c>
      <c r="X111" s="138">
        <f t="shared" si="1074"/>
        <v>0</v>
      </c>
      <c r="Y111" s="138">
        <f t="shared" si="1074"/>
        <v>0</v>
      </c>
      <c r="Z111" s="138">
        <f t="shared" si="1074"/>
        <v>0</v>
      </c>
      <c r="AA111" s="138">
        <f t="shared" si="1074"/>
        <v>0</v>
      </c>
      <c r="AB111" s="138">
        <f t="shared" si="1074"/>
        <v>0</v>
      </c>
      <c r="AC111" s="138">
        <f t="shared" si="1074"/>
        <v>0</v>
      </c>
      <c r="AD111" s="138">
        <f t="shared" si="1074"/>
        <v>0</v>
      </c>
      <c r="AE111" s="138">
        <f t="shared" si="1074"/>
        <v>0</v>
      </c>
      <c r="AF111" s="138">
        <f t="shared" si="1074"/>
        <v>0</v>
      </c>
      <c r="AG111" s="138">
        <f t="shared" si="1074"/>
        <v>0</v>
      </c>
      <c r="AH111" s="138">
        <f t="shared" si="1074"/>
        <v>0</v>
      </c>
      <c r="AI111" s="138">
        <f t="shared" si="1074"/>
        <v>0</v>
      </c>
      <c r="AJ111" s="138">
        <f t="shared" si="1074"/>
        <v>0</v>
      </c>
      <c r="AK111" s="138">
        <f t="shared" si="1074"/>
        <v>0</v>
      </c>
      <c r="AL111" s="138">
        <f t="shared" si="1074"/>
        <v>0</v>
      </c>
      <c r="AM111" s="138">
        <f t="shared" si="1074"/>
        <v>0</v>
      </c>
      <c r="AN111" s="138">
        <f t="shared" si="1074"/>
        <v>0</v>
      </c>
      <c r="AO111" s="138">
        <f t="shared" si="1074"/>
        <v>0</v>
      </c>
      <c r="AP111" s="138">
        <f t="shared" si="1074"/>
        <v>0</v>
      </c>
      <c r="AQ111" s="138">
        <f t="shared" si="1074"/>
        <v>0</v>
      </c>
      <c r="AR111" s="138">
        <f t="shared" si="1074"/>
        <v>0</v>
      </c>
      <c r="AS111" s="138">
        <f t="shared" si="1074"/>
        <v>152362.83183457743</v>
      </c>
      <c r="AT111" s="138">
        <f t="shared" si="1074"/>
        <v>141439.36831049656</v>
      </c>
      <c r="AU111" s="138">
        <f t="shared" si="1074"/>
        <v>135646.44944749729</v>
      </c>
      <c r="AV111" s="138">
        <f t="shared" si="1074"/>
        <v>130812.22872546814</v>
      </c>
      <c r="AW111" s="138">
        <f t="shared" si="1074"/>
        <v>126762.92365436992</v>
      </c>
      <c r="AX111" s="138">
        <f t="shared" si="1074"/>
        <v>123356.25316526102</v>
      </c>
      <c r="AY111" s="138">
        <f t="shared" si="1074"/>
        <v>120475.72737141828</v>
      </c>
      <c r="AZ111" s="138">
        <f t="shared" si="1074"/>
        <v>118025.97242015871</v>
      </c>
      <c r="BA111" s="138">
        <f t="shared" si="1074"/>
        <v>115928.90280525127</v>
      </c>
      <c r="BB111" s="138">
        <f t="shared" si="1074"/>
        <v>114120.58752137508</v>
      </c>
      <c r="BC111" s="138">
        <f t="shared" si="1074"/>
        <v>112548.68428839857</v>
      </c>
      <c r="BD111" s="138">
        <f t="shared" si="1074"/>
        <v>111170.33887189183</v>
      </c>
      <c r="BE111" s="138">
        <f t="shared" si="1074"/>
        <v>109950.46519222757</v>
      </c>
      <c r="BF111" s="138">
        <f t="shared" si="1074"/>
        <v>108860.33719700994</v>
      </c>
      <c r="BG111" s="138">
        <f t="shared" si="1074"/>
        <v>107876.43598372786</v>
      </c>
      <c r="BH111" s="138">
        <f t="shared" si="1074"/>
        <v>106979.50590361693</v>
      </c>
      <c r="BI111" s="138">
        <f t="shared" si="1074"/>
        <v>106153.78176486338</v>
      </c>
      <c r="BJ111" s="138">
        <f t="shared" si="1074"/>
        <v>105386.35612010078</v>
      </c>
      <c r="BK111" s="138">
        <f t="shared" si="1074"/>
        <v>104666.66124522686</v>
      </c>
      <c r="BL111" s="138">
        <f t="shared" si="1074"/>
        <v>103986.04501952887</v>
      </c>
      <c r="BM111" s="138">
        <f t="shared" si="1074"/>
        <v>103337.42368569989</v>
      </c>
      <c r="BN111" s="138">
        <f t="shared" si="1074"/>
        <v>102714.99755378552</v>
      </c>
      <c r="BO111" s="138">
        <f t="shared" si="1074"/>
        <v>102114.01823926171</v>
      </c>
      <c r="BP111" s="138">
        <f t="shared" si="1074"/>
        <v>101530.59809369127</v>
      </c>
      <c r="BQ111" s="138">
        <f t="shared" si="1074"/>
        <v>30656.519179741328</v>
      </c>
      <c r="BR111" s="138">
        <f t="shared" si="1074"/>
        <v>30099.245528732543</v>
      </c>
      <c r="BS111" s="138">
        <f t="shared" si="1074"/>
        <v>29551.608553965485</v>
      </c>
      <c r="BT111" s="138">
        <f t="shared" si="1074"/>
        <v>29011.861422394966</v>
      </c>
      <c r="BU111" s="138">
        <f t="shared" si="1074"/>
        <v>28478.573948086425</v>
      </c>
      <c r="BV111" s="138">
        <f t="shared" ref="BV111:DY111" si="1075">SUM(BV54+BV58+BV63+BV67+BV71+BV75+BV79+BV84+BV88+BV92+BV96+BV100+BV104+BV108)</f>
        <v>27950.57519383261</v>
      </c>
      <c r="BW111" s="138">
        <f t="shared" si="1075"/>
        <v>27426.906477332017</v>
      </c>
      <c r="BX111" s="138">
        <f t="shared" si="1075"/>
        <v>26906.782895901983</v>
      </c>
      <c r="BY111" s="138">
        <f t="shared" si="1075"/>
        <v>26389.561825578021</v>
      </c>
      <c r="BZ111" s="138">
        <f t="shared" si="1075"/>
        <v>25874.71713035776</v>
      </c>
      <c r="CA111" s="138">
        <f t="shared" si="1075"/>
        <v>25361.818046515738</v>
      </c>
      <c r="CB111" s="138">
        <f t="shared" si="1075"/>
        <v>24850.511894542618</v>
      </c>
      <c r="CC111" s="138">
        <f t="shared" si="1075"/>
        <v>24223.954064878122</v>
      </c>
      <c r="CD111" s="138">
        <f t="shared" si="1075"/>
        <v>23715.019869377335</v>
      </c>
      <c r="CE111" s="138">
        <f t="shared" si="1075"/>
        <v>23206.95989342171</v>
      </c>
      <c r="CF111" s="138">
        <f t="shared" si="1075"/>
        <v>22699.615667892664</v>
      </c>
      <c r="CG111" s="138">
        <f t="shared" si="1075"/>
        <v>22192.857449249357</v>
      </c>
      <c r="CH111" s="138">
        <f t="shared" si="1075"/>
        <v>21686.57901246495</v>
      </c>
      <c r="CI111" s="138">
        <f t="shared" si="1075"/>
        <v>21180.693387843166</v>
      </c>
      <c r="CJ111" s="138">
        <f t="shared" si="1075"/>
        <v>20675.129370619128</v>
      </c>
      <c r="CK111" s="138">
        <f t="shared" si="1075"/>
        <v>20169.828663262029</v>
      </c>
      <c r="CL111" s="138">
        <f t="shared" si="1075"/>
        <v>19664.743535790592</v>
      </c>
      <c r="CM111" s="138">
        <f t="shared" si="1075"/>
        <v>19159.834910201287</v>
      </c>
      <c r="CN111" s="138">
        <f t="shared" si="1075"/>
        <v>18655.070792130846</v>
      </c>
      <c r="CO111" s="138">
        <f t="shared" si="1075"/>
        <v>18150.424986810165</v>
      </c>
      <c r="CP111" s="138">
        <f t="shared" si="1075"/>
        <v>17645.876047776193</v>
      </c>
      <c r="CQ111" s="138">
        <f t="shared" si="1075"/>
        <v>17141.406416150083</v>
      </c>
      <c r="CR111" s="138">
        <f t="shared" si="1075"/>
        <v>16637.001715937738</v>
      </c>
      <c r="CS111" s="138">
        <f t="shared" si="1075"/>
        <v>16132.65017707068</v>
      </c>
      <c r="CT111" s="138">
        <f t="shared" si="1075"/>
        <v>15628.342163031886</v>
      </c>
      <c r="CU111" s="138">
        <f t="shared" si="1075"/>
        <v>15124.069784108515</v>
      </c>
      <c r="CV111" s="138">
        <f t="shared" si="1075"/>
        <v>14619.826580750032</v>
      </c>
      <c r="CW111" s="138">
        <f t="shared" si="1075"/>
        <v>14115.607264323753</v>
      </c>
      <c r="CX111" s="138">
        <f t="shared" si="1075"/>
        <v>13611.407504863473</v>
      </c>
      <c r="CY111" s="138">
        <f t="shared" si="1075"/>
        <v>13107.223757292693</v>
      </c>
      <c r="CZ111" s="138">
        <f t="shared" si="1075"/>
        <v>12603.053119148261</v>
      </c>
      <c r="DA111" s="138">
        <f t="shared" si="1075"/>
        <v>12098.893214094334</v>
      </c>
      <c r="DB111" s="138">
        <f t="shared" si="1075"/>
        <v>11594.742096551676</v>
      </c>
      <c r="DC111" s="138">
        <f t="shared" si="1075"/>
        <v>11090.598173614744</v>
      </c>
      <c r="DD111" s="138">
        <f t="shared" si="1075"/>
        <v>10586.460141122774</v>
      </c>
      <c r="DE111" s="138">
        <f t="shared" si="1075"/>
        <v>10082.326931319238</v>
      </c>
      <c r="DF111" s="138">
        <f t="shared" si="1075"/>
        <v>9578.1976699990482</v>
      </c>
      <c r="DG111" s="138">
        <f t="shared" si="1075"/>
        <v>9074.0716414235849</v>
      </c>
      <c r="DH111" s="138">
        <f t="shared" si="1075"/>
        <v>8569.9482595956579</v>
      </c>
      <c r="DI111" s="138">
        <f t="shared" si="1075"/>
        <v>8065.8270447413315</v>
      </c>
      <c r="DJ111" s="138">
        <f t="shared" si="1075"/>
        <v>7561.7076040549318</v>
      </c>
      <c r="DK111" s="138">
        <f t="shared" si="1075"/>
        <v>7057.5896159343783</v>
      </c>
      <c r="DL111" s="138">
        <f t="shared" si="1075"/>
        <v>6553.47281707415</v>
      </c>
      <c r="DM111" s="138">
        <f t="shared" si="1075"/>
        <v>6049.3569918979256</v>
      </c>
      <c r="DN111" s="138">
        <f t="shared" si="1075"/>
        <v>5545.2419639067366</v>
      </c>
      <c r="DO111" s="138">
        <f t="shared" si="1075"/>
        <v>5041.1275885954547</v>
      </c>
      <c r="DP111" s="138">
        <f t="shared" si="1075"/>
        <v>4537.0137476532836</v>
      </c>
      <c r="DQ111" s="138">
        <f t="shared" si="1075"/>
        <v>4032.9003442155376</v>
      </c>
      <c r="DR111" s="138">
        <f t="shared" si="1075"/>
        <v>3528.7872989761181</v>
      </c>
      <c r="DS111" s="138">
        <f t="shared" si="1075"/>
        <v>3024.6745470046844</v>
      </c>
      <c r="DT111" s="138">
        <f t="shared" si="1075"/>
        <v>2520.5620351407692</v>
      </c>
      <c r="DU111" s="138">
        <f t="shared" si="1075"/>
        <v>2016.4497198602648</v>
      </c>
      <c r="DV111" s="138">
        <f t="shared" si="1075"/>
        <v>1512.3375655286436</v>
      </c>
      <c r="DW111" s="138">
        <f t="shared" si="1075"/>
        <v>1008.2255429708222</v>
      </c>
      <c r="DX111" s="138">
        <f t="shared" si="1075"/>
        <v>504.11362830026377</v>
      </c>
      <c r="DY111" s="138">
        <f t="shared" si="1075"/>
        <v>0</v>
      </c>
    </row>
    <row r="112" spans="1:129" x14ac:dyDescent="0.45">
      <c r="A112" s="72">
        <v>46022</v>
      </c>
      <c r="B112" s="73" t="s">
        <v>19</v>
      </c>
      <c r="C112" s="74" t="s">
        <v>31</v>
      </c>
      <c r="D112" s="75"/>
      <c r="E112" s="54"/>
      <c r="F112" s="54"/>
      <c r="G112" s="54"/>
      <c r="H112" s="54"/>
      <c r="I112" s="82">
        <f>I80+I72+I68+I59+I50+I76</f>
        <v>155592.33199999999</v>
      </c>
      <c r="J112" s="82">
        <f t="shared" ref="J112:BU112" si="1076">J80+J72+J68+J59+J50+J76</f>
        <v>148452.67632165065</v>
      </c>
      <c r="K112" s="82">
        <f t="shared" si="1076"/>
        <v>144610.37198498996</v>
      </c>
      <c r="L112" s="82">
        <f t="shared" si="1076"/>
        <v>141348.89320889805</v>
      </c>
      <c r="M112" s="82">
        <f t="shared" si="1076"/>
        <v>138562.95418141759</v>
      </c>
      <c r="N112" s="82">
        <f t="shared" si="1076"/>
        <v>136355.37417043629</v>
      </c>
      <c r="O112" s="82">
        <f t="shared" si="1076"/>
        <v>134655.57798563596</v>
      </c>
      <c r="P112" s="82">
        <f t="shared" si="1076"/>
        <v>133216.76354829883</v>
      </c>
      <c r="Q112" s="82">
        <f t="shared" si="1076"/>
        <v>131991.62289360183</v>
      </c>
      <c r="R112" s="82">
        <f t="shared" si="1076"/>
        <v>130941.42353587883</v>
      </c>
      <c r="S112" s="82">
        <f t="shared" si="1076"/>
        <v>130034.45399797175</v>
      </c>
      <c r="T112" s="82">
        <f t="shared" si="1076"/>
        <v>129244.75111830582</v>
      </c>
      <c r="U112" s="82">
        <f t="shared" si="1076"/>
        <v>147634.82560000001</v>
      </c>
      <c r="V112" s="82">
        <f t="shared" si="1076"/>
        <v>142656.15444242599</v>
      </c>
      <c r="W112" s="82">
        <f t="shared" si="1076"/>
        <v>139878.67333440561</v>
      </c>
      <c r="X112" s="82">
        <f t="shared" si="1076"/>
        <v>137553.17400035015</v>
      </c>
      <c r="Y112" s="82">
        <f t="shared" si="1076"/>
        <v>135597.7260444705</v>
      </c>
      <c r="Z112" s="82">
        <f t="shared" si="1076"/>
        <v>133945.25053212227</v>
      </c>
      <c r="AA112" s="82">
        <f t="shared" si="1076"/>
        <v>132540.82787662841</v>
      </c>
      <c r="AB112" s="82">
        <f t="shared" si="1076"/>
        <v>131339.49372343006</v>
      </c>
      <c r="AC112" s="82">
        <f t="shared" si="1076"/>
        <v>130304.43437265762</v>
      </c>
      <c r="AD112" s="82">
        <f t="shared" si="1076"/>
        <v>129405.5093160932</v>
      </c>
      <c r="AE112" s="82">
        <f t="shared" si="1076"/>
        <v>128618.04159274549</v>
      </c>
      <c r="AF112" s="82">
        <f t="shared" si="1076"/>
        <v>127921.82741575834</v>
      </c>
      <c r="AG112" s="82">
        <f t="shared" si="1076"/>
        <v>93343.313365504349</v>
      </c>
      <c r="AH112" s="82">
        <f t="shared" si="1076"/>
        <v>84028.361267418353</v>
      </c>
      <c r="AI112" s="82">
        <f t="shared" si="1076"/>
        <v>79047.722699204067</v>
      </c>
      <c r="AJ112" s="82">
        <f t="shared" si="1076"/>
        <v>74908.642493949417</v>
      </c>
      <c r="AK112" s="82">
        <f t="shared" si="1076"/>
        <v>71458.57200095983</v>
      </c>
      <c r="AL112" s="82">
        <f t="shared" si="1076"/>
        <v>68572.61494857099</v>
      </c>
      <c r="AM112" s="82">
        <f t="shared" si="1076"/>
        <v>66148.514918226676</v>
      </c>
      <c r="AN112" s="82">
        <f t="shared" si="1076"/>
        <v>64102.551435355177</v>
      </c>
      <c r="AO112" s="82">
        <f t="shared" si="1076"/>
        <v>62366.179972762446</v>
      </c>
      <c r="AP112" s="82">
        <f t="shared" si="1076"/>
        <v>60883.28101807947</v>
      </c>
      <c r="AQ112" s="82">
        <f t="shared" si="1076"/>
        <v>59607.907800682005</v>
      </c>
      <c r="AR112" s="82">
        <f t="shared" si="1076"/>
        <v>58502.442286455371</v>
      </c>
      <c r="AS112" s="82">
        <f t="shared" si="1076"/>
        <v>138160.81320857699</v>
      </c>
      <c r="AT112" s="82">
        <f t="shared" si="1076"/>
        <v>126400.55814764202</v>
      </c>
      <c r="AU112" s="82">
        <f t="shared" si="1076"/>
        <v>119864.09507235089</v>
      </c>
      <c r="AV112" s="82">
        <f t="shared" si="1076"/>
        <v>114362.67459029112</v>
      </c>
      <c r="AW112" s="82">
        <f t="shared" si="1076"/>
        <v>109708.67531005549</v>
      </c>
      <c r="AX112" s="82">
        <f t="shared" si="1076"/>
        <v>105748.48582856357</v>
      </c>
      <c r="AY112" s="82">
        <f t="shared" si="1076"/>
        <v>102356.33976608998</v>
      </c>
      <c r="AZ112" s="82">
        <f t="shared" si="1076"/>
        <v>99429.268319850235</v>
      </c>
      <c r="BA112" s="82">
        <f t="shared" si="1076"/>
        <v>96882.967764397079</v>
      </c>
      <c r="BB112" s="82">
        <f t="shared" si="1076"/>
        <v>94648.416047107821</v>
      </c>
      <c r="BC112" s="82">
        <f t="shared" si="1076"/>
        <v>92669.102690859698</v>
      </c>
      <c r="BD112" s="82">
        <f t="shared" si="1076"/>
        <v>90898.760830161104</v>
      </c>
      <c r="BE112" s="82">
        <f t="shared" si="1076"/>
        <v>89299.510359385677</v>
      </c>
      <c r="BF112" s="82">
        <f t="shared" si="1076"/>
        <v>87840.33767112717</v>
      </c>
      <c r="BG112" s="82">
        <f t="shared" si="1076"/>
        <v>86495.850971238251</v>
      </c>
      <c r="BH112" s="82">
        <f t="shared" si="1076"/>
        <v>85245.261216974643</v>
      </c>
      <c r="BI112" s="82">
        <f t="shared" si="1076"/>
        <v>84071.547779714558</v>
      </c>
      <c r="BJ112" s="82">
        <f t="shared" si="1076"/>
        <v>82960.775347368675</v>
      </c>
      <c r="BK112" s="82">
        <f t="shared" si="1076"/>
        <v>81901.534651375609</v>
      </c>
      <c r="BL112" s="82">
        <f t="shared" si="1076"/>
        <v>80884.484572694157</v>
      </c>
      <c r="BM112" s="82">
        <f t="shared" si="1076"/>
        <v>79901.977249897085</v>
      </c>
      <c r="BN112" s="82">
        <f t="shared" si="1076"/>
        <v>78947.751143638554</v>
      </c>
      <c r="BO112" s="82">
        <f t="shared" si="1076"/>
        <v>78016.679739094616</v>
      </c>
      <c r="BP112" s="82">
        <f t="shared" si="1076"/>
        <v>77104.565800922777</v>
      </c>
      <c r="BQ112" s="82">
        <f t="shared" si="1076"/>
        <v>50036.007923470213</v>
      </c>
      <c r="BR112" s="82">
        <f t="shared" si="1076"/>
        <v>49152.122615748885</v>
      </c>
      <c r="BS112" s="82">
        <f t="shared" si="1076"/>
        <v>48278.641386163436</v>
      </c>
      <c r="BT112" s="82">
        <f t="shared" si="1076"/>
        <v>47413.678295305224</v>
      </c>
      <c r="BU112" s="82">
        <f t="shared" si="1076"/>
        <v>46555.68926658202</v>
      </c>
      <c r="BV112" s="82">
        <f t="shared" ref="BV112:DY112" si="1077">BV80+BV72+BV68+BV59+BV50+BV76</f>
        <v>45703.410117002604</v>
      </c>
      <c r="BW112" s="82">
        <f t="shared" si="1077"/>
        <v>44855.805821074573</v>
      </c>
      <c r="BX112" s="82">
        <f t="shared" si="1077"/>
        <v>44012.028971597036</v>
      </c>
      <c r="BY112" s="82">
        <f t="shared" si="1077"/>
        <v>43171.385770234345</v>
      </c>
      <c r="BZ112" s="82">
        <f t="shared" si="1077"/>
        <v>42333.308182952525</v>
      </c>
      <c r="CA112" s="82">
        <f t="shared" si="1077"/>
        <v>41497.331142819334</v>
      </c>
      <c r="CB112" s="82">
        <f t="shared" si="1077"/>
        <v>40663.073885234931</v>
      </c>
      <c r="CC112" s="82">
        <f t="shared" si="1077"/>
        <v>39700.224666511866</v>
      </c>
      <c r="CD112" s="82">
        <f t="shared" si="1077"/>
        <v>38868.528252506127</v>
      </c>
      <c r="CE112" s="82">
        <f t="shared" si="1077"/>
        <v>38037.775675174707</v>
      </c>
      <c r="CF112" s="82">
        <f t="shared" si="1077"/>
        <v>37207.795845954453</v>
      </c>
      <c r="CG112" s="82">
        <f t="shared" si="1077"/>
        <v>36378.448689377226</v>
      </c>
      <c r="CH112" s="82">
        <f t="shared" si="1077"/>
        <v>35549.619521349436</v>
      </c>
      <c r="CI112" s="82">
        <f t="shared" si="1077"/>
        <v>34721.21444647685</v>
      </c>
      <c r="CJ112" s="82">
        <f t="shared" si="1077"/>
        <v>33893.156589712555</v>
      </c>
      <c r="CK112" s="82">
        <f t="shared" si="1077"/>
        <v>33065.383011091573</v>
      </c>
      <c r="CL112" s="82">
        <f t="shared" si="1077"/>
        <v>32237.842179728945</v>
      </c>
      <c r="CM112" s="82">
        <f t="shared" si="1077"/>
        <v>31410.491905704417</v>
      </c>
      <c r="CN112" s="82">
        <f t="shared" si="1077"/>
        <v>30583.297646832827</v>
      </c>
      <c r="CO112" s="82">
        <f t="shared" si="1077"/>
        <v>29756.231122364887</v>
      </c>
      <c r="CP112" s="82">
        <f t="shared" si="1077"/>
        <v>28929.269177981441</v>
      </c>
      <c r="CQ112" s="82">
        <f t="shared" si="1077"/>
        <v>28102.392856529332</v>
      </c>
      <c r="CR112" s="82">
        <f t="shared" si="1077"/>
        <v>27275.58663720428</v>
      </c>
      <c r="CS112" s="82">
        <f t="shared" si="1077"/>
        <v>26448.83781264651</v>
      </c>
      <c r="CT112" s="82">
        <f t="shared" si="1077"/>
        <v>25622.135978949758</v>
      </c>
      <c r="CU112" s="82">
        <f t="shared" si="1077"/>
        <v>24795.472618116062</v>
      </c>
      <c r="CV112" s="82">
        <f t="shared" si="1077"/>
        <v>23968.84075619849</v>
      </c>
      <c r="CW112" s="82">
        <f t="shared" si="1077"/>
        <v>23142.234683412244</v>
      </c>
      <c r="CX112" s="82">
        <f t="shared" si="1077"/>
        <v>22315.649724980914</v>
      </c>
      <c r="CY112" s="82">
        <f t="shared" si="1077"/>
        <v>21489.082053521277</v>
      </c>
      <c r="CZ112" s="82">
        <f t="shared" si="1077"/>
        <v>20662.528535436999</v>
      </c>
      <c r="DA112" s="82">
        <f t="shared" si="1077"/>
        <v>19835.986605156377</v>
      </c>
      <c r="DB112" s="82">
        <f t="shared" si="1077"/>
        <v>19009.454162166981</v>
      </c>
      <c r="DC112" s="82">
        <f t="shared" si="1077"/>
        <v>18182.929486714671</v>
      </c>
      <c r="DD112" s="82">
        <f t="shared" si="1077"/>
        <v>17356.411170783849</v>
      </c>
      <c r="DE112" s="82">
        <f t="shared" si="1077"/>
        <v>16529.898061588843</v>
      </c>
      <c r="DF112" s="82">
        <f t="shared" si="1077"/>
        <v>15703.389215308569</v>
      </c>
      <c r="DG112" s="82">
        <f t="shared" si="1077"/>
        <v>14876.883859207694</v>
      </c>
      <c r="DH112" s="82">
        <f t="shared" si="1077"/>
        <v>14050.381360624015</v>
      </c>
      <c r="DI112" s="82">
        <f t="shared" si="1077"/>
        <v>13223.881201577555</v>
      </c>
      <c r="DJ112" s="82">
        <f t="shared" si="1077"/>
        <v>12397.382957982152</v>
      </c>
      <c r="DK112" s="82">
        <f t="shared" si="1077"/>
        <v>11570.886282625439</v>
      </c>
      <c r="DL112" s="82">
        <f t="shared" si="1077"/>
        <v>10744.390891233976</v>
      </c>
      <c r="DM112" s="82">
        <f t="shared" si="1077"/>
        <v>9917.8965510643375</v>
      </c>
      <c r="DN112" s="82">
        <f t="shared" si="1077"/>
        <v>9091.4030715623448</v>
      </c>
      <c r="DO112" s="82">
        <f t="shared" si="1077"/>
        <v>8264.9102967154195</v>
      </c>
      <c r="DP112" s="82">
        <f t="shared" si="1077"/>
        <v>7438.418098791265</v>
      </c>
      <c r="DQ112" s="82">
        <f t="shared" si="1077"/>
        <v>6611.9263732115296</v>
      </c>
      <c r="DR112" s="82">
        <f t="shared" si="1077"/>
        <v>5785.4350343546912</v>
      </c>
      <c r="DS112" s="82">
        <f t="shared" si="1077"/>
        <v>4958.9440121197858</v>
      </c>
      <c r="DT112" s="82">
        <f t="shared" si="1077"/>
        <v>4132.453249112993</v>
      </c>
      <c r="DU112" s="82">
        <f t="shared" si="1077"/>
        <v>3305.9626983442263</v>
      </c>
      <c r="DV112" s="82">
        <f t="shared" si="1077"/>
        <v>2479.4723213412594</v>
      </c>
      <c r="DW112" s="82">
        <f t="shared" si="1077"/>
        <v>1652.9820866056978</v>
      </c>
      <c r="DX112" s="82">
        <f t="shared" si="1077"/>
        <v>826.49196834883492</v>
      </c>
      <c r="DY112" s="82">
        <f t="shared" si="1077"/>
        <v>8.1505851700822597E-7</v>
      </c>
    </row>
    <row r="113" spans="1:129" s="60" customFormat="1" x14ac:dyDescent="0.45">
      <c r="A113" s="112" t="s">
        <v>277</v>
      </c>
      <c r="B113" s="112"/>
      <c r="C113" s="112"/>
      <c r="D113" s="112"/>
      <c r="E113" s="112"/>
      <c r="F113" s="76"/>
      <c r="G113" s="76" t="e">
        <f>G105-G64</f>
        <v>#VALUE!</v>
      </c>
      <c r="H113" s="76">
        <f t="shared" ref="H113" si="1078">H105-H64</f>
        <v>60</v>
      </c>
      <c r="I113" s="76">
        <f>I112+I109-I49-I46</f>
        <v>-5.5980000004637986E-2</v>
      </c>
      <c r="J113" s="76">
        <f t="shared" ref="J113:BU113" si="1079">J112+J109-J49-J46</f>
        <v>76641.374777652934</v>
      </c>
      <c r="K113" s="76">
        <f t="shared" si="1079"/>
        <v>80916.707410751085</v>
      </c>
      <c r="L113" s="76">
        <f t="shared" si="1079"/>
        <v>85786.08758260592</v>
      </c>
      <c r="M113" s="76">
        <f t="shared" si="1079"/>
        <v>91144.265021002444</v>
      </c>
      <c r="N113" s="76">
        <f t="shared" si="1079"/>
        <v>97094.094629138068</v>
      </c>
      <c r="O113" s="76">
        <f t="shared" si="1079"/>
        <v>103565.03694782875</v>
      </c>
      <c r="P113" s="76">
        <f t="shared" si="1079"/>
        <v>107129.28005890665</v>
      </c>
      <c r="Q113" s="76">
        <f t="shared" si="1079"/>
        <v>110920.59758777273</v>
      </c>
      <c r="R113" s="76">
        <f t="shared" si="1079"/>
        <v>114900.29306891843</v>
      </c>
      <c r="S113" s="76">
        <f t="shared" si="1079"/>
        <v>119036.69114220316</v>
      </c>
      <c r="T113" s="76">
        <f t="shared" si="1079"/>
        <v>118268.72343835418</v>
      </c>
      <c r="U113" s="76">
        <f t="shared" si="1079"/>
        <v>189230.79785786037</v>
      </c>
      <c r="V113" s="76">
        <f t="shared" si="1079"/>
        <v>180120.50045601782</v>
      </c>
      <c r="W113" s="76">
        <f t="shared" si="1079"/>
        <v>175349.1107623796</v>
      </c>
      <c r="X113" s="76">
        <f t="shared" si="1079"/>
        <v>171429.88179859705</v>
      </c>
      <c r="Y113" s="76">
        <f t="shared" si="1079"/>
        <v>168208.50767321754</v>
      </c>
      <c r="Z113" s="76">
        <f t="shared" si="1079"/>
        <v>165558.65407217533</v>
      </c>
      <c r="AA113" s="76">
        <f t="shared" si="1079"/>
        <v>163376.88787470668</v>
      </c>
      <c r="AB113" s="76">
        <f t="shared" si="1079"/>
        <v>161578.52587398016</v>
      </c>
      <c r="AC113" s="76">
        <f t="shared" si="1079"/>
        <v>160094.23599702341</v>
      </c>
      <c r="AD113" s="76">
        <f t="shared" si="1079"/>
        <v>158867.25461896454</v>
      </c>
      <c r="AE113" s="76">
        <f t="shared" si="1079"/>
        <v>157851.10829263687</v>
      </c>
      <c r="AF113" s="76">
        <f t="shared" si="1079"/>
        <v>157007.74845855345</v>
      </c>
      <c r="AG113" s="76">
        <f t="shared" si="1079"/>
        <v>101524.77463808919</v>
      </c>
      <c r="AH113" s="76">
        <f t="shared" si="1079"/>
        <v>92289.045495434606</v>
      </c>
      <c r="AI113" s="76">
        <f t="shared" si="1079"/>
        <v>87433.192279631941</v>
      </c>
      <c r="AJ113" s="76">
        <f t="shared" si="1079"/>
        <v>83456.445320570288</v>
      </c>
      <c r="AK113" s="76">
        <f t="shared" si="1079"/>
        <v>80199.695234577259</v>
      </c>
      <c r="AL113" s="76">
        <f t="shared" si="1079"/>
        <v>77532.675267383995</v>
      </c>
      <c r="AM113" s="76">
        <f t="shared" si="1079"/>
        <v>75348.733016415863</v>
      </c>
      <c r="AN113" s="76">
        <f t="shared" si="1079"/>
        <v>73560.549879061698</v>
      </c>
      <c r="AO113" s="76">
        <f t="shared" si="1079"/>
        <v>72096.63643334854</v>
      </c>
      <c r="AP113" s="76">
        <f t="shared" si="1079"/>
        <v>70898.463098337932</v>
      </c>
      <c r="AQ113" s="76">
        <f t="shared" si="1079"/>
        <v>69918.110917568149</v>
      </c>
      <c r="AR113" s="76">
        <f t="shared" si="1079"/>
        <v>69116.348183228882</v>
      </c>
      <c r="AS113" s="76">
        <f t="shared" si="1079"/>
        <v>130973.62761787485</v>
      </c>
      <c r="AT113" s="76">
        <f t="shared" si="1079"/>
        <v>120251.38170432956</v>
      </c>
      <c r="AU113" s="76">
        <f t="shared" si="1079"/>
        <v>114761.1970966089</v>
      </c>
      <c r="AV113" s="76">
        <f t="shared" si="1079"/>
        <v>110313.61403964266</v>
      </c>
      <c r="AW113" s="76">
        <f t="shared" si="1079"/>
        <v>106720.43272982797</v>
      </c>
      <c r="AX113" s="76">
        <f t="shared" si="1079"/>
        <v>103827.5713966417</v>
      </c>
      <c r="AY113" s="76">
        <f t="shared" si="1079"/>
        <v>101508.88176538145</v>
      </c>
      <c r="AZ113" s="76">
        <f t="shared" si="1079"/>
        <v>99661.085586369809</v>
      </c>
      <c r="BA113" s="76">
        <f t="shared" si="1079"/>
        <v>98199.629015749131</v>
      </c>
      <c r="BB113" s="76">
        <f t="shared" si="1079"/>
        <v>97055.288469600084</v>
      </c>
      <c r="BC113" s="76">
        <f t="shared" si="1079"/>
        <v>96171.391732380755</v>
      </c>
      <c r="BD113" s="76">
        <f t="shared" si="1079"/>
        <v>95501.542792999171</v>
      </c>
      <c r="BE113" s="76">
        <f t="shared" si="1079"/>
        <v>95007.759098190974</v>
      </c>
      <c r="BF113" s="76">
        <f t="shared" si="1079"/>
        <v>94658.946464627646</v>
      </c>
      <c r="BG113" s="76">
        <f t="shared" si="1079"/>
        <v>94429.650442611965</v>
      </c>
      <c r="BH113" s="76">
        <f t="shared" si="1079"/>
        <v>94299.034019190047</v>
      </c>
      <c r="BI113" s="76">
        <f t="shared" si="1079"/>
        <v>94250.040632304168</v>
      </c>
      <c r="BJ113" s="76">
        <f t="shared" si="1079"/>
        <v>94268.708904794374</v>
      </c>
      <c r="BK113" s="76">
        <f t="shared" si="1079"/>
        <v>94343.611596105417</v>
      </c>
      <c r="BL113" s="76">
        <f t="shared" si="1079"/>
        <v>94465.396254850755</v>
      </c>
      <c r="BM113" s="76">
        <f t="shared" si="1079"/>
        <v>94626.409136994407</v>
      </c>
      <c r="BN113" s="76">
        <f t="shared" si="1079"/>
        <v>94820.387296156361</v>
      </c>
      <c r="BO113" s="76">
        <f t="shared" si="1079"/>
        <v>95042.206488531869</v>
      </c>
      <c r="BP113" s="76">
        <f t="shared" si="1079"/>
        <v>95287.674774951287</v>
      </c>
      <c r="BQ113" s="76">
        <f t="shared" si="1079"/>
        <v>57054.363536595301</v>
      </c>
      <c r="BR113" s="76">
        <f t="shared" si="1079"/>
        <v>56158.609352494364</v>
      </c>
      <c r="BS113" s="76">
        <f t="shared" si="1079"/>
        <v>55273.292277460154</v>
      </c>
      <c r="BT113" s="76">
        <f t="shared" si="1079"/>
        <v>54396.520384592084</v>
      </c>
      <c r="BU113" s="76">
        <f t="shared" si="1079"/>
        <v>53526.744695154084</v>
      </c>
      <c r="BV113" s="76">
        <f t="shared" ref="BV113:DY113" si="1080">BV112+BV109-BV49-BV46</f>
        <v>52662.697012619079</v>
      </c>
      <c r="BW113" s="76">
        <f t="shared" si="1080"/>
        <v>51803.339025489404</v>
      </c>
      <c r="BX113" s="76">
        <f t="shared" si="1080"/>
        <v>50947.820636210592</v>
      </c>
      <c r="BY113" s="76">
        <f t="shared" si="1080"/>
        <v>50095.445843771813</v>
      </c>
      <c r="BZ113" s="76">
        <f t="shared" si="1080"/>
        <v>49245.644810741171</v>
      </c>
      <c r="CA113" s="76">
        <f t="shared" si="1080"/>
        <v>48397.950993689075</v>
      </c>
      <c r="CB113" s="76">
        <f t="shared" si="1080"/>
        <v>47551.982419161905</v>
      </c>
      <c r="CC113" s="76">
        <f t="shared" si="1080"/>
        <v>40233.27535374646</v>
      </c>
      <c r="CD113" s="76">
        <f t="shared" si="1080"/>
        <v>39389.875752979795</v>
      </c>
      <c r="CE113" s="76">
        <f t="shared" si="1080"/>
        <v>38547.422985385907</v>
      </c>
      <c r="CF113" s="76">
        <f t="shared" si="1080"/>
        <v>37705.74541922861</v>
      </c>
      <c r="CG113" s="76">
        <f t="shared" si="1080"/>
        <v>36864.702534327298</v>
      </c>
      <c r="CH113" s="76">
        <f t="shared" si="1080"/>
        <v>36024.179282488643</v>
      </c>
      <c r="CI113" s="76">
        <f t="shared" si="1080"/>
        <v>35184.081470218734</v>
      </c>
      <c r="CJ113" s="76">
        <f t="shared" si="1080"/>
        <v>34344.331978407288</v>
      </c>
      <c r="CK113" s="76">
        <f t="shared" si="1080"/>
        <v>33504.867667267135</v>
      </c>
      <c r="CL113" s="76">
        <f t="shared" si="1080"/>
        <v>32665.636842312768</v>
      </c>
      <c r="CM113" s="76">
        <f t="shared" si="1080"/>
        <v>31826.597179679095</v>
      </c>
      <c r="CN113" s="76">
        <f t="shared" si="1080"/>
        <v>30987.71402751622</v>
      </c>
      <c r="CO113" s="76">
        <f t="shared" si="1080"/>
        <v>30176.959015288958</v>
      </c>
      <c r="CP113" s="76">
        <f t="shared" si="1080"/>
        <v>29338.308915167687</v>
      </c>
      <c r="CQ113" s="76">
        <f t="shared" si="1080"/>
        <v>28499.744709813956</v>
      </c>
      <c r="CR113" s="76">
        <f t="shared" si="1080"/>
        <v>27661.250829147943</v>
      </c>
      <c r="CS113" s="76">
        <f t="shared" si="1080"/>
        <v>26822.814525466471</v>
      </c>
      <c r="CT113" s="76">
        <f t="shared" si="1080"/>
        <v>25984.425361832888</v>
      </c>
      <c r="CU113" s="76">
        <f t="shared" si="1080"/>
        <v>25146.074793206244</v>
      </c>
      <c r="CV113" s="76">
        <f t="shared" si="1080"/>
        <v>24307.755823498668</v>
      </c>
      <c r="CW113" s="76">
        <f t="shared" si="1080"/>
        <v>23469.462724797919</v>
      </c>
      <c r="CX113" s="76">
        <f t="shared" si="1080"/>
        <v>22631.190807486069</v>
      </c>
      <c r="CY113" s="76">
        <f t="shared" si="1080"/>
        <v>21792.936232028689</v>
      </c>
      <c r="CZ113" s="76">
        <f t="shared" si="1080"/>
        <v>20954.695854880894</v>
      </c>
      <c r="DA113" s="76">
        <f t="shared" si="1080"/>
        <v>20116.467102325783</v>
      </c>
      <c r="DB113" s="76">
        <f t="shared" si="1080"/>
        <v>19278.24786718221</v>
      </c>
      <c r="DC113" s="76">
        <f t="shared" si="1080"/>
        <v>18440.036424236147</v>
      </c>
      <c r="DD113" s="76">
        <f t="shared" si="1080"/>
        <v>17601.831361001819</v>
      </c>
      <c r="DE113" s="76">
        <f t="shared" si="1080"/>
        <v>16763.63152103368</v>
      </c>
      <c r="DF113" s="76">
        <f t="shared" si="1080"/>
        <v>15925.435957514208</v>
      </c>
      <c r="DG113" s="76">
        <f t="shared" si="1080"/>
        <v>15087.243895254773</v>
      </c>
      <c r="DH113" s="76">
        <f t="shared" si="1080"/>
        <v>14249.054699584602</v>
      </c>
      <c r="DI113" s="76">
        <f t="shared" si="1080"/>
        <v>13410.867850879222</v>
      </c>
      <c r="DJ113" s="76">
        <f t="shared" si="1080"/>
        <v>12572.682923706088</v>
      </c>
      <c r="DK113" s="76">
        <f t="shared" si="1080"/>
        <v>11734.499569750495</v>
      </c>
      <c r="DL113" s="76">
        <f t="shared" si="1080"/>
        <v>10896.317503836493</v>
      </c>
      <c r="DM113" s="76">
        <f t="shared" si="1080"/>
        <v>10058.136492481744</v>
      </c>
      <c r="DN113" s="76">
        <f t="shared" si="1080"/>
        <v>9219.9563445270906</v>
      </c>
      <c r="DO113" s="76">
        <f t="shared" si="1080"/>
        <v>8381.7769034646481</v>
      </c>
      <c r="DP113" s="76">
        <f t="shared" si="1080"/>
        <v>7543.5980411565952</v>
      </c>
      <c r="DQ113" s="76">
        <f t="shared" si="1080"/>
        <v>6705.4196526925643</v>
      </c>
      <c r="DR113" s="76">
        <f t="shared" si="1080"/>
        <v>5867.2416521791993</v>
      </c>
      <c r="DS113" s="76">
        <f t="shared" si="1080"/>
        <v>5029.0639692929817</v>
      </c>
      <c r="DT113" s="76">
        <f t="shared" si="1080"/>
        <v>4190.886546457873</v>
      </c>
      <c r="DU113" s="76">
        <f t="shared" si="1080"/>
        <v>3352.7093365346077</v>
      </c>
      <c r="DV113" s="76">
        <f t="shared" si="1080"/>
        <v>2514.5323009288145</v>
      </c>
      <c r="DW113" s="76">
        <f t="shared" si="1080"/>
        <v>1676.3554080420972</v>
      </c>
      <c r="DX113" s="76">
        <f t="shared" si="1080"/>
        <v>838.17863200387626</v>
      </c>
      <c r="DY113" s="76">
        <f t="shared" si="1080"/>
        <v>8.1505851700822597E-7</v>
      </c>
    </row>
    <row r="114" spans="1:129" x14ac:dyDescent="0.45">
      <c r="A114" s="61"/>
      <c r="B114" s="61"/>
      <c r="C114" s="140" t="s">
        <v>278</v>
      </c>
      <c r="D114" s="61"/>
      <c r="E114" s="61"/>
      <c r="F114" s="62"/>
      <c r="I114" s="64">
        <f>I112+I110-I49-I47</f>
        <v>-5.5980000004637986E-2</v>
      </c>
      <c r="J114" s="64">
        <f t="shared" ref="J114:BU114" si="1081">J112+J110-J49-J47</f>
        <v>76648.107371950638</v>
      </c>
      <c r="K114" s="64">
        <f t="shared" si="1081"/>
        <v>80915.261721322502</v>
      </c>
      <c r="L114" s="64">
        <f t="shared" si="1081"/>
        <v>85786.08758260592</v>
      </c>
      <c r="M114" s="64">
        <f t="shared" si="1081"/>
        <v>91144.265021002444</v>
      </c>
      <c r="N114" s="64">
        <f t="shared" si="1081"/>
        <v>97094.094629138068</v>
      </c>
      <c r="O114" s="64">
        <f t="shared" si="1081"/>
        <v>103565.03694782875</v>
      </c>
      <c r="P114" s="64">
        <f t="shared" si="1081"/>
        <v>107129.28005890665</v>
      </c>
      <c r="Q114" s="64">
        <f t="shared" si="1081"/>
        <v>110920.59758777273</v>
      </c>
      <c r="R114" s="64">
        <f t="shared" si="1081"/>
        <v>114900.29306891843</v>
      </c>
      <c r="S114" s="64">
        <f t="shared" si="1081"/>
        <v>119036.69114220316</v>
      </c>
      <c r="T114" s="64">
        <f>T112+T110-T49-T47</f>
        <v>118268.72343835418</v>
      </c>
      <c r="U114" s="64">
        <f t="shared" si="1081"/>
        <v>139961.256632</v>
      </c>
      <c r="V114" s="64">
        <f t="shared" si="1081"/>
        <v>135111.07313391936</v>
      </c>
      <c r="W114" s="64">
        <f t="shared" si="1081"/>
        <v>132462.53334321838</v>
      </c>
      <c r="X114" s="64">
        <f t="shared" si="1081"/>
        <v>130266.43081568835</v>
      </c>
      <c r="Y114" s="64">
        <f t="shared" si="1081"/>
        <v>128440.83699431336</v>
      </c>
      <c r="Z114" s="64">
        <f t="shared" si="1081"/>
        <v>126918.67479064513</v>
      </c>
      <c r="AA114" s="64">
        <f t="shared" si="1081"/>
        <v>125645.02647165573</v>
      </c>
      <c r="AB114" s="64">
        <f t="shared" si="1081"/>
        <v>124574.92954391844</v>
      </c>
      <c r="AC114" s="64">
        <f t="shared" si="1081"/>
        <v>123671.57217620897</v>
      </c>
      <c r="AD114" s="64">
        <f t="shared" si="1081"/>
        <v>122904.81573649838</v>
      </c>
      <c r="AE114" s="64">
        <f t="shared" si="1081"/>
        <v>122249.98514755834</v>
      </c>
      <c r="AF114" s="64">
        <f t="shared" si="1081"/>
        <v>121686.87851390023</v>
      </c>
      <c r="AG114" s="64">
        <f t="shared" si="1081"/>
        <v>148178.92581585672</v>
      </c>
      <c r="AH114" s="64">
        <f t="shared" si="1081"/>
        <v>130511.02330913456</v>
      </c>
      <c r="AI114" s="64">
        <f t="shared" si="1081"/>
        <v>121445.4250959089</v>
      </c>
      <c r="AJ114" s="64">
        <f t="shared" si="1081"/>
        <v>114058.20375122598</v>
      </c>
      <c r="AK114" s="64">
        <f t="shared" si="1081"/>
        <v>107999.19994775621</v>
      </c>
      <c r="AL114" s="64">
        <f t="shared" si="1081"/>
        <v>103042.21142033394</v>
      </c>
      <c r="AM114" s="64">
        <f t="shared" si="1081"/>
        <v>98987.712665099112</v>
      </c>
      <c r="AN114" s="64">
        <f t="shared" si="1081"/>
        <v>95672.346968631347</v>
      </c>
      <c r="AO114" s="64">
        <f t="shared" si="1081"/>
        <v>92962.370122390712</v>
      </c>
      <c r="AP114" s="64">
        <f t="shared" si="1081"/>
        <v>90748.282590119547</v>
      </c>
      <c r="AQ114" s="64">
        <f t="shared" si="1081"/>
        <v>88940.43469823277</v>
      </c>
      <c r="AR114" s="64">
        <f t="shared" si="1081"/>
        <v>87465.428470052168</v>
      </c>
      <c r="AS114" s="64">
        <f t="shared" si="1081"/>
        <v>148775.74360548996</v>
      </c>
      <c r="AT114" s="64">
        <f t="shared" si="1081"/>
        <v>137609.91016568086</v>
      </c>
      <c r="AU114" s="64">
        <f t="shared" si="1081"/>
        <v>131760.76383969694</v>
      </c>
      <c r="AV114" s="64">
        <f t="shared" si="1081"/>
        <v>127023.49283263701</v>
      </c>
      <c r="AW114" s="64">
        <f t="shared" si="1081"/>
        <v>123197.32810539048</v>
      </c>
      <c r="AX114" s="64">
        <f t="shared" si="1081"/>
        <v>120117.89701921024</v>
      </c>
      <c r="AY114" s="64">
        <f t="shared" si="1081"/>
        <v>117650.62580033585</v>
      </c>
      <c r="AZ114" s="64">
        <f t="shared" si="1081"/>
        <v>115685.33793493705</v>
      </c>
      <c r="BA114" s="64">
        <f t="shared" si="1081"/>
        <v>114131.8317089897</v>
      </c>
      <c r="BB114" s="64">
        <f t="shared" si="1081"/>
        <v>112916.25940421967</v>
      </c>
      <c r="BC114" s="64">
        <f t="shared" si="1081"/>
        <v>111978.16283452291</v>
      </c>
      <c r="BD114" s="64">
        <f t="shared" si="1081"/>
        <v>111268.0462485185</v>
      </c>
      <c r="BE114" s="64">
        <f t="shared" si="1081"/>
        <v>110745.38919028066</v>
      </c>
      <c r="BF114" s="64">
        <f t="shared" si="1081"/>
        <v>110377.01956736151</v>
      </c>
      <c r="BG114" s="64">
        <f t="shared" si="1081"/>
        <v>110135.78163160125</v>
      </c>
      <c r="BH114" s="64">
        <f t="shared" si="1081"/>
        <v>109999.44541410659</v>
      </c>
      <c r="BI114" s="64">
        <f t="shared" si="1081"/>
        <v>109949.81384618263</v>
      </c>
      <c r="BJ114" s="64">
        <f t="shared" si="1081"/>
        <v>109971.99173183437</v>
      </c>
      <c r="BK114" s="64">
        <f t="shared" si="1081"/>
        <v>110053.78723312581</v>
      </c>
      <c r="BL114" s="64">
        <f t="shared" si="1081"/>
        <v>110185.22184789169</v>
      </c>
      <c r="BM114" s="64">
        <f t="shared" si="1081"/>
        <v>110358.12921347369</v>
      </c>
      <c r="BN114" s="64">
        <f t="shared" si="1081"/>
        <v>110565.82663505593</v>
      </c>
      <c r="BO114" s="64">
        <f t="shared" si="1081"/>
        <v>110802.84615586644</v>
      </c>
      <c r="BP114" s="64">
        <f t="shared" si="1081"/>
        <v>111064.71437613483</v>
      </c>
      <c r="BQ114" s="64">
        <f t="shared" si="1081"/>
        <v>43077.77218415706</v>
      </c>
      <c r="BR114" s="64">
        <f t="shared" si="1081"/>
        <v>42210.067248903826</v>
      </c>
      <c r="BS114" s="64">
        <f t="shared" si="1081"/>
        <v>41353.496403910744</v>
      </c>
      <c r="BT114" s="64">
        <f t="shared" si="1081"/>
        <v>40506.041381021118</v>
      </c>
      <c r="BU114" s="64">
        <f t="shared" si="1081"/>
        <v>39666.049762027244</v>
      </c>
      <c r="BV114" s="64">
        <f t="shared" ref="BV114:DY114" si="1082">BV112+BV110-BV49-BV47</f>
        <v>38832.168661325428</v>
      </c>
      <c r="BW114" s="64">
        <f t="shared" si="1082"/>
        <v>38003.290429866582</v>
      </c>
      <c r="BX114" s="64">
        <f t="shared" si="1082"/>
        <v>37178.508201310535</v>
      </c>
      <c r="BY114" s="64">
        <f t="shared" si="1082"/>
        <v>36357.079496295788</v>
      </c>
      <c r="BZ114" s="64">
        <f t="shared" si="1082"/>
        <v>35538.396424135397</v>
      </c>
      <c r="CA114" s="64">
        <f t="shared" si="1082"/>
        <v>34721.961286029604</v>
      </c>
      <c r="CB114" s="64">
        <f t="shared" si="1082"/>
        <v>33907.366600665133</v>
      </c>
      <c r="CC114" s="64">
        <f t="shared" si="1082"/>
        <v>29520.275430559581</v>
      </c>
      <c r="CD114" s="64">
        <f t="shared" si="1082"/>
        <v>28708.421272820378</v>
      </c>
      <c r="CE114" s="64">
        <f t="shared" si="1082"/>
        <v>27897.577176961287</v>
      </c>
      <c r="CF114" s="64">
        <f t="shared" si="1082"/>
        <v>27087.560049825966</v>
      </c>
      <c r="CG114" s="64">
        <f t="shared" si="1082"/>
        <v>26278.219987416669</v>
      </c>
      <c r="CH114" s="64">
        <f t="shared" si="1082"/>
        <v>25469.434258720339</v>
      </c>
      <c r="CI114" s="64">
        <f t="shared" si="1082"/>
        <v>24661.102380082342</v>
      </c>
      <c r="CJ114" s="64">
        <f t="shared" si="1082"/>
        <v>23853.142082444319</v>
      </c>
      <c r="CK114" s="64">
        <f t="shared" si="1082"/>
        <v>23045.48600959828</v>
      </c>
      <c r="CL114" s="64">
        <f t="shared" si="1082"/>
        <v>22238.079014945281</v>
      </c>
      <c r="CM114" s="64">
        <f t="shared" si="1082"/>
        <v>21430.875948268833</v>
      </c>
      <c r="CN114" s="64">
        <f t="shared" si="1082"/>
        <v>20623.839843698217</v>
      </c>
      <c r="CO114" s="64">
        <f t="shared" si="1082"/>
        <v>29028.940436138226</v>
      </c>
      <c r="CP114" s="64">
        <f t="shared" si="1082"/>
        <v>28222.152946624694</v>
      </c>
      <c r="CQ114" s="64">
        <f t="shared" si="1082"/>
        <v>27415.457087857627</v>
      </c>
      <c r="CR114" s="64">
        <f t="shared" si="1082"/>
        <v>26608.836250000619</v>
      </c>
      <c r="CS114" s="64">
        <f t="shared" si="1082"/>
        <v>25802.276834069802</v>
      </c>
      <c r="CT114" s="64">
        <f t="shared" si="1082"/>
        <v>24995.767706158855</v>
      </c>
      <c r="CU114" s="64">
        <f t="shared" si="1082"/>
        <v>24189.299750596307</v>
      </c>
      <c r="CV114" s="64">
        <f t="shared" si="1082"/>
        <v>23382.865504101548</v>
      </c>
      <c r="CW114" s="64">
        <f t="shared" si="1082"/>
        <v>22576.458856257268</v>
      </c>
      <c r="CX114" s="64">
        <f t="shared" si="1082"/>
        <v>21770.074804276872</v>
      </c>
      <c r="CY114" s="64">
        <f t="shared" si="1082"/>
        <v>20963.709252225119</v>
      </c>
      <c r="CZ114" s="64">
        <f t="shared" si="1082"/>
        <v>20157.358846633888</v>
      </c>
      <c r="DA114" s="64">
        <f t="shared" si="1082"/>
        <v>19351.020841915677</v>
      </c>
      <c r="DB114" s="64">
        <f t="shared" si="1082"/>
        <v>18544.692990173578</v>
      </c>
      <c r="DC114" s="64">
        <f t="shared" si="1082"/>
        <v>17738.373450985258</v>
      </c>
      <c r="DD114" s="64">
        <f t="shared" si="1082"/>
        <v>16932.060717540357</v>
      </c>
      <c r="DE114" s="64">
        <f t="shared" si="1082"/>
        <v>16125.753556166883</v>
      </c>
      <c r="DF114" s="64">
        <f t="shared" si="1082"/>
        <v>15319.450956819644</v>
      </c>
      <c r="DG114" s="64">
        <f t="shared" si="1082"/>
        <v>14513.152092543587</v>
      </c>
      <c r="DH114" s="64">
        <f t="shared" si="1082"/>
        <v>13706.856286285165</v>
      </c>
      <c r="DI114" s="64">
        <f t="shared" si="1082"/>
        <v>12900.562983719836</v>
      </c>
      <c r="DJ114" s="64">
        <f t="shared" si="1082"/>
        <v>12094.271731005025</v>
      </c>
      <c r="DK114" s="64">
        <f t="shared" si="1082"/>
        <v>11287.982156565873</v>
      </c>
      <c r="DL114" s="64">
        <f t="shared" si="1082"/>
        <v>10481.693956182626</v>
      </c>
      <c r="DM114" s="64">
        <f t="shared" si="1082"/>
        <v>9675.4068807811927</v>
      </c>
      <c r="DN114" s="64">
        <f t="shared" si="1082"/>
        <v>8869.120726436975</v>
      </c>
      <c r="DO114" s="64">
        <f t="shared" si="1082"/>
        <v>8062.8353261906241</v>
      </c>
      <c r="DP114" s="64">
        <f t="shared" si="1082"/>
        <v>7256.5505433473845</v>
      </c>
      <c r="DQ114" s="64">
        <f t="shared" si="1082"/>
        <v>6450.266265991062</v>
      </c>
      <c r="DR114" s="64">
        <f t="shared" si="1082"/>
        <v>5643.9824024924201</v>
      </c>
      <c r="DS114" s="64">
        <f t="shared" si="1082"/>
        <v>4837.6988778317937</v>
      </c>
      <c r="DT114" s="64">
        <f t="shared" si="1082"/>
        <v>4031.4156305882675</v>
      </c>
      <c r="DU114" s="64">
        <f t="shared" si="1082"/>
        <v>3225.1326104746531</v>
      </c>
      <c r="DV114" s="64">
        <f t="shared" si="1082"/>
        <v>2418.8497763192827</v>
      </c>
      <c r="DW114" s="64">
        <f t="shared" si="1082"/>
        <v>1612.5670944136464</v>
      </c>
      <c r="DX114" s="64">
        <f t="shared" si="1082"/>
        <v>806.28453715954834</v>
      </c>
      <c r="DY114" s="64">
        <f t="shared" si="1082"/>
        <v>8.1505851700822597E-7</v>
      </c>
    </row>
    <row r="115" spans="1:129" x14ac:dyDescent="0.45">
      <c r="A115" s="85"/>
      <c r="B115" s="64"/>
      <c r="C115" s="141" t="s">
        <v>279</v>
      </c>
      <c r="I115" s="64">
        <f>I112+I111-I49-I48</f>
        <v>-5.5980000004637986E-2</v>
      </c>
      <c r="J115" s="64">
        <f t="shared" ref="J115:BU115" si="1083">J112+J111-J49-J48</f>
        <v>76641.374777652934</v>
      </c>
      <c r="K115" s="64">
        <f t="shared" si="1083"/>
        <v>80916.707410751085</v>
      </c>
      <c r="L115" s="64">
        <f t="shared" si="1083"/>
        <v>85786.08758260592</v>
      </c>
      <c r="M115" s="64">
        <f t="shared" si="1083"/>
        <v>91144.265021002444</v>
      </c>
      <c r="N115" s="64">
        <f t="shared" si="1083"/>
        <v>97094.094629138068</v>
      </c>
      <c r="O115" s="64">
        <f t="shared" si="1083"/>
        <v>103565.03694782875</v>
      </c>
      <c r="P115" s="64">
        <f t="shared" si="1083"/>
        <v>107129.28005890665</v>
      </c>
      <c r="Q115" s="64">
        <f t="shared" si="1083"/>
        <v>110920.59758777273</v>
      </c>
      <c r="R115" s="64">
        <f t="shared" si="1083"/>
        <v>114900.29306891843</v>
      </c>
      <c r="S115" s="64">
        <f t="shared" si="1083"/>
        <v>119036.69114220316</v>
      </c>
      <c r="T115" s="64">
        <f t="shared" si="1083"/>
        <v>118268.72343835418</v>
      </c>
      <c r="U115" s="64">
        <f t="shared" si="1083"/>
        <v>139961.256632</v>
      </c>
      <c r="V115" s="64">
        <f t="shared" si="1083"/>
        <v>135111.07313391936</v>
      </c>
      <c r="W115" s="64">
        <f t="shared" si="1083"/>
        <v>132462.53334321838</v>
      </c>
      <c r="X115" s="64">
        <f t="shared" si="1083"/>
        <v>130266.43081568835</v>
      </c>
      <c r="Y115" s="64">
        <f t="shared" si="1083"/>
        <v>128440.83699431336</v>
      </c>
      <c r="Z115" s="64">
        <f t="shared" si="1083"/>
        <v>126918.67479064513</v>
      </c>
      <c r="AA115" s="64">
        <f t="shared" si="1083"/>
        <v>125645.02647165573</v>
      </c>
      <c r="AB115" s="64">
        <f t="shared" si="1083"/>
        <v>124574.92954391844</v>
      </c>
      <c r="AC115" s="64">
        <f t="shared" si="1083"/>
        <v>123671.57217620897</v>
      </c>
      <c r="AD115" s="64">
        <f t="shared" si="1083"/>
        <v>122904.81573649838</v>
      </c>
      <c r="AE115" s="64">
        <f t="shared" si="1083"/>
        <v>122249.98514755834</v>
      </c>
      <c r="AF115" s="64">
        <f t="shared" si="1083"/>
        <v>121686.87851390023</v>
      </c>
      <c r="AG115" s="64">
        <f t="shared" si="1083"/>
        <v>83222.606636377925</v>
      </c>
      <c r="AH115" s="64">
        <f t="shared" si="1083"/>
        <v>74146.190548511586</v>
      </c>
      <c r="AI115" s="64">
        <f t="shared" si="1083"/>
        <v>69404.955123121312</v>
      </c>
      <c r="AJ115" s="64">
        <f t="shared" si="1083"/>
        <v>65506.148693839365</v>
      </c>
      <c r="AK115" s="64">
        <f t="shared" si="1083"/>
        <v>62297.226124646935</v>
      </c>
      <c r="AL115" s="64">
        <f t="shared" si="1083"/>
        <v>59653.294672743934</v>
      </c>
      <c r="AM115" s="64">
        <f t="shared" si="1083"/>
        <v>57472.101462684106</v>
      </c>
      <c r="AN115" s="64">
        <f t="shared" si="1083"/>
        <v>55669.92957730894</v>
      </c>
      <c r="AO115" s="64">
        <f t="shared" si="1083"/>
        <v>54178.238061198601</v>
      </c>
      <c r="AP115" s="64">
        <f t="shared" si="1083"/>
        <v>52940.910988177238</v>
      </c>
      <c r="AQ115" s="64">
        <f t="shared" si="1083"/>
        <v>51912.005188290947</v>
      </c>
      <c r="AR115" s="64">
        <f t="shared" si="1083"/>
        <v>51053.906242631005</v>
      </c>
      <c r="AS115" s="64">
        <f t="shared" si="1083"/>
        <v>231556.64260086778</v>
      </c>
      <c r="AT115" s="64">
        <f t="shared" si="1083"/>
        <v>210635.62129393549</v>
      </c>
      <c r="AU115" s="64">
        <f t="shared" si="1083"/>
        <v>200075.58790696488</v>
      </c>
      <c r="AV115" s="64">
        <f t="shared" si="1083"/>
        <v>191515.97337808518</v>
      </c>
      <c r="AW115" s="64">
        <f t="shared" si="1083"/>
        <v>184595.40078489718</v>
      </c>
      <c r="AX115" s="64">
        <f t="shared" si="1083"/>
        <v>179018.00472325759</v>
      </c>
      <c r="AY115" s="64">
        <f t="shared" si="1083"/>
        <v>174541.55610386742</v>
      </c>
      <c r="AZ115" s="64">
        <f t="shared" si="1083"/>
        <v>170967.73955812069</v>
      </c>
      <c r="BA115" s="64">
        <f t="shared" si="1083"/>
        <v>168134.19325135549</v>
      </c>
      <c r="BB115" s="64">
        <f t="shared" si="1083"/>
        <v>165907.99163324415</v>
      </c>
      <c r="BC115" s="64">
        <f t="shared" si="1083"/>
        <v>164180.30956519421</v>
      </c>
      <c r="BD115" s="64">
        <f t="shared" si="1083"/>
        <v>162862.0536774405</v>
      </c>
      <c r="BE115" s="64">
        <f t="shared" si="1083"/>
        <v>161880.28562683001</v>
      </c>
      <c r="BF115" s="64">
        <f t="shared" si="1083"/>
        <v>161175.29370805749</v>
      </c>
      <c r="BG115" s="64">
        <f t="shared" si="1083"/>
        <v>160698.19529181169</v>
      </c>
      <c r="BH115" s="64">
        <f t="shared" si="1083"/>
        <v>160408.97386723643</v>
      </c>
      <c r="BI115" s="64">
        <f t="shared" si="1083"/>
        <v>160274.87190831191</v>
      </c>
      <c r="BJ115" s="64">
        <f t="shared" si="1083"/>
        <v>160269.0750642202</v>
      </c>
      <c r="BK115" s="64">
        <f t="shared" si="1083"/>
        <v>160369.63486561904</v>
      </c>
      <c r="BL115" s="64">
        <f t="shared" si="1083"/>
        <v>160558.58671122204</v>
      </c>
      <c r="BM115" s="64">
        <f t="shared" si="1083"/>
        <v>160821.2277363739</v>
      </c>
      <c r="BN115" s="64">
        <f t="shared" si="1083"/>
        <v>161145.52558193114</v>
      </c>
      <c r="BO115" s="64">
        <f t="shared" si="1083"/>
        <v>161521.63433524891</v>
      </c>
      <c r="BP115" s="64">
        <f t="shared" si="1083"/>
        <v>161941.49821626776</v>
      </c>
      <c r="BQ115" s="64">
        <f t="shared" si="1083"/>
        <v>65921.527103211571</v>
      </c>
      <c r="BR115" s="64">
        <f t="shared" si="1083"/>
        <v>64568.118144481421</v>
      </c>
      <c r="BS115" s="64">
        <f t="shared" si="1083"/>
        <v>63234.749940128924</v>
      </c>
      <c r="BT115" s="64">
        <f t="shared" si="1083"/>
        <v>61917.789717700187</v>
      </c>
      <c r="BU115" s="64">
        <f t="shared" si="1083"/>
        <v>60614.263214668441</v>
      </c>
      <c r="BV115" s="64">
        <f t="shared" ref="BV115:DY115" si="1084">BV112+BV111-BV49-BV48</f>
        <v>59321.735310835211</v>
      </c>
      <c r="BW115" s="64">
        <f t="shared" si="1084"/>
        <v>58038.212298406594</v>
      </c>
      <c r="BX115" s="64">
        <f t="shared" si="1084"/>
        <v>56762.061867499018</v>
      </c>
      <c r="BY115" s="64">
        <f t="shared" si="1084"/>
        <v>55491.947595812366</v>
      </c>
      <c r="BZ115" s="64">
        <f t="shared" si="1084"/>
        <v>54226.775313310281</v>
      </c>
      <c r="CA115" s="64">
        <f t="shared" si="1084"/>
        <v>52965.649189335069</v>
      </c>
      <c r="CB115" s="64">
        <f t="shared" si="1084"/>
        <v>51707.835779777553</v>
      </c>
      <c r="CC115" s="64">
        <f t="shared" si="1084"/>
        <v>50206.178731389984</v>
      </c>
      <c r="CD115" s="64">
        <f t="shared" si="1084"/>
        <v>48953.298121883461</v>
      </c>
      <c r="CE115" s="64">
        <f t="shared" si="1084"/>
        <v>47702.235568596414</v>
      </c>
      <c r="CF115" s="64">
        <f t="shared" si="1084"/>
        <v>46452.661513847124</v>
      </c>
      <c r="CG115" s="64">
        <f t="shared" si="1084"/>
        <v>45204.306138626584</v>
      </c>
      <c r="CH115" s="64">
        <f t="shared" si="1084"/>
        <v>43956.948533814386</v>
      </c>
      <c r="CI115" s="64">
        <f t="shared" si="1084"/>
        <v>42710.407834320024</v>
      </c>
      <c r="CJ115" s="64">
        <f t="shared" si="1084"/>
        <v>41464.535960331683</v>
      </c>
      <c r="CK115" s="64">
        <f t="shared" si="1084"/>
        <v>40219.211674353603</v>
      </c>
      <c r="CL115" s="64">
        <f t="shared" si="1084"/>
        <v>38974.335715519541</v>
      </c>
      <c r="CM115" s="64">
        <f t="shared" si="1084"/>
        <v>37729.826815905704</v>
      </c>
      <c r="CN115" s="64">
        <f t="shared" si="1084"/>
        <v>36485.618438963676</v>
      </c>
      <c r="CO115" s="64">
        <f t="shared" si="1084"/>
        <v>44747.656109175048</v>
      </c>
      <c r="CP115" s="64">
        <f t="shared" si="1084"/>
        <v>43503.895225757631</v>
      </c>
      <c r="CQ115" s="64">
        <f t="shared" si="1084"/>
        <v>42260.299272679418</v>
      </c>
      <c r="CR115" s="64">
        <f t="shared" si="1084"/>
        <v>41016.838353142019</v>
      </c>
      <c r="CS115" s="64">
        <f t="shared" si="1084"/>
        <v>39773.487989717192</v>
      </c>
      <c r="CT115" s="64">
        <f t="shared" si="1084"/>
        <v>38530.228141981643</v>
      </c>
      <c r="CU115" s="64">
        <f t="shared" si="1084"/>
        <v>37287.042402224579</v>
      </c>
      <c r="CV115" s="64">
        <f t="shared" si="1084"/>
        <v>36043.917336948522</v>
      </c>
      <c r="CW115" s="64">
        <f t="shared" si="1084"/>
        <v>34800.841947736</v>
      </c>
      <c r="CX115" s="64">
        <f t="shared" si="1084"/>
        <v>33557.807229844388</v>
      </c>
      <c r="CY115" s="64">
        <f t="shared" si="1084"/>
        <v>32314.805810813967</v>
      </c>
      <c r="CZ115" s="64">
        <f t="shared" si="1084"/>
        <v>31071.831654585254</v>
      </c>
      <c r="DA115" s="64">
        <f t="shared" si="1084"/>
        <v>29828.879819250709</v>
      </c>
      <c r="DB115" s="64">
        <f t="shared" si="1084"/>
        <v>28585.946258718657</v>
      </c>
      <c r="DC115" s="64">
        <f t="shared" si="1084"/>
        <v>27343.027660329415</v>
      </c>
      <c r="DD115" s="64">
        <f t="shared" si="1084"/>
        <v>26100.121311906623</v>
      </c>
      <c r="DE115" s="64">
        <f t="shared" si="1084"/>
        <v>24857.224992908079</v>
      </c>
      <c r="DF115" s="64">
        <f t="shared" si="1084"/>
        <v>23614.336885307617</v>
      </c>
      <c r="DG115" s="64">
        <f t="shared" si="1084"/>
        <v>22371.45550063128</v>
      </c>
      <c r="DH115" s="64">
        <f t="shared" si="1084"/>
        <v>21128.579620219673</v>
      </c>
      <c r="DI115" s="64">
        <f t="shared" si="1084"/>
        <v>19885.708246318885</v>
      </c>
      <c r="DJ115" s="64">
        <f t="shared" si="1084"/>
        <v>18642.840562037083</v>
      </c>
      <c r="DK115" s="64">
        <f t="shared" si="1084"/>
        <v>17399.975898559816</v>
      </c>
      <c r="DL115" s="64">
        <f t="shared" si="1084"/>
        <v>16157.113708308127</v>
      </c>
      <c r="DM115" s="64">
        <f t="shared" si="1084"/>
        <v>14914.253542962262</v>
      </c>
      <c r="DN115" s="64">
        <f t="shared" si="1084"/>
        <v>13671.395035469082</v>
      </c>
      <c r="DO115" s="64">
        <f t="shared" si="1084"/>
        <v>12428.537885310874</v>
      </c>
      <c r="DP115" s="64">
        <f t="shared" si="1084"/>
        <v>11185.68184644455</v>
      </c>
      <c r="DQ115" s="64">
        <f t="shared" si="1084"/>
        <v>9942.8267174270677</v>
      </c>
      <c r="DR115" s="64">
        <f t="shared" si="1084"/>
        <v>8699.9723333308102</v>
      </c>
      <c r="DS115" s="64">
        <f t="shared" si="1084"/>
        <v>7457.1185591244703</v>
      </c>
      <c r="DT115" s="64">
        <f t="shared" si="1084"/>
        <v>6214.2652842537627</v>
      </c>
      <c r="DU115" s="64">
        <f t="shared" si="1084"/>
        <v>4971.4124182044907</v>
      </c>
      <c r="DV115" s="64">
        <f t="shared" si="1084"/>
        <v>3728.559886869903</v>
      </c>
      <c r="DW115" s="64">
        <f t="shared" si="1084"/>
        <v>2485.70762957652</v>
      </c>
      <c r="DX115" s="64">
        <f t="shared" si="1084"/>
        <v>1242.8555966490987</v>
      </c>
      <c r="DY115" s="64">
        <f t="shared" si="1084"/>
        <v>8.1505851700822597E-7</v>
      </c>
    </row>
    <row r="116" spans="1:129" x14ac:dyDescent="0.45">
      <c r="A116" s="71"/>
    </row>
    <row r="117" spans="1:129" x14ac:dyDescent="0.45">
      <c r="A117" s="71"/>
    </row>
    <row r="119" spans="1:129" x14ac:dyDescent="0.45">
      <c r="C119" s="11" t="s">
        <v>33</v>
      </c>
    </row>
    <row r="120" spans="1:129" x14ac:dyDescent="0.45">
      <c r="C120" s="11" t="s">
        <v>34</v>
      </c>
    </row>
  </sheetData>
  <mergeCells count="3">
    <mergeCell ref="E1:F1"/>
    <mergeCell ref="G1:H1"/>
    <mergeCell ref="A113:E1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F03E-96A7-4A9A-9DCF-55DF369E7954}">
  <dimension ref="A1:G27"/>
  <sheetViews>
    <sheetView workbookViewId="0">
      <selection activeCell="J14" sqref="J14"/>
    </sheetView>
  </sheetViews>
  <sheetFormatPr baseColWidth="10" defaultRowHeight="14.25" x14ac:dyDescent="0.45"/>
  <cols>
    <col min="1" max="1" width="6.6640625" bestFit="1" customWidth="1"/>
    <col min="2" max="2" width="31" bestFit="1" customWidth="1"/>
    <col min="3" max="3" width="38.33203125" bestFit="1" customWidth="1"/>
    <col min="4" max="4" width="26.1328125" bestFit="1" customWidth="1"/>
    <col min="5" max="5" width="22.1328125" bestFit="1" customWidth="1"/>
    <col min="6" max="6" width="15.19921875" bestFit="1" customWidth="1"/>
    <col min="7" max="7" width="22.1328125" bestFit="1" customWidth="1"/>
  </cols>
  <sheetData>
    <row r="1" spans="1:7" x14ac:dyDescent="0.45">
      <c r="D1" s="115" t="s">
        <v>50</v>
      </c>
      <c r="E1" s="115"/>
      <c r="F1" s="115" t="s">
        <v>51</v>
      </c>
      <c r="G1" s="115"/>
    </row>
    <row r="2" spans="1:7" x14ac:dyDescent="0.45">
      <c r="A2" s="10" t="s">
        <v>16</v>
      </c>
      <c r="B2" s="10" t="s">
        <v>41</v>
      </c>
      <c r="C2" s="10" t="s">
        <v>17</v>
      </c>
      <c r="D2" s="10" t="s">
        <v>42</v>
      </c>
      <c r="E2" s="10" t="s">
        <v>44</v>
      </c>
      <c r="F2" s="10" t="s">
        <v>42</v>
      </c>
      <c r="G2" s="10" t="s">
        <v>44</v>
      </c>
    </row>
    <row r="3" spans="1:7" x14ac:dyDescent="0.45">
      <c r="A3" s="2" t="s">
        <v>0</v>
      </c>
      <c r="B3" s="2" t="s">
        <v>1</v>
      </c>
      <c r="C3" s="6" t="s">
        <v>2</v>
      </c>
      <c r="D3" s="2" t="s">
        <v>43</v>
      </c>
      <c r="E3" s="2">
        <v>60</v>
      </c>
      <c r="F3" s="2" t="s">
        <v>45</v>
      </c>
      <c r="G3" s="2">
        <v>60</v>
      </c>
    </row>
    <row r="4" spans="1:7" x14ac:dyDescent="0.45">
      <c r="A4" s="2" t="s">
        <v>0</v>
      </c>
      <c r="B4" s="2" t="s">
        <v>1</v>
      </c>
      <c r="C4" s="6" t="s">
        <v>3</v>
      </c>
      <c r="D4" s="2" t="s">
        <v>43</v>
      </c>
      <c r="E4" s="2">
        <v>120</v>
      </c>
      <c r="F4" s="2" t="s">
        <v>47</v>
      </c>
      <c r="G4" s="2">
        <v>120</v>
      </c>
    </row>
    <row r="5" spans="1:7" x14ac:dyDescent="0.45">
      <c r="A5" s="2" t="s">
        <v>0</v>
      </c>
      <c r="B5" s="2" t="s">
        <v>4</v>
      </c>
      <c r="C5" s="6" t="s">
        <v>5</v>
      </c>
      <c r="D5" s="2" t="s">
        <v>43</v>
      </c>
      <c r="E5" s="2">
        <v>6</v>
      </c>
      <c r="F5" s="2" t="s">
        <v>43</v>
      </c>
      <c r="G5" s="2">
        <v>6</v>
      </c>
    </row>
    <row r="6" spans="1:7" x14ac:dyDescent="0.45">
      <c r="A6" s="2" t="s">
        <v>0</v>
      </c>
      <c r="B6" s="2" t="s">
        <v>4</v>
      </c>
      <c r="C6" s="6" t="s">
        <v>6</v>
      </c>
      <c r="D6" s="2" t="s">
        <v>45</v>
      </c>
      <c r="E6" s="2">
        <v>12</v>
      </c>
      <c r="F6" s="2" t="s">
        <v>45</v>
      </c>
      <c r="G6" s="2">
        <v>12</v>
      </c>
    </row>
    <row r="7" spans="1:7" x14ac:dyDescent="0.45">
      <c r="A7" s="2" t="s">
        <v>0</v>
      </c>
      <c r="B7" s="2" t="s">
        <v>7</v>
      </c>
      <c r="C7" s="6" t="s">
        <v>8</v>
      </c>
      <c r="D7" s="2" t="s">
        <v>46</v>
      </c>
      <c r="E7" s="2">
        <v>60</v>
      </c>
      <c r="F7" s="2" t="s">
        <v>46</v>
      </c>
      <c r="G7" s="2">
        <v>60</v>
      </c>
    </row>
    <row r="8" spans="1:7" x14ac:dyDescent="0.45">
      <c r="A8" s="2" t="s">
        <v>0</v>
      </c>
      <c r="B8" s="2" t="s">
        <v>7</v>
      </c>
      <c r="C8" s="6" t="s">
        <v>9</v>
      </c>
      <c r="D8" s="2" t="s">
        <v>46</v>
      </c>
      <c r="E8" s="2">
        <v>10</v>
      </c>
      <c r="F8" s="2" t="s">
        <v>46</v>
      </c>
      <c r="G8" s="2">
        <v>10</v>
      </c>
    </row>
    <row r="9" spans="1:7" x14ac:dyDescent="0.45">
      <c r="A9" s="2" t="s">
        <v>0</v>
      </c>
      <c r="B9" s="2" t="s">
        <v>7</v>
      </c>
      <c r="C9" s="6" t="s">
        <v>10</v>
      </c>
      <c r="D9" s="2" t="s">
        <v>45</v>
      </c>
      <c r="E9" s="2">
        <v>1</v>
      </c>
      <c r="F9" s="2" t="s">
        <v>45</v>
      </c>
      <c r="G9" s="2">
        <v>1</v>
      </c>
    </row>
    <row r="10" spans="1:7" x14ac:dyDescent="0.45">
      <c r="A10" s="2" t="s">
        <v>0</v>
      </c>
      <c r="B10" s="2" t="s">
        <v>39</v>
      </c>
      <c r="C10" s="2" t="s">
        <v>11</v>
      </c>
      <c r="D10" s="2" t="s">
        <v>47</v>
      </c>
      <c r="E10" s="2">
        <v>84</v>
      </c>
      <c r="F10" s="2" t="s">
        <v>47</v>
      </c>
      <c r="G10" s="2">
        <v>84</v>
      </c>
    </row>
    <row r="11" spans="1:7" x14ac:dyDescent="0.45">
      <c r="A11" s="2" t="s">
        <v>0</v>
      </c>
      <c r="B11" s="2" t="s">
        <v>35</v>
      </c>
      <c r="C11" s="2" t="s">
        <v>12</v>
      </c>
      <c r="D11" s="2" t="s">
        <v>43</v>
      </c>
      <c r="E11" s="2">
        <v>120</v>
      </c>
      <c r="F11" s="2" t="s">
        <v>43</v>
      </c>
      <c r="G11" s="2">
        <v>120</v>
      </c>
    </row>
    <row r="12" spans="1:7" x14ac:dyDescent="0.45">
      <c r="A12" s="2" t="s">
        <v>0</v>
      </c>
      <c r="B12" s="2" t="s">
        <v>36</v>
      </c>
      <c r="C12" s="2" t="s">
        <v>13</v>
      </c>
      <c r="D12" s="2" t="s">
        <v>43</v>
      </c>
      <c r="E12" s="2">
        <v>120</v>
      </c>
      <c r="F12" s="2" t="s">
        <v>43</v>
      </c>
      <c r="G12" s="2">
        <v>120</v>
      </c>
    </row>
    <row r="13" spans="1:7" x14ac:dyDescent="0.45">
      <c r="A13" s="2" t="s">
        <v>19</v>
      </c>
      <c r="B13" s="2" t="s">
        <v>20</v>
      </c>
      <c r="C13" s="6" t="s">
        <v>5</v>
      </c>
      <c r="D13" s="2" t="s">
        <v>48</v>
      </c>
      <c r="E13" s="2">
        <v>4</v>
      </c>
      <c r="F13" s="2" t="s">
        <v>45</v>
      </c>
      <c r="G13" s="2">
        <v>4</v>
      </c>
    </row>
    <row r="14" spans="1:7" x14ac:dyDescent="0.45">
      <c r="A14" s="2" t="s">
        <v>19</v>
      </c>
      <c r="B14" s="2" t="s">
        <v>20</v>
      </c>
      <c r="C14" s="6" t="s">
        <v>6</v>
      </c>
      <c r="D14" s="2" t="s">
        <v>47</v>
      </c>
      <c r="E14" s="2">
        <v>24</v>
      </c>
      <c r="F14" s="2" t="s">
        <v>47</v>
      </c>
      <c r="G14" s="2">
        <v>24</v>
      </c>
    </row>
    <row r="15" spans="1:7" x14ac:dyDescent="0.45">
      <c r="A15" s="2" t="s">
        <v>19</v>
      </c>
      <c r="B15" s="2" t="s">
        <v>21</v>
      </c>
      <c r="C15" s="6" t="s">
        <v>5</v>
      </c>
      <c r="D15" s="2" t="s">
        <v>49</v>
      </c>
      <c r="E15" s="2">
        <v>120</v>
      </c>
      <c r="F15" s="2" t="s">
        <v>43</v>
      </c>
      <c r="G15" s="2">
        <v>120</v>
      </c>
    </row>
    <row r="16" spans="1:7" x14ac:dyDescent="0.45">
      <c r="A16" s="2" t="s">
        <v>19</v>
      </c>
      <c r="B16" s="2" t="s">
        <v>21</v>
      </c>
      <c r="C16" s="6" t="s">
        <v>6</v>
      </c>
      <c r="D16" s="2" t="s">
        <v>45</v>
      </c>
      <c r="E16" s="2">
        <v>60</v>
      </c>
      <c r="F16" s="2" t="s">
        <v>45</v>
      </c>
      <c r="G16" s="2">
        <v>60</v>
      </c>
    </row>
    <row r="17" spans="1:7" x14ac:dyDescent="0.45">
      <c r="A17" s="2" t="s">
        <v>19</v>
      </c>
      <c r="B17" s="2" t="s">
        <v>36</v>
      </c>
      <c r="C17" s="2" t="s">
        <v>53</v>
      </c>
      <c r="D17" s="2" t="s">
        <v>43</v>
      </c>
      <c r="E17" s="2">
        <v>120</v>
      </c>
      <c r="F17" s="2" t="s">
        <v>43</v>
      </c>
      <c r="G17" s="2">
        <v>120</v>
      </c>
    </row>
    <row r="18" spans="1:7" x14ac:dyDescent="0.45">
      <c r="A18" s="2" t="s">
        <v>19</v>
      </c>
      <c r="B18" s="2" t="s">
        <v>37</v>
      </c>
      <c r="C18" s="2" t="s">
        <v>22</v>
      </c>
      <c r="D18" s="2" t="s">
        <v>43</v>
      </c>
      <c r="E18" s="2">
        <v>120</v>
      </c>
      <c r="F18" s="2" t="s">
        <v>43</v>
      </c>
      <c r="G18" s="2">
        <v>120</v>
      </c>
    </row>
    <row r="19" spans="1:7" x14ac:dyDescent="0.45">
      <c r="A19" s="2" t="s">
        <v>19</v>
      </c>
      <c r="B19" s="2" t="s">
        <v>38</v>
      </c>
      <c r="C19" s="2" t="s">
        <v>32</v>
      </c>
      <c r="D19" s="2" t="s">
        <v>45</v>
      </c>
      <c r="E19" s="2">
        <v>72</v>
      </c>
      <c r="F19" s="2" t="s">
        <v>45</v>
      </c>
      <c r="G19" s="2">
        <v>72</v>
      </c>
    </row>
    <row r="20" spans="1:7" x14ac:dyDescent="0.45">
      <c r="A20" s="2" t="s">
        <v>19</v>
      </c>
      <c r="B20" s="2" t="s">
        <v>40</v>
      </c>
      <c r="C20" s="2" t="s">
        <v>23</v>
      </c>
      <c r="D20" s="2" t="s">
        <v>43</v>
      </c>
      <c r="E20" s="2">
        <v>120</v>
      </c>
      <c r="F20" s="2" t="s">
        <v>43</v>
      </c>
      <c r="G20" s="2">
        <v>120</v>
      </c>
    </row>
    <row r="21" spans="1:7" x14ac:dyDescent="0.45">
      <c r="A21" s="2" t="s">
        <v>19</v>
      </c>
      <c r="B21" s="2" t="s">
        <v>40</v>
      </c>
      <c r="C21" s="6" t="s">
        <v>24</v>
      </c>
      <c r="D21" s="2" t="s">
        <v>43</v>
      </c>
      <c r="E21" s="2">
        <v>120</v>
      </c>
      <c r="F21" s="2" t="s">
        <v>43</v>
      </c>
      <c r="G21" s="2">
        <v>120</v>
      </c>
    </row>
    <row r="22" spans="1:7" x14ac:dyDescent="0.45">
      <c r="A22" s="2" t="s">
        <v>19</v>
      </c>
      <c r="B22" s="2" t="s">
        <v>40</v>
      </c>
      <c r="C22" s="6" t="s">
        <v>25</v>
      </c>
      <c r="D22" s="2" t="s">
        <v>43</v>
      </c>
      <c r="E22" s="2">
        <v>120</v>
      </c>
      <c r="F22" s="2" t="s">
        <v>43</v>
      </c>
      <c r="G22" s="2">
        <v>120</v>
      </c>
    </row>
    <row r="23" spans="1:7" x14ac:dyDescent="0.45">
      <c r="A23" s="2" t="s">
        <v>19</v>
      </c>
      <c r="B23" s="2" t="s">
        <v>40</v>
      </c>
      <c r="C23" s="6" t="s">
        <v>26</v>
      </c>
      <c r="D23" s="2" t="s">
        <v>43</v>
      </c>
      <c r="E23" s="2">
        <v>120</v>
      </c>
      <c r="F23" s="2" t="s">
        <v>43</v>
      </c>
      <c r="G23" s="2">
        <v>120</v>
      </c>
    </row>
    <row r="24" spans="1:7" x14ac:dyDescent="0.45">
      <c r="A24" s="2" t="s">
        <v>19</v>
      </c>
      <c r="B24" s="2" t="s">
        <v>40</v>
      </c>
      <c r="C24" s="6" t="s">
        <v>27</v>
      </c>
      <c r="D24" s="2" t="s">
        <v>43</v>
      </c>
      <c r="E24" s="2">
        <v>120</v>
      </c>
      <c r="F24" s="2" t="s">
        <v>43</v>
      </c>
      <c r="G24" s="2">
        <v>120</v>
      </c>
    </row>
    <row r="25" spans="1:7" x14ac:dyDescent="0.45">
      <c r="A25" s="2" t="s">
        <v>19</v>
      </c>
      <c r="B25" s="2" t="s">
        <v>40</v>
      </c>
      <c r="C25" s="6" t="s">
        <v>28</v>
      </c>
      <c r="D25" s="2" t="s">
        <v>43</v>
      </c>
      <c r="E25" s="2">
        <v>120</v>
      </c>
      <c r="F25" s="2" t="s">
        <v>43</v>
      </c>
      <c r="G25" s="2">
        <v>120</v>
      </c>
    </row>
    <row r="26" spans="1:7" x14ac:dyDescent="0.45">
      <c r="A26" s="2" t="s">
        <v>19</v>
      </c>
      <c r="B26" s="2" t="s">
        <v>40</v>
      </c>
      <c r="C26" s="6" t="s">
        <v>29</v>
      </c>
      <c r="D26" s="2" t="s">
        <v>43</v>
      </c>
      <c r="E26" s="2">
        <v>120</v>
      </c>
      <c r="F26" s="2" t="s">
        <v>43</v>
      </c>
      <c r="G26" s="2">
        <v>120</v>
      </c>
    </row>
    <row r="27" spans="1:7" x14ac:dyDescent="0.45">
      <c r="A27" s="2" t="s">
        <v>19</v>
      </c>
      <c r="B27" s="2" t="s">
        <v>40</v>
      </c>
      <c r="C27" s="6" t="s">
        <v>30</v>
      </c>
      <c r="D27" s="2" t="s">
        <v>43</v>
      </c>
      <c r="E27" s="2">
        <v>120</v>
      </c>
      <c r="F27" s="2" t="s">
        <v>43</v>
      </c>
      <c r="G27" s="2">
        <v>120</v>
      </c>
    </row>
  </sheetData>
  <mergeCells count="2">
    <mergeCell ref="D1:E1"/>
    <mergeCell ref="F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B5BA-784E-407A-B37A-28843E0B3661}">
  <dimension ref="A1:H34"/>
  <sheetViews>
    <sheetView topLeftCell="A5" workbookViewId="0">
      <selection activeCell="K32" sqref="K32"/>
    </sheetView>
  </sheetViews>
  <sheetFormatPr baseColWidth="10" defaultRowHeight="14.25" x14ac:dyDescent="0.45"/>
  <cols>
    <col min="1" max="1" width="38.33203125" bestFit="1" customWidth="1"/>
    <col min="2" max="3" width="10.33203125" bestFit="1" customWidth="1"/>
    <col min="6" max="8" width="22.06640625" bestFit="1" customWidth="1"/>
  </cols>
  <sheetData>
    <row r="1" spans="1:8" x14ac:dyDescent="0.45">
      <c r="B1" s="20" t="s">
        <v>54</v>
      </c>
      <c r="C1" s="52" t="s">
        <v>55</v>
      </c>
      <c r="D1" s="52" t="s">
        <v>55</v>
      </c>
      <c r="E1" s="52" t="s">
        <v>55</v>
      </c>
      <c r="F1" s="142" t="s">
        <v>280</v>
      </c>
      <c r="G1" s="142" t="s">
        <v>280</v>
      </c>
      <c r="H1" s="142" t="s">
        <v>280</v>
      </c>
    </row>
    <row r="2" spans="1:8" x14ac:dyDescent="0.45">
      <c r="A2" s="10" t="s">
        <v>17</v>
      </c>
      <c r="B2" s="18">
        <v>46022</v>
      </c>
      <c r="C2" s="18">
        <v>46387</v>
      </c>
      <c r="D2" s="18">
        <v>46752</v>
      </c>
      <c r="E2" s="19">
        <v>47118</v>
      </c>
      <c r="F2" s="18">
        <v>46387</v>
      </c>
      <c r="G2" s="18">
        <v>46752</v>
      </c>
      <c r="H2" s="18">
        <v>46752</v>
      </c>
    </row>
    <row r="3" spans="1:8" x14ac:dyDescent="0.45">
      <c r="A3" s="4" t="s">
        <v>1</v>
      </c>
      <c r="B3" s="13">
        <v>1255.1239800000001</v>
      </c>
      <c r="C3" s="13">
        <v>1295</v>
      </c>
      <c r="D3" s="13">
        <f>D4+D5</f>
        <v>7317.85232</v>
      </c>
      <c r="E3" s="5">
        <f>E4+E5</f>
        <v>5537.0968599999997</v>
      </c>
      <c r="F3" s="64"/>
    </row>
    <row r="4" spans="1:8" x14ac:dyDescent="0.45">
      <c r="A4" s="6" t="s">
        <v>2</v>
      </c>
      <c r="B4" s="14">
        <v>40.586860000000115</v>
      </c>
      <c r="C4" s="14">
        <v>26.685560000000002</v>
      </c>
      <c r="D4" s="14">
        <v>298.85232000000002</v>
      </c>
      <c r="E4" s="7">
        <v>246.09685999999999</v>
      </c>
      <c r="F4" s="64"/>
      <c r="G4" s="64"/>
      <c r="H4" s="64"/>
    </row>
    <row r="5" spans="1:8" x14ac:dyDescent="0.45">
      <c r="A5" s="6" t="s">
        <v>3</v>
      </c>
      <c r="B5" s="14">
        <v>1214.53712</v>
      </c>
      <c r="C5" s="14">
        <v>1268.3144400000001</v>
      </c>
      <c r="D5" s="14">
        <v>7019</v>
      </c>
      <c r="E5" s="7">
        <v>5291</v>
      </c>
      <c r="F5" s="64"/>
      <c r="G5" s="64"/>
      <c r="H5" s="64"/>
    </row>
    <row r="6" spans="1:8" x14ac:dyDescent="0.45">
      <c r="A6" s="4" t="s">
        <v>4</v>
      </c>
      <c r="B6" s="13">
        <v>28006.945</v>
      </c>
      <c r="C6" s="13">
        <v>24611</v>
      </c>
      <c r="D6" s="13">
        <v>34452</v>
      </c>
      <c r="E6" s="5">
        <v>27054</v>
      </c>
      <c r="F6" s="141">
        <f t="shared" ref="F6:F13" si="0">C6*(1+5%)</f>
        <v>25841.550000000003</v>
      </c>
      <c r="G6" s="141">
        <f t="shared" ref="G6:G12" si="1">D6*(1+5%)^2</f>
        <v>37983.33</v>
      </c>
      <c r="H6" s="141">
        <f t="shared" ref="H6:H12" si="2">E6*(1+5%)^3</f>
        <v>31318.386750000005</v>
      </c>
    </row>
    <row r="7" spans="1:8" x14ac:dyDescent="0.45">
      <c r="A7" s="6" t="s">
        <v>5</v>
      </c>
      <c r="B7" s="14">
        <v>19086.274000000001</v>
      </c>
      <c r="C7" s="14">
        <v>16458</v>
      </c>
      <c r="D7" s="14">
        <v>28608</v>
      </c>
      <c r="E7" s="7">
        <v>26797</v>
      </c>
      <c r="F7" s="64">
        <f t="shared" si="0"/>
        <v>17280.900000000001</v>
      </c>
      <c r="G7" s="64">
        <f t="shared" si="1"/>
        <v>31540.32</v>
      </c>
      <c r="H7" s="64">
        <f t="shared" si="2"/>
        <v>31020.877125000003</v>
      </c>
    </row>
    <row r="8" spans="1:8" x14ac:dyDescent="0.45">
      <c r="A8" s="6" t="s">
        <v>6</v>
      </c>
      <c r="B8" s="14">
        <v>8920.6710000000003</v>
      </c>
      <c r="C8" s="14">
        <v>8153</v>
      </c>
      <c r="D8" s="14">
        <v>5844</v>
      </c>
      <c r="E8" s="7">
        <v>257</v>
      </c>
      <c r="F8" s="64">
        <f t="shared" si="0"/>
        <v>8560.65</v>
      </c>
      <c r="G8" s="64">
        <f t="shared" si="1"/>
        <v>6443.01</v>
      </c>
      <c r="H8" s="64">
        <f t="shared" si="2"/>
        <v>297.50962500000003</v>
      </c>
    </row>
    <row r="9" spans="1:8" x14ac:dyDescent="0.45">
      <c r="A9" s="4" t="s">
        <v>7</v>
      </c>
      <c r="B9" s="13">
        <v>125650.31899999999</v>
      </c>
      <c r="C9" s="13">
        <f>C10+C11+C12</f>
        <v>157553</v>
      </c>
      <c r="D9" s="13">
        <v>267467</v>
      </c>
      <c r="E9" s="5">
        <v>297941</v>
      </c>
      <c r="F9" s="141">
        <f>C9*(1-6%)</f>
        <v>148099.81999999998</v>
      </c>
      <c r="G9" s="141">
        <f>D9*(1-6%)^2</f>
        <v>236333.8412</v>
      </c>
      <c r="H9" s="141">
        <f>E9*(1-6%)^3</f>
        <v>247465.02754399995</v>
      </c>
    </row>
    <row r="10" spans="1:8" x14ac:dyDescent="0.45">
      <c r="A10" s="6" t="s">
        <v>8</v>
      </c>
      <c r="B10" s="14">
        <v>358.11700000000002</v>
      </c>
      <c r="C10" s="14">
        <v>5939</v>
      </c>
      <c r="D10" s="14">
        <v>3970</v>
      </c>
      <c r="E10" s="7">
        <v>18036</v>
      </c>
      <c r="F10" s="143">
        <f t="shared" ref="F10:F12" si="3">C10*(1-6%)</f>
        <v>5582.66</v>
      </c>
      <c r="G10" s="143">
        <f t="shared" ref="G10:G11" si="4">D10*(1-6%)^2</f>
        <v>3507.8919999999998</v>
      </c>
      <c r="H10" s="143">
        <f t="shared" ref="H10:H12" si="5">E10*(1-6%)^3</f>
        <v>14980.413023999998</v>
      </c>
    </row>
    <row r="11" spans="1:8" x14ac:dyDescent="0.45">
      <c r="A11" s="6" t="s">
        <v>9</v>
      </c>
      <c r="B11" s="14">
        <v>49615.565999999999</v>
      </c>
      <c r="C11" s="14">
        <v>60919</v>
      </c>
      <c r="D11" s="14">
        <v>146749</v>
      </c>
      <c r="E11" s="7">
        <v>159220</v>
      </c>
      <c r="F11" s="143">
        <f t="shared" si="3"/>
        <v>57263.859999999993</v>
      </c>
      <c r="G11" s="143">
        <f t="shared" si="4"/>
        <v>129667.41639999999</v>
      </c>
      <c r="H11" s="143">
        <f t="shared" si="5"/>
        <v>132245.58447999999</v>
      </c>
    </row>
    <row r="12" spans="1:8" x14ac:dyDescent="0.45">
      <c r="A12" s="6" t="s">
        <v>10</v>
      </c>
      <c r="B12" s="14">
        <v>75676.635999999999</v>
      </c>
      <c r="C12" s="14">
        <v>90695</v>
      </c>
      <c r="D12" s="14">
        <v>116748</v>
      </c>
      <c r="E12" s="7">
        <v>120685</v>
      </c>
      <c r="F12" s="143">
        <f t="shared" si="3"/>
        <v>85253.299999999988</v>
      </c>
      <c r="G12" s="143">
        <f>D12*(1-6%)^2</f>
        <v>103158.53279999999</v>
      </c>
      <c r="H12" s="143">
        <f t="shared" si="5"/>
        <v>100239.03003999998</v>
      </c>
    </row>
    <row r="13" spans="1:8" x14ac:dyDescent="0.45">
      <c r="A13" s="4" t="s">
        <v>11</v>
      </c>
      <c r="B13" s="13">
        <v>28</v>
      </c>
      <c r="C13" s="13">
        <v>28</v>
      </c>
      <c r="D13" s="13">
        <v>9212</v>
      </c>
      <c r="E13" s="5">
        <v>9506</v>
      </c>
      <c r="F13" s="64"/>
    </row>
    <row r="14" spans="1:8" x14ac:dyDescent="0.45">
      <c r="A14" s="4" t="s">
        <v>12</v>
      </c>
      <c r="B14" s="13">
        <v>82</v>
      </c>
      <c r="C14" s="13">
        <v>60</v>
      </c>
      <c r="D14" s="13">
        <v>67</v>
      </c>
      <c r="E14" s="5">
        <v>53</v>
      </c>
      <c r="F14" s="64"/>
    </row>
    <row r="15" spans="1:8" x14ac:dyDescent="0.45">
      <c r="A15" s="4" t="s">
        <v>13</v>
      </c>
      <c r="B15" s="13">
        <v>570</v>
      </c>
      <c r="C15" s="13">
        <v>510</v>
      </c>
      <c r="D15" s="13">
        <v>1144</v>
      </c>
      <c r="E15" s="5">
        <v>2027</v>
      </c>
      <c r="F15" s="64"/>
    </row>
    <row r="16" spans="1:8" x14ac:dyDescent="0.45">
      <c r="A16" s="8" t="s">
        <v>14</v>
      </c>
      <c r="B16" s="15">
        <f>B3+B6+B9+B13+B14+B15</f>
        <v>155592.38798</v>
      </c>
      <c r="C16" s="9">
        <f>C3+C6+C9+C13+C14+C15</f>
        <v>184057</v>
      </c>
      <c r="D16" s="9">
        <f>D3+D6+D9+D13+D14+D15</f>
        <v>319659.85232000001</v>
      </c>
      <c r="E16" s="9">
        <f>E15+E3+E6+E9+E13+E14</f>
        <v>342118.09685999999</v>
      </c>
      <c r="F16" s="64"/>
    </row>
    <row r="17" spans="1:8" x14ac:dyDescent="0.45">
      <c r="A17" s="4" t="s">
        <v>20</v>
      </c>
      <c r="B17" s="13">
        <f>B18+B19</f>
        <v>74095.3</v>
      </c>
      <c r="C17" s="5">
        <f>C18+C19</f>
        <v>89448</v>
      </c>
      <c r="D17" s="5">
        <v>183319</v>
      </c>
      <c r="E17" s="5">
        <v>141593</v>
      </c>
      <c r="F17" s="141">
        <f>C17*(1-25%)</f>
        <v>67086</v>
      </c>
      <c r="G17" s="141">
        <f>D17*(1-25%)^2</f>
        <v>103116.9375</v>
      </c>
      <c r="H17" s="141">
        <f>E17*(1-25%)^3</f>
        <v>59734.546875</v>
      </c>
    </row>
    <row r="18" spans="1:8" x14ac:dyDescent="0.45">
      <c r="A18" s="6" t="s">
        <v>5</v>
      </c>
      <c r="B18" s="14">
        <v>1890.2</v>
      </c>
      <c r="C18" s="7">
        <v>438</v>
      </c>
      <c r="D18" s="7">
        <v>3037</v>
      </c>
      <c r="E18" s="7">
        <v>4423</v>
      </c>
      <c r="F18" s="143">
        <f t="shared" ref="F18:F21" si="6">C18*(1-25%)</f>
        <v>328.5</v>
      </c>
      <c r="G18" s="143">
        <f t="shared" ref="G18:G22" si="7">D18*(1-25%)^2</f>
        <v>1708.3125</v>
      </c>
      <c r="H18" s="143">
        <f t="shared" ref="H18:H22" si="8">E18*(1-25%)^3</f>
        <v>1865.953125</v>
      </c>
    </row>
    <row r="19" spans="1:8" x14ac:dyDescent="0.45">
      <c r="A19" s="6" t="s">
        <v>6</v>
      </c>
      <c r="B19" s="14">
        <v>72205.100000000006</v>
      </c>
      <c r="C19" s="7">
        <v>89010</v>
      </c>
      <c r="D19" s="7">
        <v>180282</v>
      </c>
      <c r="E19" s="7">
        <v>137170</v>
      </c>
      <c r="F19" s="143">
        <f t="shared" si="6"/>
        <v>66757.5</v>
      </c>
      <c r="G19" s="143">
        <f t="shared" si="7"/>
        <v>101408.625</v>
      </c>
      <c r="H19" s="143">
        <f t="shared" si="8"/>
        <v>57868.59375</v>
      </c>
    </row>
    <row r="20" spans="1:8" x14ac:dyDescent="0.45">
      <c r="A20" s="4" t="s">
        <v>21</v>
      </c>
      <c r="B20" s="13">
        <v>50161.059000000001</v>
      </c>
      <c r="C20" s="5">
        <v>56949</v>
      </c>
      <c r="D20" s="5">
        <v>101512</v>
      </c>
      <c r="E20" s="5">
        <v>136089</v>
      </c>
      <c r="F20" s="143">
        <f t="shared" si="6"/>
        <v>42711.75</v>
      </c>
      <c r="G20" s="143">
        <f t="shared" si="7"/>
        <v>57100.5</v>
      </c>
      <c r="H20" s="143">
        <f t="shared" si="8"/>
        <v>57412.546875</v>
      </c>
    </row>
    <row r="21" spans="1:8" x14ac:dyDescent="0.45">
      <c r="A21" s="6" t="s">
        <v>5</v>
      </c>
      <c r="B21" s="14">
        <v>23989.094000000001</v>
      </c>
      <c r="C21" s="7">
        <v>18450</v>
      </c>
      <c r="D21" s="7">
        <v>33242</v>
      </c>
      <c r="E21" s="7">
        <v>39612</v>
      </c>
      <c r="F21" s="143">
        <f t="shared" si="6"/>
        <v>13837.5</v>
      </c>
      <c r="G21" s="143">
        <f t="shared" si="7"/>
        <v>18698.625</v>
      </c>
      <c r="H21" s="143">
        <f t="shared" si="8"/>
        <v>16711.3125</v>
      </c>
    </row>
    <row r="22" spans="1:8" x14ac:dyDescent="0.45">
      <c r="A22" s="6" t="s">
        <v>6</v>
      </c>
      <c r="B22" s="14">
        <v>26171.965</v>
      </c>
      <c r="C22" s="7">
        <v>38499</v>
      </c>
      <c r="D22" s="7">
        <v>68270</v>
      </c>
      <c r="E22" s="7">
        <v>96477</v>
      </c>
      <c r="F22" s="143">
        <f>C22*(1-25%)</f>
        <v>28874.25</v>
      </c>
      <c r="G22" s="143">
        <f t="shared" si="7"/>
        <v>38401.875</v>
      </c>
      <c r="H22" s="143">
        <f t="shared" si="8"/>
        <v>40701.234375</v>
      </c>
    </row>
    <row r="23" spans="1:8" x14ac:dyDescent="0.45">
      <c r="A23" s="4" t="s">
        <v>53</v>
      </c>
      <c r="B23" s="13">
        <v>2297.337</v>
      </c>
      <c r="C23" s="5">
        <v>2323</v>
      </c>
      <c r="D23" s="5">
        <v>3740</v>
      </c>
      <c r="E23" s="5">
        <v>2886</v>
      </c>
      <c r="F23" s="64"/>
    </row>
    <row r="24" spans="1:8" x14ac:dyDescent="0.45">
      <c r="A24" s="4" t="s">
        <v>22</v>
      </c>
      <c r="B24" s="13">
        <v>2994.7869999999998</v>
      </c>
      <c r="C24" s="5">
        <v>2948</v>
      </c>
      <c r="D24" s="5">
        <v>1600</v>
      </c>
      <c r="E24" s="5">
        <v>2135</v>
      </c>
      <c r="F24" s="64"/>
    </row>
    <row r="25" spans="1:8" x14ac:dyDescent="0.45">
      <c r="A25" s="4" t="s">
        <v>32</v>
      </c>
      <c r="B25" s="13">
        <v>130</v>
      </c>
      <c r="C25" s="5">
        <v>6474.1510000000126</v>
      </c>
      <c r="D25" s="5">
        <v>3574.003320000018</v>
      </c>
      <c r="E25" s="5">
        <v>246.55586000002222</v>
      </c>
      <c r="F25" s="64"/>
    </row>
    <row r="26" spans="1:8" x14ac:dyDescent="0.45">
      <c r="A26" s="4" t="s">
        <v>23</v>
      </c>
      <c r="B26" s="13">
        <v>25913.849000000002</v>
      </c>
      <c r="C26" s="5">
        <v>25914.849000000002</v>
      </c>
      <c r="D26" s="5">
        <v>25914.849000000002</v>
      </c>
      <c r="E26" s="5">
        <v>59168.540999999997</v>
      </c>
      <c r="F26" s="141">
        <f>C26*(1-7%)</f>
        <v>24100.809570000001</v>
      </c>
      <c r="G26" s="141">
        <f>D26*(1-7%)^2</f>
        <v>22413.7529001</v>
      </c>
      <c r="H26" s="141">
        <f>E26*(1-7%)^3</f>
        <v>47592.63013313699</v>
      </c>
    </row>
    <row r="27" spans="1:8" x14ac:dyDescent="0.45">
      <c r="A27" s="6" t="s">
        <v>24</v>
      </c>
      <c r="B27" s="14">
        <v>476.541</v>
      </c>
      <c r="C27" s="7">
        <v>476.541</v>
      </c>
      <c r="D27" s="7">
        <v>476.541</v>
      </c>
      <c r="E27" s="7">
        <v>476.541</v>
      </c>
      <c r="F27" s="143">
        <f t="shared" ref="F27:F33" si="9">C27*(1-7%)</f>
        <v>443.18312999999995</v>
      </c>
      <c r="G27" s="143">
        <f t="shared" ref="G27:G33" si="10">D27*(1-7%)^2</f>
        <v>412.16031089999996</v>
      </c>
      <c r="H27" s="143">
        <f t="shared" ref="H27:H33" si="11">E27*(1-7%)^3</f>
        <v>383.30908913699994</v>
      </c>
    </row>
    <row r="28" spans="1:8" x14ac:dyDescent="0.45">
      <c r="A28" s="6" t="s">
        <v>25</v>
      </c>
      <c r="B28" s="14">
        <v>18000.179</v>
      </c>
      <c r="C28" s="7">
        <v>18000.179</v>
      </c>
      <c r="D28" s="7">
        <v>18000.179</v>
      </c>
      <c r="E28" s="7">
        <v>50458</v>
      </c>
      <c r="F28" s="143">
        <f t="shared" si="9"/>
        <v>16740.16647</v>
      </c>
      <c r="G28" s="143">
        <f t="shared" si="10"/>
        <v>15568.354817099998</v>
      </c>
      <c r="H28" s="143">
        <f t="shared" si="11"/>
        <v>40586.245505999992</v>
      </c>
    </row>
    <row r="29" spans="1:8" x14ac:dyDescent="0.45">
      <c r="A29" s="6" t="s">
        <v>26</v>
      </c>
      <c r="B29" s="14">
        <v>2.2200000000000002</v>
      </c>
      <c r="C29" s="7">
        <v>2.2200000000000002</v>
      </c>
      <c r="D29" s="7">
        <v>2.2200000000000002</v>
      </c>
      <c r="E29" s="7">
        <v>2754</v>
      </c>
      <c r="F29" s="143">
        <f t="shared" si="9"/>
        <v>2.0646</v>
      </c>
      <c r="G29" s="143">
        <f t="shared" si="10"/>
        <v>1.920078</v>
      </c>
      <c r="H29" s="143">
        <f t="shared" si="11"/>
        <v>2215.1991779999998</v>
      </c>
    </row>
    <row r="30" spans="1:8" x14ac:dyDescent="0.45">
      <c r="A30" s="6" t="s">
        <v>27</v>
      </c>
      <c r="B30" s="14">
        <v>429.97500000000002</v>
      </c>
      <c r="C30" s="7">
        <v>436</v>
      </c>
      <c r="D30" s="7">
        <v>457</v>
      </c>
      <c r="E30" s="7">
        <v>557</v>
      </c>
      <c r="F30" s="143">
        <f t="shared" si="9"/>
        <v>405.47999999999996</v>
      </c>
      <c r="G30" s="143">
        <f t="shared" si="10"/>
        <v>395.25929999999994</v>
      </c>
      <c r="H30" s="143">
        <f t="shared" si="11"/>
        <v>448.02684899999991</v>
      </c>
    </row>
    <row r="31" spans="1:8" x14ac:dyDescent="0.45">
      <c r="A31" s="6" t="s">
        <v>28</v>
      </c>
      <c r="B31" s="14">
        <v>7004.9340000000002</v>
      </c>
      <c r="C31" s="7">
        <v>6999.9090000000006</v>
      </c>
      <c r="D31" s="7">
        <v>6978.9090000000006</v>
      </c>
      <c r="E31" s="7">
        <v>1944</v>
      </c>
      <c r="F31" s="143">
        <f t="shared" si="9"/>
        <v>6509.9153699999997</v>
      </c>
      <c r="G31" s="143">
        <f t="shared" si="10"/>
        <v>6036.0583940999995</v>
      </c>
      <c r="H31" s="143">
        <f t="shared" si="11"/>
        <v>1563.6700079999998</v>
      </c>
    </row>
    <row r="32" spans="1:8" x14ac:dyDescent="0.45">
      <c r="A32" s="6" t="s">
        <v>29</v>
      </c>
      <c r="B32" s="14">
        <v>0</v>
      </c>
      <c r="C32" s="7">
        <v>0</v>
      </c>
      <c r="D32" s="7">
        <v>0</v>
      </c>
      <c r="E32" s="7">
        <v>2979</v>
      </c>
      <c r="F32" s="143">
        <f t="shared" si="9"/>
        <v>0</v>
      </c>
      <c r="G32" s="143">
        <f t="shared" si="10"/>
        <v>0</v>
      </c>
      <c r="H32" s="143">
        <f t="shared" si="11"/>
        <v>2396.1795029999998</v>
      </c>
    </row>
    <row r="33" spans="1:8" x14ac:dyDescent="0.45">
      <c r="A33" s="6" t="s">
        <v>30</v>
      </c>
      <c r="B33" s="14">
        <v>0</v>
      </c>
      <c r="C33" s="7"/>
      <c r="D33" s="7"/>
      <c r="E33" s="7"/>
      <c r="F33" s="143">
        <f t="shared" si="9"/>
        <v>0</v>
      </c>
      <c r="G33" s="143">
        <f t="shared" si="10"/>
        <v>0</v>
      </c>
      <c r="H33" s="143">
        <f t="shared" si="11"/>
        <v>0</v>
      </c>
    </row>
    <row r="34" spans="1:8" x14ac:dyDescent="0.45">
      <c r="A34" s="8" t="s">
        <v>31</v>
      </c>
      <c r="B34" s="15">
        <f>B26+B24+B23+B20+B17+B25</f>
        <v>155592.33199999999</v>
      </c>
      <c r="C34" s="9">
        <f>C26+C25+C24+C23+C20+C17</f>
        <v>184057</v>
      </c>
      <c r="D34" s="9">
        <f>D17+D20+D23+D24+D26+D25</f>
        <v>319659.85232000001</v>
      </c>
      <c r="E34" s="9">
        <f>E26+E25+E24+E23+E20+E17</f>
        <v>342118.09686000005</v>
      </c>
      <c r="F34" s="6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A1E7-8960-4605-9507-3BA880E3C1DC}">
  <dimension ref="A1:DS18"/>
  <sheetViews>
    <sheetView workbookViewId="0">
      <pane xSplit="2" ySplit="2" topLeftCell="L3" activePane="bottomRight" state="frozen"/>
      <selection pane="topRight" activeCell="C1" sqref="C1"/>
      <selection pane="bottomLeft" activeCell="A3" sqref="A3"/>
      <selection pane="bottomRight" activeCell="Q3" sqref="Q3"/>
    </sheetView>
  </sheetViews>
  <sheetFormatPr baseColWidth="10" defaultRowHeight="14.25" x14ac:dyDescent="0.45"/>
  <sheetData>
    <row r="1" spans="1:123" ht="14.65" thickBot="1" x14ac:dyDescent="0.5">
      <c r="A1" s="26">
        <v>46022</v>
      </c>
      <c r="D1" s="53">
        <v>1</v>
      </c>
      <c r="E1" s="53">
        <v>2</v>
      </c>
      <c r="F1" s="53">
        <v>3</v>
      </c>
      <c r="G1" s="53">
        <v>4</v>
      </c>
      <c r="H1" s="53">
        <v>5</v>
      </c>
      <c r="I1" s="53">
        <v>6</v>
      </c>
      <c r="J1" s="53">
        <v>7</v>
      </c>
      <c r="K1" s="53">
        <v>8</v>
      </c>
      <c r="L1" s="53">
        <v>9</v>
      </c>
      <c r="M1" s="53">
        <v>10</v>
      </c>
      <c r="N1" s="53">
        <v>11</v>
      </c>
      <c r="O1" s="53">
        <v>12</v>
      </c>
      <c r="P1" s="53">
        <v>13</v>
      </c>
      <c r="Q1" s="53">
        <v>14</v>
      </c>
      <c r="R1" s="53">
        <v>15</v>
      </c>
      <c r="S1" s="53">
        <v>16</v>
      </c>
      <c r="T1" s="53">
        <v>17</v>
      </c>
      <c r="U1" s="53">
        <v>18</v>
      </c>
      <c r="V1" s="53">
        <v>19</v>
      </c>
      <c r="W1" s="53">
        <v>20</v>
      </c>
      <c r="X1" s="53">
        <v>21</v>
      </c>
      <c r="Y1" s="53">
        <v>22</v>
      </c>
      <c r="Z1" s="53">
        <v>23</v>
      </c>
      <c r="AA1" s="53">
        <v>24</v>
      </c>
      <c r="AB1" s="53">
        <v>25</v>
      </c>
      <c r="AC1" s="53">
        <v>26</v>
      </c>
      <c r="AD1" s="53">
        <v>27</v>
      </c>
      <c r="AE1" s="53">
        <v>28</v>
      </c>
      <c r="AF1" s="53">
        <v>29</v>
      </c>
      <c r="AG1" s="53">
        <v>30</v>
      </c>
      <c r="AH1" s="53">
        <v>31</v>
      </c>
      <c r="AI1" s="53">
        <v>32</v>
      </c>
      <c r="AJ1" s="53">
        <v>33</v>
      </c>
      <c r="AK1" s="53">
        <v>34</v>
      </c>
      <c r="AL1" s="53">
        <v>35</v>
      </c>
      <c r="AM1" s="53">
        <v>36</v>
      </c>
      <c r="AN1" s="53">
        <v>37</v>
      </c>
      <c r="AO1" s="53">
        <v>38</v>
      </c>
      <c r="AP1" s="53">
        <v>39</v>
      </c>
      <c r="AQ1" s="53">
        <v>40</v>
      </c>
      <c r="AR1" s="53">
        <v>41</v>
      </c>
      <c r="AS1" s="53">
        <v>42</v>
      </c>
      <c r="AT1" s="53">
        <v>43</v>
      </c>
      <c r="AU1" s="53">
        <v>44</v>
      </c>
      <c r="AV1" s="53">
        <v>45</v>
      </c>
      <c r="AW1" s="53">
        <v>46</v>
      </c>
      <c r="AX1" s="53">
        <v>47</v>
      </c>
      <c r="AY1" s="53">
        <v>48</v>
      </c>
      <c r="AZ1" s="53">
        <v>49</v>
      </c>
      <c r="BA1" s="53">
        <v>50</v>
      </c>
      <c r="BB1" s="53">
        <v>51</v>
      </c>
      <c r="BC1" s="53">
        <v>52</v>
      </c>
      <c r="BD1" s="53">
        <v>53</v>
      </c>
      <c r="BE1" s="53">
        <v>54</v>
      </c>
      <c r="BF1" s="53">
        <v>55</v>
      </c>
      <c r="BG1" s="53">
        <v>56</v>
      </c>
      <c r="BH1" s="53">
        <v>57</v>
      </c>
      <c r="BI1" s="53">
        <v>58</v>
      </c>
      <c r="BJ1" s="53">
        <v>59</v>
      </c>
      <c r="BK1" s="53">
        <v>60</v>
      </c>
      <c r="BL1" s="53">
        <v>61</v>
      </c>
      <c r="BM1" s="53">
        <v>62</v>
      </c>
      <c r="BN1" s="53">
        <v>63</v>
      </c>
      <c r="BO1" s="53">
        <v>64</v>
      </c>
      <c r="BP1" s="53">
        <v>65</v>
      </c>
      <c r="BQ1" s="53">
        <v>66</v>
      </c>
      <c r="BR1" s="53">
        <v>67</v>
      </c>
      <c r="BS1" s="53">
        <v>68</v>
      </c>
      <c r="BT1" s="53">
        <v>69</v>
      </c>
      <c r="BU1" s="53">
        <v>70</v>
      </c>
      <c r="BV1" s="53">
        <v>71</v>
      </c>
      <c r="BW1" s="53">
        <v>72</v>
      </c>
      <c r="BX1" s="53">
        <v>73</v>
      </c>
      <c r="BY1" s="53">
        <v>74</v>
      </c>
      <c r="BZ1" s="53">
        <v>75</v>
      </c>
      <c r="CA1" s="53">
        <v>76</v>
      </c>
      <c r="CB1" s="53">
        <v>77</v>
      </c>
      <c r="CC1" s="53">
        <v>78</v>
      </c>
      <c r="CD1" s="53">
        <v>79</v>
      </c>
      <c r="CE1" s="53">
        <v>80</v>
      </c>
      <c r="CF1" s="53">
        <v>81</v>
      </c>
      <c r="CG1" s="53">
        <v>82</v>
      </c>
      <c r="CH1" s="53">
        <v>83</v>
      </c>
      <c r="CI1" s="53">
        <v>84</v>
      </c>
      <c r="CJ1" s="53">
        <v>85</v>
      </c>
      <c r="CK1" s="53">
        <v>86</v>
      </c>
      <c r="CL1" s="53">
        <v>87</v>
      </c>
      <c r="CM1" s="53">
        <v>88</v>
      </c>
      <c r="CN1" s="53">
        <v>89</v>
      </c>
      <c r="CO1" s="53">
        <v>90</v>
      </c>
      <c r="CP1" s="53">
        <v>91</v>
      </c>
      <c r="CQ1" s="53">
        <v>92</v>
      </c>
      <c r="CR1" s="53">
        <v>93</v>
      </c>
      <c r="CS1" s="53">
        <v>94</v>
      </c>
      <c r="CT1" s="53">
        <v>95</v>
      </c>
      <c r="CU1" s="53">
        <v>96</v>
      </c>
      <c r="CV1" s="53">
        <v>97</v>
      </c>
      <c r="CW1" s="53">
        <v>98</v>
      </c>
      <c r="CX1" s="53">
        <v>99</v>
      </c>
      <c r="CY1" s="53">
        <v>100</v>
      </c>
      <c r="CZ1" s="53">
        <v>101</v>
      </c>
      <c r="DA1" s="53">
        <v>102</v>
      </c>
      <c r="DB1" s="53">
        <v>103</v>
      </c>
      <c r="DC1" s="53">
        <v>104</v>
      </c>
      <c r="DD1" s="53">
        <v>105</v>
      </c>
      <c r="DE1" s="53">
        <v>106</v>
      </c>
      <c r="DF1" s="53">
        <v>107</v>
      </c>
      <c r="DG1" s="53">
        <v>108</v>
      </c>
      <c r="DH1" s="53">
        <v>109</v>
      </c>
      <c r="DI1" s="53">
        <v>110</v>
      </c>
      <c r="DJ1" s="53">
        <v>111</v>
      </c>
      <c r="DK1" s="53">
        <v>112</v>
      </c>
      <c r="DL1" s="53">
        <v>113</v>
      </c>
      <c r="DM1" s="53">
        <v>114</v>
      </c>
      <c r="DN1" s="53">
        <v>115</v>
      </c>
      <c r="DO1" s="53">
        <v>116</v>
      </c>
      <c r="DP1" s="53">
        <v>117</v>
      </c>
      <c r="DQ1" s="53">
        <v>118</v>
      </c>
      <c r="DR1" s="53">
        <v>119</v>
      </c>
      <c r="DS1" s="53">
        <v>120</v>
      </c>
    </row>
    <row r="2" spans="1:123" ht="28.15" thickBot="1" x14ac:dyDescent="0.5">
      <c r="A2" s="27" t="s">
        <v>69</v>
      </c>
      <c r="B2" s="27" t="s">
        <v>70</v>
      </c>
      <c r="C2" s="87"/>
      <c r="D2" s="53" t="s">
        <v>127</v>
      </c>
      <c r="E2" s="53" t="s">
        <v>128</v>
      </c>
      <c r="F2" s="53" t="s">
        <v>129</v>
      </c>
      <c r="G2" s="53" t="s">
        <v>130</v>
      </c>
      <c r="H2" s="53" t="s">
        <v>131</v>
      </c>
      <c r="I2" s="53" t="s">
        <v>132</v>
      </c>
      <c r="J2" s="53" t="s">
        <v>133</v>
      </c>
      <c r="K2" s="53" t="s">
        <v>134</v>
      </c>
      <c r="L2" s="53" t="s">
        <v>135</v>
      </c>
      <c r="M2" s="53" t="s">
        <v>136</v>
      </c>
      <c r="N2" s="53" t="s">
        <v>137</v>
      </c>
      <c r="O2" s="53" t="s">
        <v>138</v>
      </c>
      <c r="P2" s="53" t="s">
        <v>139</v>
      </c>
      <c r="Q2" s="53" t="s">
        <v>140</v>
      </c>
      <c r="R2" s="53" t="s">
        <v>141</v>
      </c>
      <c r="S2" s="53" t="s">
        <v>142</v>
      </c>
      <c r="T2" s="53" t="s">
        <v>143</v>
      </c>
      <c r="U2" s="53" t="s">
        <v>144</v>
      </c>
      <c r="V2" s="53" t="s">
        <v>145</v>
      </c>
      <c r="W2" s="53" t="s">
        <v>146</v>
      </c>
      <c r="X2" s="53" t="s">
        <v>147</v>
      </c>
      <c r="Y2" s="53" t="s">
        <v>148</v>
      </c>
      <c r="Z2" s="53" t="s">
        <v>149</v>
      </c>
      <c r="AA2" s="53" t="s">
        <v>150</v>
      </c>
      <c r="AB2" s="53" t="s">
        <v>151</v>
      </c>
      <c r="AC2" s="53" t="s">
        <v>152</v>
      </c>
      <c r="AD2" s="53" t="s">
        <v>153</v>
      </c>
      <c r="AE2" s="53" t="s">
        <v>154</v>
      </c>
      <c r="AF2" s="53" t="s">
        <v>155</v>
      </c>
      <c r="AG2" s="53" t="s">
        <v>156</v>
      </c>
      <c r="AH2" s="53" t="s">
        <v>157</v>
      </c>
      <c r="AI2" s="53" t="s">
        <v>158</v>
      </c>
      <c r="AJ2" s="53" t="s">
        <v>159</v>
      </c>
      <c r="AK2" s="53" t="s">
        <v>160</v>
      </c>
      <c r="AL2" s="53" t="s">
        <v>161</v>
      </c>
      <c r="AM2" s="53" t="s">
        <v>162</v>
      </c>
      <c r="AN2" s="53" t="s">
        <v>163</v>
      </c>
      <c r="AO2" s="53" t="s">
        <v>164</v>
      </c>
      <c r="AP2" s="53" t="s">
        <v>165</v>
      </c>
      <c r="AQ2" s="53" t="s">
        <v>166</v>
      </c>
      <c r="AR2" s="53" t="s">
        <v>167</v>
      </c>
      <c r="AS2" s="53" t="s">
        <v>168</v>
      </c>
      <c r="AT2" s="53" t="s">
        <v>169</v>
      </c>
      <c r="AU2" s="53" t="s">
        <v>170</v>
      </c>
      <c r="AV2" s="53" t="s">
        <v>171</v>
      </c>
      <c r="AW2" s="53" t="s">
        <v>172</v>
      </c>
      <c r="AX2" s="53" t="s">
        <v>173</v>
      </c>
      <c r="AY2" s="53" t="s">
        <v>174</v>
      </c>
      <c r="AZ2" s="53" t="s">
        <v>175</v>
      </c>
      <c r="BA2" s="53" t="s">
        <v>176</v>
      </c>
      <c r="BB2" s="53" t="s">
        <v>177</v>
      </c>
      <c r="BC2" s="53" t="s">
        <v>178</v>
      </c>
      <c r="BD2" s="53" t="s">
        <v>179</v>
      </c>
      <c r="BE2" s="53" t="s">
        <v>180</v>
      </c>
      <c r="BF2" s="53" t="s">
        <v>181</v>
      </c>
      <c r="BG2" s="53" t="s">
        <v>182</v>
      </c>
      <c r="BH2" s="53" t="s">
        <v>183</v>
      </c>
      <c r="BI2" s="53" t="s">
        <v>184</v>
      </c>
      <c r="BJ2" s="53" t="s">
        <v>185</v>
      </c>
      <c r="BK2" s="53" t="s">
        <v>186</v>
      </c>
      <c r="BL2" s="53" t="s">
        <v>187</v>
      </c>
      <c r="BM2" s="53" t="s">
        <v>188</v>
      </c>
      <c r="BN2" s="53" t="s">
        <v>189</v>
      </c>
      <c r="BO2" s="53" t="s">
        <v>190</v>
      </c>
      <c r="BP2" s="53" t="s">
        <v>191</v>
      </c>
      <c r="BQ2" s="53" t="s">
        <v>192</v>
      </c>
      <c r="BR2" s="53" t="s">
        <v>193</v>
      </c>
      <c r="BS2" s="53" t="s">
        <v>194</v>
      </c>
      <c r="BT2" s="53" t="s">
        <v>195</v>
      </c>
      <c r="BU2" s="53" t="s">
        <v>196</v>
      </c>
      <c r="BV2" s="53" t="s">
        <v>197</v>
      </c>
      <c r="BW2" s="53" t="s">
        <v>198</v>
      </c>
      <c r="BX2" s="53" t="s">
        <v>199</v>
      </c>
      <c r="BY2" s="53" t="s">
        <v>200</v>
      </c>
      <c r="BZ2" s="53" t="s">
        <v>201</v>
      </c>
      <c r="CA2" s="53" t="s">
        <v>202</v>
      </c>
      <c r="CB2" s="53" t="s">
        <v>203</v>
      </c>
      <c r="CC2" s="53" t="s">
        <v>204</v>
      </c>
      <c r="CD2" s="53" t="s">
        <v>205</v>
      </c>
      <c r="CE2" s="53" t="s">
        <v>206</v>
      </c>
      <c r="CF2" s="53" t="s">
        <v>207</v>
      </c>
      <c r="CG2" s="53" t="s">
        <v>208</v>
      </c>
      <c r="CH2" s="53" t="s">
        <v>209</v>
      </c>
      <c r="CI2" s="53" t="s">
        <v>210</v>
      </c>
      <c r="CJ2" s="53" t="s">
        <v>211</v>
      </c>
      <c r="CK2" s="53" t="s">
        <v>212</v>
      </c>
      <c r="CL2" s="53" t="s">
        <v>213</v>
      </c>
      <c r="CM2" s="53" t="s">
        <v>214</v>
      </c>
      <c r="CN2" s="53" t="s">
        <v>215</v>
      </c>
      <c r="CO2" s="53" t="s">
        <v>216</v>
      </c>
      <c r="CP2" s="53" t="s">
        <v>217</v>
      </c>
      <c r="CQ2" s="53" t="s">
        <v>218</v>
      </c>
      <c r="CR2" s="53" t="s">
        <v>219</v>
      </c>
      <c r="CS2" s="53" t="s">
        <v>220</v>
      </c>
      <c r="CT2" s="53" t="s">
        <v>221</v>
      </c>
      <c r="CU2" s="53" t="s">
        <v>222</v>
      </c>
      <c r="CV2" s="53" t="s">
        <v>223</v>
      </c>
      <c r="CW2" s="53" t="s">
        <v>224</v>
      </c>
      <c r="CX2" s="53" t="s">
        <v>225</v>
      </c>
      <c r="CY2" s="53" t="s">
        <v>226</v>
      </c>
      <c r="CZ2" s="53" t="s">
        <v>227</v>
      </c>
      <c r="DA2" s="53" t="s">
        <v>228</v>
      </c>
      <c r="DB2" s="53" t="s">
        <v>229</v>
      </c>
      <c r="DC2" s="53" t="s">
        <v>230</v>
      </c>
      <c r="DD2" s="53" t="s">
        <v>231</v>
      </c>
      <c r="DE2" s="53" t="s">
        <v>232</v>
      </c>
      <c r="DF2" s="53" t="s">
        <v>233</v>
      </c>
      <c r="DG2" s="53" t="s">
        <v>234</v>
      </c>
      <c r="DH2" s="53" t="s">
        <v>235</v>
      </c>
      <c r="DI2" s="53" t="s">
        <v>236</v>
      </c>
      <c r="DJ2" s="53" t="s">
        <v>237</v>
      </c>
      <c r="DK2" s="53" t="s">
        <v>238</v>
      </c>
      <c r="DL2" s="53" t="s">
        <v>239</v>
      </c>
      <c r="DM2" s="53" t="s">
        <v>240</v>
      </c>
      <c r="DN2" s="53" t="s">
        <v>241</v>
      </c>
      <c r="DO2" s="53" t="s">
        <v>242</v>
      </c>
      <c r="DP2" s="53" t="s">
        <v>243</v>
      </c>
      <c r="DQ2" s="53" t="s">
        <v>244</v>
      </c>
      <c r="DR2" s="53" t="s">
        <v>245</v>
      </c>
      <c r="DS2" s="53" t="s">
        <v>246</v>
      </c>
    </row>
    <row r="3" spans="1:123" ht="14.65" thickBot="1" x14ac:dyDescent="0.5">
      <c r="A3" s="28" t="s">
        <v>72</v>
      </c>
      <c r="B3" s="29">
        <v>5.1698000000000001E-2</v>
      </c>
      <c r="C3" s="29"/>
      <c r="D3" s="29">
        <v>5.1698000000000001E-2</v>
      </c>
      <c r="E3" s="86">
        <f>D3+(F3-D3)*((E1-D1)/(F1-D1))</f>
        <v>5.9997999999999996E-2</v>
      </c>
      <c r="F3" s="29">
        <v>6.8297999999999998E-2</v>
      </c>
      <c r="G3" s="86">
        <f>F3+(I3-F3)*((G1-F1)/(I1-F1))</f>
        <v>6.9169999999999995E-2</v>
      </c>
      <c r="H3" s="86">
        <f>F3+(I3-F3)*((H1-F1)/(I1-F1))</f>
        <v>7.0042000000000007E-2</v>
      </c>
      <c r="I3" s="29">
        <v>7.0914000000000005E-2</v>
      </c>
      <c r="J3" s="86">
        <f>I3+(L3-I3)*((J1-I1)/(L1-I1))</f>
        <v>7.3168333333333335E-2</v>
      </c>
      <c r="K3" s="86">
        <f>I3+(L3-I3)*((K1-I1)/(L1-I1))</f>
        <v>7.5422666666666666E-2</v>
      </c>
      <c r="L3" s="29">
        <v>7.7676999999999996E-2</v>
      </c>
      <c r="M3" s="86">
        <f>L3+(O3-L3)*((M1-L1)/(O1-L1))</f>
        <v>7.5831999999999997E-2</v>
      </c>
      <c r="N3" s="86">
        <f>L3+(O3-L3)*((N1-L1)/(O1-L1))</f>
        <v>7.3986999999999997E-2</v>
      </c>
      <c r="O3" s="90">
        <v>7.2141999999999998E-2</v>
      </c>
      <c r="P3" s="89">
        <f>+O3+(AA3-O3)*((P1-O1)/(AA1-O1))</f>
        <v>7.2006666666666663E-2</v>
      </c>
      <c r="AA3" s="90">
        <v>7.0517999999999997E-2</v>
      </c>
      <c r="AM3" s="29">
        <v>7.6426999999999995E-2</v>
      </c>
      <c r="AY3" s="29">
        <v>7.6691999999999996E-2</v>
      </c>
      <c r="BK3" s="29">
        <v>7.6552999999999996E-2</v>
      </c>
      <c r="BW3" s="29">
        <v>7.5965000000000005E-2</v>
      </c>
      <c r="CI3" s="29">
        <v>7.5028999999999998E-2</v>
      </c>
      <c r="CU3" s="29">
        <v>7.4620000000000006E-2</v>
      </c>
      <c r="DG3" s="29">
        <v>7.4201000000000003E-2</v>
      </c>
      <c r="DS3" s="29">
        <v>7.3719000000000007E-2</v>
      </c>
    </row>
    <row r="4" spans="1:123" ht="14.65" thickBot="1" x14ac:dyDescent="0.5">
      <c r="A4" s="28" t="s">
        <v>73</v>
      </c>
      <c r="B4" s="29">
        <v>6.8297999999999998E-2</v>
      </c>
      <c r="C4" s="88"/>
    </row>
    <row r="5" spans="1:123" ht="14.65" thickBot="1" x14ac:dyDescent="0.5">
      <c r="A5" s="28" t="s">
        <v>74</v>
      </c>
      <c r="B5" s="29">
        <v>7.0914000000000005E-2</v>
      </c>
      <c r="C5" s="88"/>
    </row>
    <row r="6" spans="1:123" ht="14.65" thickBot="1" x14ac:dyDescent="0.5">
      <c r="A6" s="28" t="s">
        <v>75</v>
      </c>
      <c r="B6" s="29">
        <v>7.7676999999999996E-2</v>
      </c>
      <c r="C6" s="88"/>
    </row>
    <row r="7" spans="1:123" ht="14.65" thickBot="1" x14ac:dyDescent="0.5">
      <c r="A7" s="28" t="s">
        <v>76</v>
      </c>
      <c r="B7" s="29">
        <v>7.2141999999999998E-2</v>
      </c>
      <c r="C7" s="88"/>
    </row>
    <row r="8" spans="1:123" ht="14.65" thickBot="1" x14ac:dyDescent="0.5">
      <c r="A8" s="28" t="s">
        <v>77</v>
      </c>
      <c r="B8" s="29">
        <v>7.0517999999999997E-2</v>
      </c>
      <c r="C8" s="88"/>
    </row>
    <row r="9" spans="1:123" ht="14.65" thickBot="1" x14ac:dyDescent="0.5">
      <c r="A9" s="28" t="s">
        <v>78</v>
      </c>
      <c r="B9" s="29">
        <v>7.6426999999999995E-2</v>
      </c>
      <c r="C9" s="88"/>
    </row>
    <row r="10" spans="1:123" ht="14.65" thickBot="1" x14ac:dyDescent="0.5">
      <c r="A10" s="28" t="s">
        <v>79</v>
      </c>
      <c r="B10" s="29">
        <v>7.6691999999999996E-2</v>
      </c>
      <c r="C10" s="88"/>
    </row>
    <row r="11" spans="1:123" ht="14.65" thickBot="1" x14ac:dyDescent="0.5">
      <c r="A11" s="28" t="s">
        <v>80</v>
      </c>
      <c r="B11" s="29">
        <v>7.6552999999999996E-2</v>
      </c>
      <c r="C11" s="88"/>
    </row>
    <row r="12" spans="1:123" ht="14.65" thickBot="1" x14ac:dyDescent="0.5">
      <c r="A12" s="28" t="s">
        <v>81</v>
      </c>
      <c r="B12" s="29">
        <v>7.5965000000000005E-2</v>
      </c>
      <c r="C12" s="88"/>
    </row>
    <row r="13" spans="1:123" ht="14.65" thickBot="1" x14ac:dyDescent="0.5">
      <c r="A13" s="28" t="s">
        <v>82</v>
      </c>
      <c r="B13" s="29">
        <v>7.5028999999999998E-2</v>
      </c>
      <c r="C13" s="88"/>
    </row>
    <row r="14" spans="1:123" ht="14.65" thickBot="1" x14ac:dyDescent="0.5">
      <c r="A14" s="28" t="s">
        <v>83</v>
      </c>
      <c r="B14" s="29">
        <v>7.4620000000000006E-2</v>
      </c>
      <c r="C14" s="88"/>
    </row>
    <row r="15" spans="1:123" ht="14.65" thickBot="1" x14ac:dyDescent="0.5">
      <c r="A15" s="28" t="s">
        <v>84</v>
      </c>
      <c r="B15" s="29">
        <v>7.4201000000000003E-2</v>
      </c>
      <c r="C15" s="88"/>
    </row>
    <row r="16" spans="1:123" ht="14.65" thickBot="1" x14ac:dyDescent="0.5">
      <c r="A16" s="28" t="s">
        <v>85</v>
      </c>
      <c r="B16" s="29">
        <v>7.3719000000000007E-2</v>
      </c>
      <c r="C16" s="88"/>
    </row>
    <row r="18" spans="1:4" x14ac:dyDescent="0.45">
      <c r="A18" s="116" t="s">
        <v>71</v>
      </c>
      <c r="B18" s="117"/>
      <c r="C18" s="117"/>
      <c r="D18" s="117"/>
    </row>
  </sheetData>
  <mergeCells count="1">
    <mergeCell ref="A18:D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74A3-E018-41C7-96B9-AFF3B8B3A9E9}">
  <dimension ref="A1:H26"/>
  <sheetViews>
    <sheetView topLeftCell="A2" workbookViewId="0">
      <selection activeCell="E2" sqref="E1:E1048576"/>
    </sheetView>
  </sheetViews>
  <sheetFormatPr baseColWidth="10" defaultRowHeight="14.25" x14ac:dyDescent="0.45"/>
  <cols>
    <col min="1" max="1" width="69.86328125" bestFit="1" customWidth="1"/>
    <col min="2" max="2" width="5.19921875" bestFit="1" customWidth="1"/>
    <col min="4" max="4" width="72.33203125" customWidth="1"/>
    <col min="5" max="5" width="9.59765625" bestFit="1" customWidth="1"/>
    <col min="7" max="7" width="26.33203125" bestFit="1" customWidth="1"/>
    <col min="8" max="8" width="5.53125" bestFit="1" customWidth="1"/>
    <col min="10" max="10" width="51.6640625" bestFit="1" customWidth="1"/>
    <col min="11" max="11" width="5.53125" bestFit="1" customWidth="1"/>
  </cols>
  <sheetData>
    <row r="1" spans="1:8" ht="14.65" thickBot="1" x14ac:dyDescent="0.5">
      <c r="A1" s="118" t="s">
        <v>95</v>
      </c>
      <c r="B1" s="118"/>
    </row>
    <row r="2" spans="1:8" x14ac:dyDescent="0.45">
      <c r="A2" s="31" t="s">
        <v>86</v>
      </c>
      <c r="B2" s="32" t="s">
        <v>87</v>
      </c>
      <c r="D2" s="4" t="s">
        <v>4</v>
      </c>
      <c r="E2" s="13">
        <v>28006.945</v>
      </c>
      <c r="F2" s="13">
        <v>24611</v>
      </c>
      <c r="G2" s="13">
        <v>34452</v>
      </c>
      <c r="H2" s="5">
        <v>27054</v>
      </c>
    </row>
    <row r="3" spans="1:8" x14ac:dyDescent="0.45">
      <c r="A3" s="35" t="s">
        <v>89</v>
      </c>
      <c r="B3" s="36">
        <v>4.9970939534691151E-2</v>
      </c>
      <c r="D3" s="6" t="s">
        <v>5</v>
      </c>
      <c r="E3" s="14">
        <v>19086.274000000001</v>
      </c>
      <c r="F3" s="14">
        <v>16458</v>
      </c>
      <c r="G3" s="14">
        <v>28608</v>
      </c>
      <c r="H3" s="7">
        <v>26797</v>
      </c>
    </row>
    <row r="4" spans="1:8" x14ac:dyDescent="0.45">
      <c r="A4" s="35" t="s">
        <v>91</v>
      </c>
      <c r="B4" s="36">
        <v>-5.8049869602725436E-2</v>
      </c>
      <c r="D4" s="6" t="s">
        <v>6</v>
      </c>
      <c r="E4" s="14">
        <v>8920.6710000000003</v>
      </c>
      <c r="F4" s="14">
        <v>8153</v>
      </c>
      <c r="G4" s="14">
        <v>5844</v>
      </c>
      <c r="H4" s="7">
        <v>257</v>
      </c>
    </row>
    <row r="5" spans="1:8" x14ac:dyDescent="0.45">
      <c r="A5" s="39" t="s">
        <v>92</v>
      </c>
      <c r="B5" s="36"/>
      <c r="D5" s="4" t="s">
        <v>7</v>
      </c>
      <c r="E5" s="13">
        <v>125650.31899999999</v>
      </c>
      <c r="F5" s="13">
        <f>F6+F7+F8</f>
        <v>157553</v>
      </c>
      <c r="G5" s="13">
        <v>267467</v>
      </c>
      <c r="H5" s="5">
        <v>297941</v>
      </c>
    </row>
    <row r="6" spans="1:8" x14ac:dyDescent="0.45">
      <c r="A6" s="35" t="s">
        <v>93</v>
      </c>
      <c r="B6" s="36">
        <v>-0.25307099227748242</v>
      </c>
      <c r="D6" s="6" t="s">
        <v>8</v>
      </c>
      <c r="E6" s="14">
        <v>358.11700000000002</v>
      </c>
      <c r="F6" s="14">
        <v>5939</v>
      </c>
      <c r="G6" s="14">
        <v>3970</v>
      </c>
      <c r="H6" s="7">
        <v>18036</v>
      </c>
    </row>
    <row r="7" spans="1:8" x14ac:dyDescent="0.45">
      <c r="A7" s="35" t="s">
        <v>94</v>
      </c>
      <c r="B7" s="36">
        <v>-1.5528609631473813E-2</v>
      </c>
      <c r="D7" s="6" t="s">
        <v>9</v>
      </c>
      <c r="E7" s="14">
        <v>49615.565999999999</v>
      </c>
      <c r="F7" s="14">
        <v>60919</v>
      </c>
      <c r="G7" s="14">
        <v>146749</v>
      </c>
      <c r="H7" s="7">
        <v>159220</v>
      </c>
    </row>
    <row r="8" spans="1:8" x14ac:dyDescent="0.45">
      <c r="A8" s="35" t="s">
        <v>23</v>
      </c>
      <c r="B8" s="36">
        <v>-7.4579438566883371E-2</v>
      </c>
      <c r="D8" s="6" t="s">
        <v>10</v>
      </c>
      <c r="E8" s="14">
        <v>75676.635999999999</v>
      </c>
      <c r="F8" s="14">
        <v>90695</v>
      </c>
      <c r="G8" s="14">
        <v>116748</v>
      </c>
      <c r="H8" s="7">
        <v>120685</v>
      </c>
    </row>
    <row r="9" spans="1:8" ht="14.65" thickBot="1" x14ac:dyDescent="0.5"/>
    <row r="10" spans="1:8" ht="14.65" thickBot="1" x14ac:dyDescent="0.5">
      <c r="A10" s="43" t="s">
        <v>96</v>
      </c>
      <c r="B10" s="43"/>
    </row>
    <row r="11" spans="1:8" ht="26.25" x14ac:dyDescent="0.45">
      <c r="A11" s="33" t="s">
        <v>86</v>
      </c>
      <c r="B11" s="34" t="s">
        <v>88</v>
      </c>
    </row>
    <row r="12" spans="1:8" x14ac:dyDescent="0.45">
      <c r="A12" s="37" t="s">
        <v>90</v>
      </c>
      <c r="B12" s="38">
        <v>-0.15</v>
      </c>
    </row>
    <row r="13" spans="1:8" x14ac:dyDescent="0.45">
      <c r="A13" s="37" t="s">
        <v>89</v>
      </c>
      <c r="B13" s="38">
        <v>-9.557671882868457E-2</v>
      </c>
    </row>
    <row r="14" spans="1:8" x14ac:dyDescent="0.45">
      <c r="A14" s="37" t="s">
        <v>91</v>
      </c>
      <c r="B14" s="38">
        <v>-5.9412866397633964E-3</v>
      </c>
    </row>
    <row r="15" spans="1:8" x14ac:dyDescent="0.45">
      <c r="A15" s="40" t="s">
        <v>92</v>
      </c>
      <c r="B15" s="38"/>
    </row>
    <row r="16" spans="1:8" x14ac:dyDescent="0.45">
      <c r="A16" s="37" t="s">
        <v>94</v>
      </c>
      <c r="B16" s="38">
        <v>-4.2344283821844603E-2</v>
      </c>
    </row>
    <row r="17" spans="1:2" ht="14.65" thickBot="1" x14ac:dyDescent="0.5">
      <c r="A17" s="41" t="s">
        <v>23</v>
      </c>
      <c r="B17" s="42">
        <v>-4.8425808172708376E-2</v>
      </c>
    </row>
    <row r="19" spans="1:2" ht="14.65" thickBot="1" x14ac:dyDescent="0.5">
      <c r="A19" s="30" t="s">
        <v>97</v>
      </c>
      <c r="B19" s="30"/>
    </row>
    <row r="20" spans="1:2" ht="26.25" x14ac:dyDescent="0.45">
      <c r="A20" s="33" t="s">
        <v>86</v>
      </c>
      <c r="B20" s="34" t="s">
        <v>88</v>
      </c>
    </row>
    <row r="21" spans="1:2" x14ac:dyDescent="0.45">
      <c r="A21" s="37" t="s">
        <v>90</v>
      </c>
      <c r="B21" s="38">
        <v>-0.87720679824336134</v>
      </c>
    </row>
    <row r="22" spans="1:2" x14ac:dyDescent="0.45">
      <c r="A22" s="37" t="s">
        <v>89</v>
      </c>
      <c r="B22" s="38">
        <v>-0.45621182959973405</v>
      </c>
    </row>
    <row r="23" spans="1:2" x14ac:dyDescent="0.45">
      <c r="A23" s="37" t="s">
        <v>91</v>
      </c>
      <c r="B23" s="38">
        <v>-5.7346031297210741E-2</v>
      </c>
    </row>
    <row r="24" spans="1:2" x14ac:dyDescent="0.45">
      <c r="A24" s="40" t="s">
        <v>92</v>
      </c>
      <c r="B24" s="38"/>
    </row>
    <row r="25" spans="1:2" x14ac:dyDescent="0.45">
      <c r="A25" s="37" t="s">
        <v>94</v>
      </c>
      <c r="B25" s="38">
        <v>-0.28354281385994778</v>
      </c>
    </row>
    <row r="26" spans="1:2" ht="14.65" thickBot="1" x14ac:dyDescent="0.5">
      <c r="A26" s="41" t="s">
        <v>23</v>
      </c>
      <c r="B26" s="42">
        <v>-0.10822294255389739</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3EA4-F1D6-410B-A895-66D64A9FB4D8}">
  <dimension ref="A1:DY120"/>
  <sheetViews>
    <sheetView workbookViewId="0">
      <selection activeCell="P15" sqref="P15"/>
    </sheetView>
  </sheetViews>
  <sheetFormatPr baseColWidth="10" defaultRowHeight="14.25" x14ac:dyDescent="0.45"/>
  <cols>
    <col min="1" max="1" width="11.86328125" bestFit="1" customWidth="1"/>
    <col min="2" max="2" width="6.6640625" bestFit="1" customWidth="1"/>
    <col min="3" max="3" width="30.06640625" customWidth="1"/>
    <col min="4" max="4" width="7.53125" customWidth="1"/>
    <col min="5" max="5" width="9.46484375" customWidth="1"/>
    <col min="6" max="6" width="4.796875" customWidth="1"/>
    <col min="7" max="7" width="18.19921875" hidden="1" customWidth="1"/>
    <col min="8" max="8" width="22.1328125" hidden="1" customWidth="1"/>
    <col min="9" max="9" width="9.73046875" customWidth="1"/>
    <col min="10" max="10" width="14.86328125" bestFit="1" customWidth="1"/>
    <col min="21" max="21" width="11.86328125" style="99" bestFit="1" customWidth="1"/>
    <col min="33" max="33" width="10.6640625" style="105"/>
    <col min="45" max="45" width="10.6640625" style="111"/>
  </cols>
  <sheetData>
    <row r="1" spans="1:129" x14ac:dyDescent="0.45">
      <c r="E1" s="115" t="s">
        <v>50</v>
      </c>
      <c r="F1" s="115"/>
      <c r="G1" s="115" t="s">
        <v>51</v>
      </c>
      <c r="H1" s="115"/>
      <c r="I1" s="53">
        <v>0</v>
      </c>
      <c r="J1" s="53">
        <v>1</v>
      </c>
      <c r="K1" s="53">
        <v>2</v>
      </c>
      <c r="L1" s="53">
        <v>3</v>
      </c>
      <c r="M1" s="53">
        <v>4</v>
      </c>
      <c r="N1" s="53">
        <v>5</v>
      </c>
      <c r="O1" s="53">
        <v>6</v>
      </c>
      <c r="P1" s="53">
        <v>7</v>
      </c>
      <c r="Q1" s="53">
        <v>8</v>
      </c>
      <c r="R1" s="53">
        <v>9</v>
      </c>
      <c r="S1" s="53">
        <v>10</v>
      </c>
      <c r="T1" s="53">
        <v>11</v>
      </c>
      <c r="U1" s="92">
        <v>12</v>
      </c>
      <c r="V1" s="53">
        <v>13</v>
      </c>
      <c r="W1" s="53">
        <v>14</v>
      </c>
      <c r="X1" s="53">
        <v>15</v>
      </c>
      <c r="Y1" s="53">
        <v>16</v>
      </c>
      <c r="Z1" s="53">
        <v>17</v>
      </c>
      <c r="AA1" s="53">
        <v>18</v>
      </c>
      <c r="AB1" s="53">
        <v>19</v>
      </c>
      <c r="AC1" s="53">
        <v>20</v>
      </c>
      <c r="AD1" s="53">
        <v>21</v>
      </c>
      <c r="AE1" s="53">
        <v>22</v>
      </c>
      <c r="AF1" s="53">
        <v>23</v>
      </c>
      <c r="AG1" s="100">
        <v>24</v>
      </c>
      <c r="AH1" s="53">
        <v>25</v>
      </c>
      <c r="AI1" s="53">
        <v>26</v>
      </c>
      <c r="AJ1" s="53">
        <v>27</v>
      </c>
      <c r="AK1" s="53">
        <v>28</v>
      </c>
      <c r="AL1" s="53">
        <v>29</v>
      </c>
      <c r="AM1" s="53">
        <v>30</v>
      </c>
      <c r="AN1" s="53">
        <v>31</v>
      </c>
      <c r="AO1" s="53">
        <v>32</v>
      </c>
      <c r="AP1" s="53">
        <v>33</v>
      </c>
      <c r="AQ1" s="53">
        <v>34</v>
      </c>
      <c r="AR1" s="53">
        <v>35</v>
      </c>
      <c r="AS1" s="106">
        <v>36</v>
      </c>
      <c r="AT1" s="53">
        <v>37</v>
      </c>
      <c r="AU1" s="53">
        <v>38</v>
      </c>
      <c r="AV1" s="53">
        <v>39</v>
      </c>
      <c r="AW1" s="53">
        <v>40</v>
      </c>
      <c r="AX1" s="53">
        <v>41</v>
      </c>
      <c r="AY1" s="53">
        <v>42</v>
      </c>
      <c r="AZ1" s="53">
        <v>43</v>
      </c>
      <c r="BA1" s="53">
        <v>44</v>
      </c>
      <c r="BB1" s="53">
        <v>45</v>
      </c>
      <c r="BC1" s="53">
        <v>46</v>
      </c>
      <c r="BD1" s="53">
        <v>47</v>
      </c>
      <c r="BE1" s="53">
        <v>48</v>
      </c>
      <c r="BF1" s="53">
        <v>49</v>
      </c>
      <c r="BG1" s="53">
        <v>50</v>
      </c>
      <c r="BH1" s="53">
        <v>51</v>
      </c>
      <c r="BI1" s="53">
        <v>52</v>
      </c>
      <c r="BJ1" s="53">
        <v>53</v>
      </c>
      <c r="BK1" s="53">
        <v>54</v>
      </c>
      <c r="BL1" s="53">
        <v>55</v>
      </c>
      <c r="BM1" s="53">
        <v>56</v>
      </c>
      <c r="BN1" s="53">
        <v>57</v>
      </c>
      <c r="BO1" s="53">
        <v>58</v>
      </c>
      <c r="BP1" s="53">
        <v>59</v>
      </c>
      <c r="BQ1" s="53">
        <v>60</v>
      </c>
      <c r="BR1" s="53">
        <v>61</v>
      </c>
      <c r="BS1" s="53">
        <v>62</v>
      </c>
      <c r="BT1" s="53">
        <v>63</v>
      </c>
      <c r="BU1" s="53">
        <v>64</v>
      </c>
      <c r="BV1" s="53">
        <v>65</v>
      </c>
      <c r="BW1" s="53">
        <v>66</v>
      </c>
      <c r="BX1" s="53">
        <v>67</v>
      </c>
      <c r="BY1" s="53">
        <v>68</v>
      </c>
      <c r="BZ1" s="53">
        <v>69</v>
      </c>
      <c r="CA1" s="53">
        <v>70</v>
      </c>
      <c r="CB1" s="53">
        <v>71</v>
      </c>
      <c r="CC1" s="53">
        <v>72</v>
      </c>
      <c r="CD1" s="53">
        <v>73</v>
      </c>
      <c r="CE1" s="53">
        <v>74</v>
      </c>
      <c r="CF1" s="53">
        <v>75</v>
      </c>
      <c r="CG1" s="53">
        <v>76</v>
      </c>
      <c r="CH1" s="53">
        <v>77</v>
      </c>
      <c r="CI1" s="53">
        <v>78</v>
      </c>
      <c r="CJ1" s="53">
        <v>79</v>
      </c>
      <c r="CK1" s="53">
        <v>80</v>
      </c>
      <c r="CL1" s="53">
        <v>81</v>
      </c>
      <c r="CM1" s="53">
        <v>82</v>
      </c>
      <c r="CN1" s="53">
        <v>83</v>
      </c>
      <c r="CO1" s="53">
        <v>84</v>
      </c>
      <c r="CP1" s="53">
        <v>85</v>
      </c>
      <c r="CQ1" s="53">
        <v>86</v>
      </c>
      <c r="CR1" s="53">
        <v>87</v>
      </c>
      <c r="CS1" s="53">
        <v>88</v>
      </c>
      <c r="CT1" s="53">
        <v>89</v>
      </c>
      <c r="CU1" s="53">
        <v>90</v>
      </c>
      <c r="CV1" s="53">
        <v>91</v>
      </c>
      <c r="CW1" s="53">
        <v>92</v>
      </c>
      <c r="CX1" s="53">
        <v>93</v>
      </c>
      <c r="CY1" s="53">
        <v>94</v>
      </c>
      <c r="CZ1" s="53">
        <v>95</v>
      </c>
      <c r="DA1" s="53">
        <v>96</v>
      </c>
      <c r="DB1" s="53">
        <v>97</v>
      </c>
      <c r="DC1" s="53">
        <v>98</v>
      </c>
      <c r="DD1" s="53">
        <v>99</v>
      </c>
      <c r="DE1" s="53">
        <v>100</v>
      </c>
      <c r="DF1" s="53">
        <v>101</v>
      </c>
      <c r="DG1" s="53">
        <v>102</v>
      </c>
      <c r="DH1" s="53">
        <v>103</v>
      </c>
      <c r="DI1" s="53">
        <v>104</v>
      </c>
      <c r="DJ1" s="53">
        <v>105</v>
      </c>
      <c r="DK1" s="53">
        <v>106</v>
      </c>
      <c r="DL1" s="53">
        <v>107</v>
      </c>
      <c r="DM1" s="53">
        <v>108</v>
      </c>
      <c r="DN1" s="53">
        <v>109</v>
      </c>
      <c r="DO1" s="53">
        <v>110</v>
      </c>
      <c r="DP1" s="53">
        <v>111</v>
      </c>
      <c r="DQ1" s="53">
        <v>112</v>
      </c>
      <c r="DR1" s="53">
        <v>113</v>
      </c>
      <c r="DS1" s="53">
        <v>114</v>
      </c>
      <c r="DT1" s="53">
        <v>115</v>
      </c>
      <c r="DU1" s="53">
        <v>116</v>
      </c>
      <c r="DV1" s="53">
        <v>117</v>
      </c>
      <c r="DW1" s="53">
        <v>118</v>
      </c>
      <c r="DX1" s="53">
        <v>119</v>
      </c>
      <c r="DY1" s="53">
        <v>120</v>
      </c>
    </row>
    <row r="2" spans="1:129" x14ac:dyDescent="0.45">
      <c r="A2" s="10" t="s">
        <v>18</v>
      </c>
      <c r="B2" s="10" t="s">
        <v>16</v>
      </c>
      <c r="C2" s="10" t="s">
        <v>17</v>
      </c>
      <c r="D2" s="10" t="s">
        <v>52</v>
      </c>
      <c r="E2" s="10" t="s">
        <v>42</v>
      </c>
      <c r="F2" s="10" t="s">
        <v>44</v>
      </c>
      <c r="G2" s="10" t="s">
        <v>42</v>
      </c>
      <c r="H2" s="10" t="s">
        <v>44</v>
      </c>
      <c r="I2" s="12" t="s">
        <v>15</v>
      </c>
      <c r="J2" s="53" t="s">
        <v>127</v>
      </c>
      <c r="K2" s="53" t="s">
        <v>128</v>
      </c>
      <c r="L2" s="53" t="s">
        <v>129</v>
      </c>
      <c r="M2" s="53" t="s">
        <v>130</v>
      </c>
      <c r="N2" s="53" t="s">
        <v>131</v>
      </c>
      <c r="O2" s="53" t="s">
        <v>132</v>
      </c>
      <c r="P2" s="53" t="s">
        <v>133</v>
      </c>
      <c r="Q2" s="53" t="s">
        <v>134</v>
      </c>
      <c r="R2" s="53" t="s">
        <v>135</v>
      </c>
      <c r="S2" s="53" t="s">
        <v>136</v>
      </c>
      <c r="T2" s="53" t="s">
        <v>137</v>
      </c>
      <c r="U2" s="92" t="s">
        <v>138</v>
      </c>
      <c r="V2" s="53" t="s">
        <v>139</v>
      </c>
      <c r="W2" s="53" t="s">
        <v>140</v>
      </c>
      <c r="X2" s="53" t="s">
        <v>141</v>
      </c>
      <c r="Y2" s="53" t="s">
        <v>142</v>
      </c>
      <c r="Z2" s="53" t="s">
        <v>143</v>
      </c>
      <c r="AA2" s="53" t="s">
        <v>144</v>
      </c>
      <c r="AB2" s="53" t="s">
        <v>145</v>
      </c>
      <c r="AC2" s="53" t="s">
        <v>146</v>
      </c>
      <c r="AD2" s="53" t="s">
        <v>147</v>
      </c>
      <c r="AE2" s="53" t="s">
        <v>148</v>
      </c>
      <c r="AF2" s="53" t="s">
        <v>149</v>
      </c>
      <c r="AG2" s="100" t="s">
        <v>150</v>
      </c>
      <c r="AH2" s="53" t="s">
        <v>151</v>
      </c>
      <c r="AI2" s="53" t="s">
        <v>152</v>
      </c>
      <c r="AJ2" s="53" t="s">
        <v>153</v>
      </c>
      <c r="AK2" s="53" t="s">
        <v>154</v>
      </c>
      <c r="AL2" s="53" t="s">
        <v>155</v>
      </c>
      <c r="AM2" s="53" t="s">
        <v>156</v>
      </c>
      <c r="AN2" s="53" t="s">
        <v>157</v>
      </c>
      <c r="AO2" s="53" t="s">
        <v>158</v>
      </c>
      <c r="AP2" s="53" t="s">
        <v>159</v>
      </c>
      <c r="AQ2" s="53" t="s">
        <v>160</v>
      </c>
      <c r="AR2" s="53" t="s">
        <v>161</v>
      </c>
      <c r="AS2" s="106" t="s">
        <v>162</v>
      </c>
      <c r="AT2" s="53" t="s">
        <v>163</v>
      </c>
      <c r="AU2" s="53" t="s">
        <v>164</v>
      </c>
      <c r="AV2" s="53" t="s">
        <v>165</v>
      </c>
      <c r="AW2" s="53" t="s">
        <v>166</v>
      </c>
      <c r="AX2" s="53" t="s">
        <v>167</v>
      </c>
      <c r="AY2" s="53" t="s">
        <v>168</v>
      </c>
      <c r="AZ2" s="53" t="s">
        <v>169</v>
      </c>
      <c r="BA2" s="53" t="s">
        <v>170</v>
      </c>
      <c r="BB2" s="53" t="s">
        <v>171</v>
      </c>
      <c r="BC2" s="53" t="s">
        <v>172</v>
      </c>
      <c r="BD2" s="53" t="s">
        <v>173</v>
      </c>
      <c r="BE2" s="53" t="s">
        <v>174</v>
      </c>
      <c r="BF2" s="53" t="s">
        <v>175</v>
      </c>
      <c r="BG2" s="53" t="s">
        <v>176</v>
      </c>
      <c r="BH2" s="53" t="s">
        <v>177</v>
      </c>
      <c r="BI2" s="53" t="s">
        <v>178</v>
      </c>
      <c r="BJ2" s="53" t="s">
        <v>179</v>
      </c>
      <c r="BK2" s="53" t="s">
        <v>180</v>
      </c>
      <c r="BL2" s="53" t="s">
        <v>181</v>
      </c>
      <c r="BM2" s="53" t="s">
        <v>182</v>
      </c>
      <c r="BN2" s="53" t="s">
        <v>183</v>
      </c>
      <c r="BO2" s="53" t="s">
        <v>184</v>
      </c>
      <c r="BP2" s="53" t="s">
        <v>185</v>
      </c>
      <c r="BQ2" s="53" t="s">
        <v>186</v>
      </c>
      <c r="BR2" s="53" t="s">
        <v>187</v>
      </c>
      <c r="BS2" s="53" t="s">
        <v>188</v>
      </c>
      <c r="BT2" s="53" t="s">
        <v>189</v>
      </c>
      <c r="BU2" s="53" t="s">
        <v>190</v>
      </c>
      <c r="BV2" s="53" t="s">
        <v>191</v>
      </c>
      <c r="BW2" s="53" t="s">
        <v>192</v>
      </c>
      <c r="BX2" s="53" t="s">
        <v>193</v>
      </c>
      <c r="BY2" s="53" t="s">
        <v>194</v>
      </c>
      <c r="BZ2" s="53" t="s">
        <v>195</v>
      </c>
      <c r="CA2" s="53" t="s">
        <v>196</v>
      </c>
      <c r="CB2" s="53" t="s">
        <v>197</v>
      </c>
      <c r="CC2" s="53" t="s">
        <v>198</v>
      </c>
      <c r="CD2" s="53" t="s">
        <v>199</v>
      </c>
      <c r="CE2" s="53" t="s">
        <v>200</v>
      </c>
      <c r="CF2" s="53" t="s">
        <v>201</v>
      </c>
      <c r="CG2" s="53" t="s">
        <v>202</v>
      </c>
      <c r="CH2" s="53" t="s">
        <v>203</v>
      </c>
      <c r="CI2" s="53" t="s">
        <v>204</v>
      </c>
      <c r="CJ2" s="53" t="s">
        <v>205</v>
      </c>
      <c r="CK2" s="53" t="s">
        <v>206</v>
      </c>
      <c r="CL2" s="53" t="s">
        <v>207</v>
      </c>
      <c r="CM2" s="53" t="s">
        <v>208</v>
      </c>
      <c r="CN2" s="53" t="s">
        <v>209</v>
      </c>
      <c r="CO2" s="53" t="s">
        <v>210</v>
      </c>
      <c r="CP2" s="53" t="s">
        <v>211</v>
      </c>
      <c r="CQ2" s="53" t="s">
        <v>212</v>
      </c>
      <c r="CR2" s="53" t="s">
        <v>213</v>
      </c>
      <c r="CS2" s="53" t="s">
        <v>214</v>
      </c>
      <c r="CT2" s="53" t="s">
        <v>215</v>
      </c>
      <c r="CU2" s="53" t="s">
        <v>216</v>
      </c>
      <c r="CV2" s="53" t="s">
        <v>217</v>
      </c>
      <c r="CW2" s="53" t="s">
        <v>218</v>
      </c>
      <c r="CX2" s="53" t="s">
        <v>219</v>
      </c>
      <c r="CY2" s="53" t="s">
        <v>220</v>
      </c>
      <c r="CZ2" s="53" t="s">
        <v>221</v>
      </c>
      <c r="DA2" s="53" t="s">
        <v>222</v>
      </c>
      <c r="DB2" s="53" t="s">
        <v>223</v>
      </c>
      <c r="DC2" s="53" t="s">
        <v>224</v>
      </c>
      <c r="DD2" s="53" t="s">
        <v>225</v>
      </c>
      <c r="DE2" s="53" t="s">
        <v>226</v>
      </c>
      <c r="DF2" s="53" t="s">
        <v>227</v>
      </c>
      <c r="DG2" s="53" t="s">
        <v>228</v>
      </c>
      <c r="DH2" s="53" t="s">
        <v>229</v>
      </c>
      <c r="DI2" s="53" t="s">
        <v>230</v>
      </c>
      <c r="DJ2" s="53" t="s">
        <v>231</v>
      </c>
      <c r="DK2" s="53" t="s">
        <v>232</v>
      </c>
      <c r="DL2" s="53" t="s">
        <v>233</v>
      </c>
      <c r="DM2" s="53" t="s">
        <v>234</v>
      </c>
      <c r="DN2" s="53" t="s">
        <v>235</v>
      </c>
      <c r="DO2" s="53" t="s">
        <v>236</v>
      </c>
      <c r="DP2" s="53" t="s">
        <v>237</v>
      </c>
      <c r="DQ2" s="53" t="s">
        <v>238</v>
      </c>
      <c r="DR2" s="53" t="s">
        <v>239</v>
      </c>
      <c r="DS2" s="53" t="s">
        <v>240</v>
      </c>
      <c r="DT2" s="53" t="s">
        <v>241</v>
      </c>
      <c r="DU2" s="53" t="s">
        <v>242</v>
      </c>
      <c r="DV2" s="53" t="s">
        <v>243</v>
      </c>
      <c r="DW2" s="53" t="s">
        <v>244</v>
      </c>
      <c r="DX2" s="53" t="s">
        <v>245</v>
      </c>
      <c r="DY2" s="53" t="s">
        <v>246</v>
      </c>
    </row>
    <row r="3" spans="1:129" x14ac:dyDescent="0.45">
      <c r="A3" s="3">
        <v>46022</v>
      </c>
      <c r="B3" s="2" t="s">
        <v>0</v>
      </c>
      <c r="C3" s="4" t="s">
        <v>1</v>
      </c>
      <c r="D3" s="16"/>
      <c r="E3" s="54"/>
      <c r="F3" s="54"/>
      <c r="G3" s="54"/>
      <c r="H3" s="54"/>
      <c r="I3" s="13">
        <f>I4+I8</f>
        <v>1255.1239800000001</v>
      </c>
      <c r="J3" s="57">
        <f>SUM(J4:J8)</f>
        <v>1244.3263896666667</v>
      </c>
      <c r="K3" s="57">
        <f>SUM(K4:K8)</f>
        <v>1233.5287993333332</v>
      </c>
      <c r="L3" s="57">
        <f>SUM(L4:L8)</f>
        <v>1222.731209</v>
      </c>
      <c r="M3" s="57">
        <f>SUM(M4:M8)</f>
        <v>1211.9336186666667</v>
      </c>
      <c r="N3" s="57">
        <f>SUM(N4:N8)</f>
        <v>1201.1360283333333</v>
      </c>
      <c r="O3" s="57">
        <f>SUM(O4:O8)</f>
        <v>1190.338438</v>
      </c>
      <c r="P3" s="57">
        <f>SUM(P4:P8)</f>
        <v>1179.5408476666667</v>
      </c>
      <c r="Q3" s="57">
        <f>SUM(Q4:Q8)</f>
        <v>1168.7432573333335</v>
      </c>
      <c r="R3" s="57">
        <f>SUM(R4:R8)</f>
        <v>1157.9456670000002</v>
      </c>
      <c r="S3" s="57">
        <f>SUM(S4:S8)</f>
        <v>1147.1480766666666</v>
      </c>
      <c r="T3" s="57">
        <f>SUM(T4:T8)</f>
        <v>1136.3504863333333</v>
      </c>
      <c r="U3" s="93">
        <f>SUM(U4:U8)</f>
        <v>1119.7689679999999</v>
      </c>
      <c r="V3" s="57">
        <f>SUM(V4:V8)</f>
        <v>1109.0918761666667</v>
      </c>
      <c r="W3" s="57">
        <f>SUM(W4:W8)</f>
        <v>1098.4147843333333</v>
      </c>
      <c r="X3" s="57">
        <f>SUM(X4:X8)</f>
        <v>1087.7376924999999</v>
      </c>
      <c r="Y3" s="57">
        <f>SUM(Y4:Y8)</f>
        <v>1077.0606006666665</v>
      </c>
      <c r="Z3" s="57">
        <f>SUM(Z4:Z8)</f>
        <v>1066.3835088333333</v>
      </c>
      <c r="AA3" s="57">
        <f>SUM(AA4:AA8)</f>
        <v>1055.7064169999999</v>
      </c>
      <c r="AB3" s="57">
        <f>SUM(AB4:AB8)</f>
        <v>1045.0293251666667</v>
      </c>
      <c r="AC3" s="57">
        <f>SUM(AC4:AC8)</f>
        <v>1034.3522333333333</v>
      </c>
      <c r="AD3" s="57">
        <f>SUM(AD4:AD8)</f>
        <v>1023.6751415</v>
      </c>
      <c r="AE3" s="57">
        <f>SUM(AE4:AE8)</f>
        <v>1012.9980496666667</v>
      </c>
      <c r="AF3" s="57">
        <f>SUM(AF4:AF8)</f>
        <v>1002.3209578333333</v>
      </c>
      <c r="AG3" s="101">
        <f>SUM(AG4:AG8)</f>
        <v>1266.1440699999998</v>
      </c>
      <c r="AH3" s="57">
        <f>SUM(AH4:AH8)</f>
        <v>1247.8419724999999</v>
      </c>
      <c r="AI3" s="57">
        <f>SUM(AI4:AI8)</f>
        <v>1229.5398749999999</v>
      </c>
      <c r="AJ3" s="57">
        <f>SUM(AJ4:AJ8)</f>
        <v>1211.2377775</v>
      </c>
      <c r="AK3" s="57">
        <f>SUM(AK4:AK8)</f>
        <v>1192.93568</v>
      </c>
      <c r="AL3" s="57">
        <f>SUM(AL4:AL8)</f>
        <v>1174.6335824999999</v>
      </c>
      <c r="AM3" s="57">
        <f>SUM(AM4:AM8)</f>
        <v>1156.3314849999999</v>
      </c>
      <c r="AN3" s="57">
        <f>SUM(AN4:AN8)</f>
        <v>1138.0293875</v>
      </c>
      <c r="AO3" s="57">
        <f>SUM(AO4:AO8)</f>
        <v>1119.7272899999998</v>
      </c>
      <c r="AP3" s="57">
        <f>SUM(AP4:AP8)</f>
        <v>1101.4251924999999</v>
      </c>
      <c r="AQ3" s="57">
        <f>SUM(AQ4:AQ8)</f>
        <v>1083.1230949999999</v>
      </c>
      <c r="AR3" s="57">
        <f>SUM(AR4:AR8)</f>
        <v>1064.8209975</v>
      </c>
      <c r="AS3" s="107">
        <f>SUM(AS4:AS8)</f>
        <v>1276.3810159999998</v>
      </c>
      <c r="AT3" s="57">
        <f>SUM(AT4:AT8)</f>
        <v>1248.5013303333333</v>
      </c>
      <c r="AU3" s="57">
        <f>SUM(AU4:AU8)</f>
        <v>1220.6216446666665</v>
      </c>
      <c r="AV3" s="57">
        <f>SUM(AV4:AV8)</f>
        <v>1192.741959</v>
      </c>
      <c r="AW3" s="57">
        <f>SUM(AW4:AW8)</f>
        <v>1164.8622733333332</v>
      </c>
      <c r="AX3" s="57">
        <f>SUM(AX4:AX8)</f>
        <v>1136.9825876666664</v>
      </c>
      <c r="AY3" s="57">
        <f>SUM(AY4:AY8)</f>
        <v>1109.1029019999999</v>
      </c>
      <c r="AZ3" s="57">
        <f>SUM(AZ4:AZ8)</f>
        <v>1081.2232163333333</v>
      </c>
      <c r="BA3" s="57">
        <f>SUM(BA4:BA8)</f>
        <v>1053.3435306666665</v>
      </c>
      <c r="BB3" s="57">
        <f>SUM(BB4:BB8)</f>
        <v>1025.463845</v>
      </c>
      <c r="BC3" s="57">
        <f>SUM(BC4:BC8)</f>
        <v>997.58415933333322</v>
      </c>
      <c r="BD3" s="57">
        <f>SUM(BD4:BD8)</f>
        <v>969.70447366666656</v>
      </c>
      <c r="BE3" s="57">
        <f>SUM(BE4:BE8)</f>
        <v>941.8247879999999</v>
      </c>
      <c r="BF3" s="57">
        <f>SUM(BF4:BF8)</f>
        <v>913.94510233333335</v>
      </c>
      <c r="BG3" s="57">
        <f>SUM(BG4:BG8)</f>
        <v>886.06541666666669</v>
      </c>
      <c r="BH3" s="57">
        <f>SUM(BH4:BH8)</f>
        <v>858.18573099999992</v>
      </c>
      <c r="BI3" s="57">
        <f>SUM(BI4:BI8)</f>
        <v>830.30604533333326</v>
      </c>
      <c r="BJ3" s="57">
        <f>SUM(BJ4:BJ8)</f>
        <v>802.4263596666666</v>
      </c>
      <c r="BK3" s="57">
        <f>SUM(BK4:BK8)</f>
        <v>774.54667399999994</v>
      </c>
      <c r="BL3" s="57">
        <f>SUM(BL4:BL8)</f>
        <v>746.66698833333317</v>
      </c>
      <c r="BM3" s="57">
        <f>SUM(BM4:BM8)</f>
        <v>718.78730266666662</v>
      </c>
      <c r="BN3" s="57">
        <f>SUM(BN4:BN8)</f>
        <v>690.90761699999996</v>
      </c>
      <c r="BO3" s="57">
        <f>SUM(BO4:BO8)</f>
        <v>663.0279313333333</v>
      </c>
      <c r="BP3" s="57">
        <f>SUM(BP4:BP8)</f>
        <v>635.14824566666664</v>
      </c>
      <c r="BQ3" s="57">
        <f>SUM(BQ4:BQ8)</f>
        <v>607.26855999999998</v>
      </c>
      <c r="BR3" s="57">
        <f>SUM(BR4:BR8)</f>
        <v>597.14741733333324</v>
      </c>
      <c r="BS3" s="57">
        <f>SUM(BS4:BS8)</f>
        <v>587.02627466666661</v>
      </c>
      <c r="BT3" s="57">
        <f>SUM(BT4:BT8)</f>
        <v>576.90513199999998</v>
      </c>
      <c r="BU3" s="57">
        <f>SUM(BU4:BU8)</f>
        <v>566.78398933333335</v>
      </c>
      <c r="BV3" s="57">
        <f>SUM(BV4:BV8)</f>
        <v>556.66284666666661</v>
      </c>
      <c r="BW3" s="57">
        <f>SUM(BW4:BW8)</f>
        <v>546.54170399999998</v>
      </c>
      <c r="BX3" s="57">
        <f>SUM(BX4:BX8)</f>
        <v>536.42056133333335</v>
      </c>
      <c r="BY3" s="57">
        <f>SUM(BY4:BY8)</f>
        <v>526.29941866666661</v>
      </c>
      <c r="BZ3" s="57">
        <f>SUM(BZ4:BZ8)</f>
        <v>516.17827599999998</v>
      </c>
      <c r="CA3" s="57">
        <f>SUM(CA4:CA8)</f>
        <v>506.05713333333335</v>
      </c>
      <c r="CB3" s="57">
        <f>SUM(CB4:CB8)</f>
        <v>495.93599066666667</v>
      </c>
      <c r="CC3" s="57">
        <f>SUM(CC4:CC8)</f>
        <v>485.81484799999998</v>
      </c>
      <c r="CD3" s="57">
        <f>SUM(CD4:CD8)</f>
        <v>475.6937053333333</v>
      </c>
      <c r="CE3" s="57">
        <f>SUM(CE4:CE8)</f>
        <v>465.57256266666667</v>
      </c>
      <c r="CF3" s="57">
        <f>SUM(CF4:CF8)</f>
        <v>455.45141999999998</v>
      </c>
      <c r="CG3" s="57">
        <f>SUM(CG4:CG8)</f>
        <v>445.3302773333333</v>
      </c>
      <c r="CH3" s="57">
        <f>SUM(CH4:CH8)</f>
        <v>435.20913466666667</v>
      </c>
      <c r="CI3" s="57">
        <f>SUM(CI4:CI8)</f>
        <v>425.08799199999999</v>
      </c>
      <c r="CJ3" s="57">
        <f>SUM(CJ4:CJ8)</f>
        <v>414.9668493333333</v>
      </c>
      <c r="CK3" s="57">
        <f>SUM(CK4:CK8)</f>
        <v>404.84570666666662</v>
      </c>
      <c r="CL3" s="57">
        <f>SUM(CL4:CL8)</f>
        <v>394.72456399999999</v>
      </c>
      <c r="CM3" s="57">
        <f>SUM(CM4:CM8)</f>
        <v>384.6034213333333</v>
      </c>
      <c r="CN3" s="57">
        <f>SUM(CN4:CN8)</f>
        <v>374.48227866666667</v>
      </c>
      <c r="CO3" s="57">
        <f>SUM(CO4:CO8)</f>
        <v>364.36113599999999</v>
      </c>
      <c r="CP3" s="57">
        <f>SUM(CP4:CP8)</f>
        <v>354.23999333333336</v>
      </c>
      <c r="CQ3" s="57">
        <f>SUM(CQ4:CQ8)</f>
        <v>344.11885066666667</v>
      </c>
      <c r="CR3" s="57">
        <f>SUM(CR4:CR8)</f>
        <v>333.99770799999999</v>
      </c>
      <c r="CS3" s="57">
        <f>SUM(CS4:CS8)</f>
        <v>323.8765653333333</v>
      </c>
      <c r="CT3" s="57">
        <f>SUM(CT4:CT8)</f>
        <v>313.75542266666668</v>
      </c>
      <c r="CU3" s="57">
        <f>SUM(CU4:CU8)</f>
        <v>303.63427999999999</v>
      </c>
      <c r="CV3" s="57">
        <f>SUM(CV4:CV8)</f>
        <v>293.5131373333333</v>
      </c>
      <c r="CW3" s="57">
        <f>SUM(CW4:CW8)</f>
        <v>283.39199466666668</v>
      </c>
      <c r="CX3" s="57">
        <f>SUM(CX4:CX8)</f>
        <v>273.27085199999999</v>
      </c>
      <c r="CY3" s="57">
        <f>SUM(CY4:CY8)</f>
        <v>263.14970933333331</v>
      </c>
      <c r="CZ3" s="57">
        <f>SUM(CZ4:CZ8)</f>
        <v>253.02856666666668</v>
      </c>
      <c r="DA3" s="57">
        <f>SUM(DA4:DA8)</f>
        <v>242.90742399999999</v>
      </c>
      <c r="DB3" s="57">
        <f>SUM(DB4:DB8)</f>
        <v>232.78628133333333</v>
      </c>
      <c r="DC3" s="57">
        <f>SUM(DC4:DC8)</f>
        <v>222.66513866666665</v>
      </c>
      <c r="DD3" s="57">
        <f>SUM(DD4:DD8)</f>
        <v>212.54399599999999</v>
      </c>
      <c r="DE3" s="57">
        <f>SUM(DE4:DE8)</f>
        <v>202.42285333333331</v>
      </c>
      <c r="DF3" s="57">
        <f>SUM(DF4:DF8)</f>
        <v>192.30171066666665</v>
      </c>
      <c r="DG3" s="57">
        <f>SUM(DG4:DG8)</f>
        <v>182.18056799999999</v>
      </c>
      <c r="DH3" s="57">
        <f>SUM(DH4:DH8)</f>
        <v>172.05942533333334</v>
      </c>
      <c r="DI3" s="57">
        <f>SUM(DI4:DI8)</f>
        <v>161.93828266666665</v>
      </c>
      <c r="DJ3" s="57">
        <f>SUM(DJ4:DJ8)</f>
        <v>151.81713999999999</v>
      </c>
      <c r="DK3" s="57">
        <f>SUM(DK4:DK8)</f>
        <v>141.69599733333334</v>
      </c>
      <c r="DL3" s="57">
        <f>SUM(DL4:DL8)</f>
        <v>131.57485466666665</v>
      </c>
      <c r="DM3" s="57">
        <f>SUM(DM4:DM8)</f>
        <v>121.453712</v>
      </c>
      <c r="DN3" s="57">
        <f>SUM(DN4:DN8)</f>
        <v>111.33256933333332</v>
      </c>
      <c r="DO3" s="57">
        <f>SUM(DO4:DO8)</f>
        <v>101.21142666666665</v>
      </c>
      <c r="DP3" s="57">
        <f>SUM(DP4:DP8)</f>
        <v>91.090283999999997</v>
      </c>
      <c r="DQ3" s="57">
        <f>SUM(DQ4:DQ8)</f>
        <v>80.969141333333326</v>
      </c>
      <c r="DR3" s="57">
        <f>SUM(DR4:DR8)</f>
        <v>70.847998666666669</v>
      </c>
      <c r="DS3" s="57">
        <f>SUM(DS4:DS8)</f>
        <v>60.726855999999998</v>
      </c>
      <c r="DT3" s="57">
        <f>SUM(DT4:DT8)</f>
        <v>50.605713333333327</v>
      </c>
      <c r="DU3" s="57">
        <f>SUM(DU4:DU8)</f>
        <v>40.484570666666663</v>
      </c>
      <c r="DV3" s="57">
        <f>SUM(DV4:DV8)</f>
        <v>30.363427999999999</v>
      </c>
      <c r="DW3" s="57">
        <f>SUM(DW4:DW8)</f>
        <v>20.242285333333331</v>
      </c>
      <c r="DX3" s="57">
        <f>SUM(DX4:DX8)</f>
        <v>10.121142666666666</v>
      </c>
      <c r="DY3" s="57">
        <f>SUM(DY4:DY8)</f>
        <v>0</v>
      </c>
    </row>
    <row r="4" spans="1:129" x14ac:dyDescent="0.45">
      <c r="A4" s="3">
        <v>46022</v>
      </c>
      <c r="B4" s="2" t="s">
        <v>0</v>
      </c>
      <c r="C4" s="6" t="s">
        <v>2</v>
      </c>
      <c r="D4" s="17">
        <v>0</v>
      </c>
      <c r="E4" s="2" t="s">
        <v>43</v>
      </c>
      <c r="F4" s="2">
        <v>60</v>
      </c>
      <c r="G4" s="2" t="s">
        <v>45</v>
      </c>
      <c r="H4" s="2">
        <v>60</v>
      </c>
      <c r="I4" s="14">
        <v>40.586860000000115</v>
      </c>
      <c r="J4" s="55">
        <f>IF(J$1&lt;$F4,$I4*(($F4-J$1)/$F4),0)</f>
        <v>39.910412333333447</v>
      </c>
      <c r="K4" s="55">
        <f t="shared" ref="K4:BV8" si="0">IF(K$1&lt;$F4,$I4*(($F4-K$1)/$F4),0)</f>
        <v>39.233964666666779</v>
      </c>
      <c r="L4" s="55">
        <f t="shared" si="0"/>
        <v>38.557517000000111</v>
      </c>
      <c r="M4" s="55">
        <f t="shared" si="0"/>
        <v>37.881069333333443</v>
      </c>
      <c r="N4" s="55">
        <f t="shared" si="0"/>
        <v>37.204621666666768</v>
      </c>
      <c r="O4" s="55">
        <f t="shared" si="0"/>
        <v>36.528174000000107</v>
      </c>
      <c r="P4" s="55">
        <f t="shared" si="0"/>
        <v>35.851726333333431</v>
      </c>
      <c r="Q4" s="55">
        <f t="shared" si="0"/>
        <v>35.17527866666677</v>
      </c>
      <c r="R4" s="55">
        <f t="shared" si="0"/>
        <v>34.498831000000095</v>
      </c>
      <c r="S4" s="55">
        <f t="shared" si="0"/>
        <v>33.822383333333434</v>
      </c>
      <c r="T4" s="55">
        <f t="shared" si="0"/>
        <v>33.145935666666759</v>
      </c>
      <c r="U4" s="94">
        <f t="shared" si="0"/>
        <v>32.469488000000091</v>
      </c>
      <c r="V4" s="91">
        <f t="shared" si="0"/>
        <v>31.793040333333423</v>
      </c>
      <c r="W4" s="55">
        <f t="shared" si="0"/>
        <v>31.116592666666758</v>
      </c>
      <c r="X4" s="55">
        <f t="shared" si="0"/>
        <v>30.440145000000086</v>
      </c>
      <c r="Y4" s="55">
        <f t="shared" si="0"/>
        <v>29.763697333333415</v>
      </c>
      <c r="Z4" s="55">
        <f t="shared" si="0"/>
        <v>29.08724966666675</v>
      </c>
      <c r="AA4" s="55">
        <f t="shared" si="0"/>
        <v>28.410802000000078</v>
      </c>
      <c r="AB4" s="55">
        <f t="shared" si="0"/>
        <v>27.734354333333414</v>
      </c>
      <c r="AC4" s="55">
        <f t="shared" si="0"/>
        <v>27.057906666666742</v>
      </c>
      <c r="AD4" s="55">
        <f t="shared" si="0"/>
        <v>26.381459000000074</v>
      </c>
      <c r="AE4" s="55">
        <f t="shared" si="0"/>
        <v>25.705011333333406</v>
      </c>
      <c r="AF4" s="55">
        <f t="shared" si="0"/>
        <v>25.028563666666738</v>
      </c>
      <c r="AG4" s="102">
        <f t="shared" si="0"/>
        <v>24.35211600000007</v>
      </c>
      <c r="AH4" s="55">
        <f t="shared" si="0"/>
        <v>23.675668333333402</v>
      </c>
      <c r="AI4" s="55">
        <f t="shared" si="0"/>
        <v>22.99922066666673</v>
      </c>
      <c r="AJ4" s="55">
        <f t="shared" si="0"/>
        <v>22.322773000000065</v>
      </c>
      <c r="AK4" s="55">
        <f t="shared" si="0"/>
        <v>21.646325333333394</v>
      </c>
      <c r="AL4" s="55">
        <f t="shared" si="0"/>
        <v>20.969877666666729</v>
      </c>
      <c r="AM4" s="55">
        <f t="shared" si="0"/>
        <v>20.293430000000058</v>
      </c>
      <c r="AN4" s="55">
        <f t="shared" si="0"/>
        <v>19.616982333333389</v>
      </c>
      <c r="AO4" s="55">
        <f t="shared" si="0"/>
        <v>18.940534666666721</v>
      </c>
      <c r="AP4" s="55">
        <f t="shared" si="0"/>
        <v>18.264087000000053</v>
      </c>
      <c r="AQ4" s="55">
        <f t="shared" si="0"/>
        <v>17.587639333333385</v>
      </c>
      <c r="AR4" s="55">
        <f t="shared" si="0"/>
        <v>16.911191666666717</v>
      </c>
      <c r="AS4" s="108">
        <f t="shared" si="0"/>
        <v>16.234744000000045</v>
      </c>
      <c r="AT4" s="55">
        <f t="shared" si="0"/>
        <v>15.558296333333379</v>
      </c>
      <c r="AU4" s="55">
        <f t="shared" si="0"/>
        <v>14.881848666666707</v>
      </c>
      <c r="AV4" s="55">
        <f t="shared" si="0"/>
        <v>14.205401000000039</v>
      </c>
      <c r="AW4" s="55">
        <f t="shared" si="0"/>
        <v>13.528953333333371</v>
      </c>
      <c r="AX4" s="55">
        <f t="shared" si="0"/>
        <v>12.852505666666703</v>
      </c>
      <c r="AY4" s="55">
        <f t="shared" si="0"/>
        <v>12.176058000000035</v>
      </c>
      <c r="AZ4" s="55">
        <f t="shared" si="0"/>
        <v>11.499610333333365</v>
      </c>
      <c r="BA4" s="55">
        <f t="shared" si="0"/>
        <v>10.823162666666697</v>
      </c>
      <c r="BB4" s="55">
        <f t="shared" si="0"/>
        <v>10.146715000000029</v>
      </c>
      <c r="BC4" s="55">
        <f t="shared" si="0"/>
        <v>9.4702673333333607</v>
      </c>
      <c r="BD4" s="55">
        <f t="shared" si="0"/>
        <v>8.7938196666666926</v>
      </c>
      <c r="BE4" s="55">
        <f t="shared" si="0"/>
        <v>8.1173720000000227</v>
      </c>
      <c r="BF4" s="55">
        <f t="shared" si="0"/>
        <v>7.4409243333333537</v>
      </c>
      <c r="BG4" s="55">
        <f t="shared" si="0"/>
        <v>6.7644766666666856</v>
      </c>
      <c r="BH4" s="55">
        <f t="shared" si="0"/>
        <v>6.0880290000000175</v>
      </c>
      <c r="BI4" s="55">
        <f t="shared" si="0"/>
        <v>5.4115813333333485</v>
      </c>
      <c r="BJ4" s="55">
        <f t="shared" si="0"/>
        <v>4.7351336666666803</v>
      </c>
      <c r="BK4" s="55">
        <f t="shared" si="0"/>
        <v>4.0586860000000113</v>
      </c>
      <c r="BL4" s="55">
        <f t="shared" si="0"/>
        <v>3.3822383333333428</v>
      </c>
      <c r="BM4" s="55">
        <f t="shared" si="0"/>
        <v>2.7057906666666742</v>
      </c>
      <c r="BN4" s="55">
        <f t="shared" si="0"/>
        <v>2.0293430000000057</v>
      </c>
      <c r="BO4" s="55">
        <f t="shared" si="0"/>
        <v>1.3528953333333371</v>
      </c>
      <c r="BP4" s="55">
        <f t="shared" si="0"/>
        <v>0.67644766666666856</v>
      </c>
      <c r="BQ4" s="55">
        <f t="shared" si="0"/>
        <v>0</v>
      </c>
      <c r="BR4" s="55">
        <f t="shared" si="0"/>
        <v>0</v>
      </c>
      <c r="BS4" s="55">
        <f t="shared" si="0"/>
        <v>0</v>
      </c>
      <c r="BT4" s="55">
        <f t="shared" si="0"/>
        <v>0</v>
      </c>
      <c r="BU4" s="55">
        <f t="shared" si="0"/>
        <v>0</v>
      </c>
      <c r="BV4" s="55">
        <f t="shared" si="0"/>
        <v>0</v>
      </c>
      <c r="BW4" s="55">
        <f t="shared" ref="BW4:DY8" si="1">IF(BW$1&lt;$F4,$I4*(($F4-BW$1)/$F4),0)</f>
        <v>0</v>
      </c>
      <c r="BX4" s="55">
        <f t="shared" si="1"/>
        <v>0</v>
      </c>
      <c r="BY4" s="55">
        <f t="shared" si="1"/>
        <v>0</v>
      </c>
      <c r="BZ4" s="55">
        <f t="shared" si="1"/>
        <v>0</v>
      </c>
      <c r="CA4" s="55">
        <f t="shared" si="1"/>
        <v>0</v>
      </c>
      <c r="CB4" s="55">
        <f t="shared" si="1"/>
        <v>0</v>
      </c>
      <c r="CC4" s="55">
        <f t="shared" si="1"/>
        <v>0</v>
      </c>
      <c r="CD4" s="55">
        <f t="shared" si="1"/>
        <v>0</v>
      </c>
      <c r="CE4" s="55">
        <f t="shared" si="1"/>
        <v>0</v>
      </c>
      <c r="CF4" s="55">
        <f t="shared" si="1"/>
        <v>0</v>
      </c>
      <c r="CG4" s="55">
        <f t="shared" si="1"/>
        <v>0</v>
      </c>
      <c r="CH4" s="55">
        <f t="shared" si="1"/>
        <v>0</v>
      </c>
      <c r="CI4" s="55">
        <f t="shared" si="1"/>
        <v>0</v>
      </c>
      <c r="CJ4" s="55">
        <f t="shared" si="1"/>
        <v>0</v>
      </c>
      <c r="CK4" s="55">
        <f t="shared" si="1"/>
        <v>0</v>
      </c>
      <c r="CL4" s="55">
        <f t="shared" si="1"/>
        <v>0</v>
      </c>
      <c r="CM4" s="55">
        <f t="shared" si="1"/>
        <v>0</v>
      </c>
      <c r="CN4" s="55">
        <f t="shared" si="1"/>
        <v>0</v>
      </c>
      <c r="CO4" s="55">
        <f t="shared" si="1"/>
        <v>0</v>
      </c>
      <c r="CP4" s="55">
        <f t="shared" si="1"/>
        <v>0</v>
      </c>
      <c r="CQ4" s="55">
        <f t="shared" si="1"/>
        <v>0</v>
      </c>
      <c r="CR4" s="55">
        <f t="shared" si="1"/>
        <v>0</v>
      </c>
      <c r="CS4" s="55">
        <f t="shared" si="1"/>
        <v>0</v>
      </c>
      <c r="CT4" s="55">
        <f t="shared" si="1"/>
        <v>0</v>
      </c>
      <c r="CU4" s="55">
        <f t="shared" si="1"/>
        <v>0</v>
      </c>
      <c r="CV4" s="55">
        <f t="shared" si="1"/>
        <v>0</v>
      </c>
      <c r="CW4" s="55">
        <f t="shared" si="1"/>
        <v>0</v>
      </c>
      <c r="CX4" s="55">
        <f t="shared" si="1"/>
        <v>0</v>
      </c>
      <c r="CY4" s="55">
        <f t="shared" si="1"/>
        <v>0</v>
      </c>
      <c r="CZ4" s="55">
        <f t="shared" si="1"/>
        <v>0</v>
      </c>
      <c r="DA4" s="55">
        <f t="shared" si="1"/>
        <v>0</v>
      </c>
      <c r="DB4" s="55">
        <f t="shared" si="1"/>
        <v>0</v>
      </c>
      <c r="DC4" s="55">
        <f t="shared" si="1"/>
        <v>0</v>
      </c>
      <c r="DD4" s="55">
        <f t="shared" si="1"/>
        <v>0</v>
      </c>
      <c r="DE4" s="55">
        <f t="shared" si="1"/>
        <v>0</v>
      </c>
      <c r="DF4" s="55">
        <f t="shared" si="1"/>
        <v>0</v>
      </c>
      <c r="DG4" s="55">
        <f t="shared" si="1"/>
        <v>0</v>
      </c>
      <c r="DH4" s="55">
        <f t="shared" si="1"/>
        <v>0</v>
      </c>
      <c r="DI4" s="55">
        <f t="shared" si="1"/>
        <v>0</v>
      </c>
      <c r="DJ4" s="55">
        <f t="shared" si="1"/>
        <v>0</v>
      </c>
      <c r="DK4" s="55">
        <f t="shared" si="1"/>
        <v>0</v>
      </c>
      <c r="DL4" s="55">
        <f t="shared" si="1"/>
        <v>0</v>
      </c>
      <c r="DM4" s="55">
        <f t="shared" si="1"/>
        <v>0</v>
      </c>
      <c r="DN4" s="55">
        <f t="shared" si="1"/>
        <v>0</v>
      </c>
      <c r="DO4" s="55">
        <f t="shared" si="1"/>
        <v>0</v>
      </c>
      <c r="DP4" s="55">
        <f t="shared" si="1"/>
        <v>0</v>
      </c>
      <c r="DQ4" s="55">
        <f t="shared" si="1"/>
        <v>0</v>
      </c>
      <c r="DR4" s="55">
        <f t="shared" si="1"/>
        <v>0</v>
      </c>
      <c r="DS4" s="55">
        <f t="shared" si="1"/>
        <v>0</v>
      </c>
      <c r="DT4" s="55">
        <f t="shared" si="1"/>
        <v>0</v>
      </c>
      <c r="DU4" s="55">
        <f t="shared" si="1"/>
        <v>0</v>
      </c>
      <c r="DV4" s="55">
        <f t="shared" si="1"/>
        <v>0</v>
      </c>
      <c r="DW4" s="55">
        <f t="shared" si="1"/>
        <v>0</v>
      </c>
      <c r="DX4" s="55">
        <f t="shared" si="1"/>
        <v>0</v>
      </c>
      <c r="DY4" s="55">
        <f t="shared" si="1"/>
        <v>0</v>
      </c>
    </row>
    <row r="5" spans="1:129" x14ac:dyDescent="0.45">
      <c r="A5" s="3"/>
      <c r="B5" s="2"/>
      <c r="C5" s="121" t="s">
        <v>265</v>
      </c>
      <c r="D5" s="17"/>
      <c r="E5" s="2"/>
      <c r="F5" s="2"/>
      <c r="G5" s="2"/>
      <c r="H5" s="2"/>
      <c r="I5" s="14"/>
      <c r="J5" s="83"/>
      <c r="K5" s="83"/>
      <c r="L5" s="55"/>
      <c r="M5" s="55"/>
      <c r="N5" s="55"/>
      <c r="O5" s="55"/>
      <c r="P5" s="55"/>
      <c r="Q5" s="55"/>
      <c r="R5" s="55"/>
      <c r="S5" s="55"/>
      <c r="T5" s="55"/>
      <c r="U5" s="119">
        <f>'Plan Moyen Terme (PMT)'!C4-BAU_Liquidité_Dynamique!U4</f>
        <v>-5.7839280000000883</v>
      </c>
      <c r="V5" s="120">
        <f>IF(AND(U1&lt;V$1, V$1&lt;=$F4),$U5*($F4-V$1)/($F4-$U1),0)</f>
        <v>-5.6634295000000874</v>
      </c>
      <c r="W5" s="120">
        <f t="shared" ref="W5:BQ5" si="2">IF(AND(V1&lt;W$1, W$1&lt;=$F4),$U5*($F4-W$1)/($F4-$U1),0)</f>
        <v>-5.5429310000000847</v>
      </c>
      <c r="X5" s="120">
        <f t="shared" si="2"/>
        <v>-5.4224325000000819</v>
      </c>
      <c r="Y5" s="120">
        <f t="shared" si="2"/>
        <v>-5.301934000000081</v>
      </c>
      <c r="Z5" s="120">
        <f t="shared" si="2"/>
        <v>-5.1814355000000791</v>
      </c>
      <c r="AA5" s="120">
        <f t="shared" si="2"/>
        <v>-5.0609370000000773</v>
      </c>
      <c r="AB5" s="120">
        <f t="shared" si="2"/>
        <v>-4.9404385000000755</v>
      </c>
      <c r="AC5" s="120">
        <f t="shared" si="2"/>
        <v>-4.8199400000000736</v>
      </c>
      <c r="AD5" s="120">
        <f t="shared" si="2"/>
        <v>-4.6994415000000718</v>
      </c>
      <c r="AE5" s="120">
        <f t="shared" si="2"/>
        <v>-4.5789430000000699</v>
      </c>
      <c r="AF5" s="120">
        <f t="shared" si="2"/>
        <v>-4.4584445000000681</v>
      </c>
      <c r="AG5" s="120">
        <f t="shared" si="2"/>
        <v>-4.3379460000000662</v>
      </c>
      <c r="AH5" s="120">
        <f t="shared" si="2"/>
        <v>-4.2174475000000644</v>
      </c>
      <c r="AI5" s="120">
        <f t="shared" si="2"/>
        <v>-4.0969490000000626</v>
      </c>
      <c r="AJ5" s="120">
        <f t="shared" si="2"/>
        <v>-3.9764505000000607</v>
      </c>
      <c r="AK5" s="120">
        <f t="shared" si="2"/>
        <v>-3.8559520000000589</v>
      </c>
      <c r="AL5" s="120">
        <f t="shared" si="2"/>
        <v>-3.735453500000057</v>
      </c>
      <c r="AM5" s="120">
        <f t="shared" si="2"/>
        <v>-3.6149550000000552</v>
      </c>
      <c r="AN5" s="120">
        <f t="shared" si="2"/>
        <v>-3.4944565000000534</v>
      </c>
      <c r="AO5" s="120">
        <f t="shared" si="2"/>
        <v>-3.3739580000000515</v>
      </c>
      <c r="AP5" s="120">
        <f t="shared" si="2"/>
        <v>-3.2534595000000497</v>
      </c>
      <c r="AQ5" s="120">
        <f t="shared" si="2"/>
        <v>-3.1329610000000478</v>
      </c>
      <c r="AR5" s="120">
        <f t="shared" si="2"/>
        <v>-3.012462500000046</v>
      </c>
      <c r="AS5" s="120">
        <f t="shared" si="2"/>
        <v>-2.8919640000000442</v>
      </c>
      <c r="AT5" s="120">
        <f t="shared" si="2"/>
        <v>-2.7714655000000423</v>
      </c>
      <c r="AU5" s="120">
        <f t="shared" si="2"/>
        <v>-2.6509670000000405</v>
      </c>
      <c r="AV5" s="120">
        <f t="shared" si="2"/>
        <v>-2.5304685000000386</v>
      </c>
      <c r="AW5" s="120">
        <f t="shared" si="2"/>
        <v>-2.4099700000000368</v>
      </c>
      <c r="AX5" s="120">
        <f t="shared" si="2"/>
        <v>-2.289471500000035</v>
      </c>
      <c r="AY5" s="120">
        <f t="shared" si="2"/>
        <v>-2.1689730000000331</v>
      </c>
      <c r="AZ5" s="120">
        <f t="shared" si="2"/>
        <v>-2.0484745000000313</v>
      </c>
      <c r="BA5" s="120">
        <f t="shared" si="2"/>
        <v>-1.9279760000000294</v>
      </c>
      <c r="BB5" s="120">
        <f t="shared" si="2"/>
        <v>-1.8074775000000276</v>
      </c>
      <c r="BC5" s="120">
        <f t="shared" si="2"/>
        <v>-1.6869790000000258</v>
      </c>
      <c r="BD5" s="120">
        <f t="shared" si="2"/>
        <v>-1.5664805000000239</v>
      </c>
      <c r="BE5" s="120">
        <f t="shared" si="2"/>
        <v>-1.4459820000000221</v>
      </c>
      <c r="BF5" s="120">
        <f t="shared" si="2"/>
        <v>-1.3254835000000202</v>
      </c>
      <c r="BG5" s="120">
        <f t="shared" si="2"/>
        <v>-1.2049850000000184</v>
      </c>
      <c r="BH5" s="120">
        <f t="shared" si="2"/>
        <v>-1.0844865000000166</v>
      </c>
      <c r="BI5" s="120">
        <f t="shared" si="2"/>
        <v>-0.96398800000001472</v>
      </c>
      <c r="BJ5" s="120">
        <f t="shared" si="2"/>
        <v>-0.84348950000001288</v>
      </c>
      <c r="BK5" s="120">
        <f t="shared" si="2"/>
        <v>-0.72299100000001104</v>
      </c>
      <c r="BL5" s="120">
        <f t="shared" si="2"/>
        <v>-0.6024925000000092</v>
      </c>
      <c r="BM5" s="120">
        <f t="shared" si="2"/>
        <v>-0.48199400000000736</v>
      </c>
      <c r="BN5" s="120">
        <f t="shared" si="2"/>
        <v>-0.36149550000000552</v>
      </c>
      <c r="BO5" s="120">
        <f t="shared" si="2"/>
        <v>-0.24099700000000368</v>
      </c>
      <c r="BP5" s="120">
        <f t="shared" si="2"/>
        <v>-0.12049850000000184</v>
      </c>
      <c r="BQ5" s="120">
        <f t="shared" si="2"/>
        <v>0</v>
      </c>
      <c r="BR5" s="91">
        <f>IF(BR$1&lt;$F4-$U1,$U5*($F4-BR$1)/($F4-$U1),0)</f>
        <v>0</v>
      </c>
      <c r="BS5" s="91">
        <f>IF(BS$1&lt;$F4-$U1,$U5*($F4-BS$1)/($F4-$U1),0)</f>
        <v>0</v>
      </c>
      <c r="BT5" s="91">
        <f>IF(BT$1&lt;$F4-$U1,$U5*($F4-BT$1)/($F4-$U1),0)</f>
        <v>0</v>
      </c>
      <c r="BU5" s="91">
        <f>IF(BU$1&lt;$F4-$U1,$U5*($F4-BU$1)/($F4-$U1),0)</f>
        <v>0</v>
      </c>
      <c r="BV5" s="91">
        <f>IF(BV$1&lt;$F4-$U1,$U5*($F4-BV$1)/($F4-$U1),0)</f>
        <v>0</v>
      </c>
      <c r="BW5" s="91">
        <f>IF(BW$1&lt;$F4-$U1,$U5*($F4-BW$1)/($F4-$U1),0)</f>
        <v>0</v>
      </c>
      <c r="BX5" s="91">
        <f>IF(BX$1&lt;$F4-$U1,$U5*($F4-BX$1)/($F4-$U1),0)</f>
        <v>0</v>
      </c>
      <c r="BY5" s="91">
        <f>IF(BY$1&lt;$F4-$U1,$U5*($F4-BY$1)/($F4-$U1),0)</f>
        <v>0</v>
      </c>
      <c r="BZ5" s="91">
        <f>IF(BZ$1&lt;$F4-$U1,$U5*($F4-BZ$1)/($F4-$U1),0)</f>
        <v>0</v>
      </c>
      <c r="CA5" s="91">
        <f>IF(CA$1&lt;$F4-$U1,$U5*($F4-CA$1)/($F4-$U1),0)</f>
        <v>0</v>
      </c>
      <c r="CB5" s="91">
        <f>IF(CB$1&lt;$F4-$U1,$U5*($F4-CB$1)/($F4-$U1),0)</f>
        <v>0</v>
      </c>
      <c r="CC5" s="91">
        <f>IF(CC$1&lt;$F4-$U1,$U5*($F4-CC$1)/($F4-$U1),0)</f>
        <v>0</v>
      </c>
      <c r="CD5" s="91">
        <f>IF(CD$1&lt;$F4-$U1,$U5*($F4-CD$1)/($F4-$U1),0)</f>
        <v>0</v>
      </c>
      <c r="CE5" s="91">
        <f>IF(CE$1&lt;$F4-$U1,$U5*($F4-CE$1)/($F4-$U1),0)</f>
        <v>0</v>
      </c>
      <c r="CF5" s="91">
        <f>IF(CF$1&lt;$F4-$U1,$U5*($F4-CF$1)/($F4-$U1),0)</f>
        <v>0</v>
      </c>
      <c r="CG5" s="91">
        <f>IF(CG$1&lt;$F4-$U1,$U5*($F4-CG$1)/($F4-$U1),0)</f>
        <v>0</v>
      </c>
      <c r="CH5" s="91">
        <f>IF(CH$1&lt;$F4-$U1,$U5*($F4-CH$1)/($F4-$U1),0)</f>
        <v>0</v>
      </c>
      <c r="CI5" s="91">
        <f>IF(CI$1&lt;$F4-$U1,$U5*($F4-CI$1)/($F4-$U1),0)</f>
        <v>0</v>
      </c>
      <c r="CJ5" s="91">
        <f>IF(CJ$1&lt;$F4-$U1,$U5*($F4-CJ$1)/($F4-$U1),0)</f>
        <v>0</v>
      </c>
      <c r="CK5" s="91">
        <f>IF(CK$1&lt;$F4-$U1,$U5*($F4-CK$1)/($F4-$U1),0)</f>
        <v>0</v>
      </c>
      <c r="CL5" s="91">
        <f>IF(CL$1&lt;$F4-$U1,$U5*($F4-CL$1)/($F4-$U1),0)</f>
        <v>0</v>
      </c>
      <c r="CM5" s="91">
        <f>IF(CM$1&lt;$F4-$U1,$U5*($F4-CM$1)/($F4-$U1),0)</f>
        <v>0</v>
      </c>
      <c r="CN5" s="91">
        <f>IF(CN$1&lt;$F4-$U1,$U5*($F4-CN$1)/($F4-$U1),0)</f>
        <v>0</v>
      </c>
      <c r="CO5" s="91">
        <f>IF(CO$1&lt;$F4-$U1,$U5*($F4-CO$1)/($F4-$U1),0)</f>
        <v>0</v>
      </c>
      <c r="CP5" s="91">
        <f>IF(CP$1&lt;$F4-$U1,$U5*($F4-CP$1)/($F4-$U1),0)</f>
        <v>0</v>
      </c>
      <c r="CQ5" s="91">
        <f>IF(CQ$1&lt;$F4-$U1,$U5*($F4-CQ$1)/($F4-$U1),0)</f>
        <v>0</v>
      </c>
      <c r="CR5" s="91">
        <f>IF(CR$1&lt;$F4-$U1,$U5*($F4-CR$1)/($F4-$U1),0)</f>
        <v>0</v>
      </c>
      <c r="CS5" s="91">
        <f>IF(CS$1&lt;$F4-$U1,$U5*($F4-CS$1)/($F4-$U1),0)</f>
        <v>0</v>
      </c>
      <c r="CT5" s="91">
        <f>IF(CT$1&lt;$F4-$U1,$U5*($F4-CT$1)/($F4-$U1),0)</f>
        <v>0</v>
      </c>
      <c r="CU5" s="91">
        <f>IF(CU$1&lt;$F4-$U1,$U5*($F4-CU$1)/($F4-$U1),0)</f>
        <v>0</v>
      </c>
      <c r="CV5" s="91">
        <f>IF(CV$1&lt;$F4-$U1,$U5*($F4-CV$1)/($F4-$U1),0)</f>
        <v>0</v>
      </c>
      <c r="CW5" s="91">
        <f>IF(CW$1&lt;$F4-$U1,$U5*($F4-CW$1)/($F4-$U1),0)</f>
        <v>0</v>
      </c>
      <c r="CX5" s="91">
        <f>IF(CX$1&lt;$F4-$U1,$U5*($F4-CX$1)/($F4-$U1),0)</f>
        <v>0</v>
      </c>
      <c r="CY5" s="91">
        <f>IF(CY$1&lt;$F4-$U1,$U5*($F4-CY$1)/($F4-$U1),0)</f>
        <v>0</v>
      </c>
      <c r="CZ5" s="91">
        <f>IF(CZ$1&lt;$F4-$U1,$U5*($F4-CZ$1)/($F4-$U1),0)</f>
        <v>0</v>
      </c>
      <c r="DA5" s="91">
        <f>IF(DA$1&lt;$F4-$U1,$U5*($F4-DA$1)/($F4-$U1),0)</f>
        <v>0</v>
      </c>
      <c r="DB5" s="91">
        <f>IF(DB$1&lt;$F4-$U1,$U5*($F4-DB$1)/($F4-$U1),0)</f>
        <v>0</v>
      </c>
      <c r="DC5" s="91">
        <f>IF(DC$1&lt;$F4-$U1,$U5*($F4-DC$1)/($F4-$U1),0)</f>
        <v>0</v>
      </c>
      <c r="DD5" s="91">
        <f>IF(DD$1&lt;$F4-$U1,$U5*($F4-DD$1)/($F4-$U1),0)</f>
        <v>0</v>
      </c>
      <c r="DE5" s="91">
        <f>IF(DE$1&lt;$F4-$U1,$U5*($F4-DE$1)/($F4-$U1),0)</f>
        <v>0</v>
      </c>
      <c r="DF5" s="91">
        <f>IF(DF$1&lt;$F4-$U1,$U5*($F4-DF$1)/($F4-$U1),0)</f>
        <v>0</v>
      </c>
      <c r="DG5" s="91">
        <f>IF(DG$1&lt;$F4-$U1,$U5*($F4-DG$1)/($F4-$U1),0)</f>
        <v>0</v>
      </c>
      <c r="DH5" s="91">
        <f>IF(DH$1&lt;$F4-$U1,$U5*($F4-DH$1)/($F4-$U1),0)</f>
        <v>0</v>
      </c>
      <c r="DI5" s="91">
        <f>IF(DI$1&lt;$F4-$U1,$U5*($F4-DI$1)/($F4-$U1),0)</f>
        <v>0</v>
      </c>
      <c r="DJ5" s="91">
        <f>IF(DJ$1&lt;$F4-$U1,$U5*($F4-DJ$1)/($F4-$U1),0)</f>
        <v>0</v>
      </c>
      <c r="DK5" s="91">
        <f>IF(DK$1&lt;$F4-$U1,$U5*($F4-DK$1)/($F4-$U1),0)</f>
        <v>0</v>
      </c>
      <c r="DL5" s="91">
        <f>IF(DL$1&lt;$F4-$U1,$U5*($F4-DL$1)/($F4-$U1),0)</f>
        <v>0</v>
      </c>
      <c r="DM5" s="91">
        <f>IF(DM$1&lt;$F4-$U1,$U5*($F4-DM$1)/($F4-$U1),0)</f>
        <v>0</v>
      </c>
      <c r="DN5" s="91">
        <f>IF(DN$1&lt;$F4-$U1,$U5*($F4-DN$1)/($F4-$U1),0)</f>
        <v>0</v>
      </c>
      <c r="DO5" s="91">
        <f>IF(DO$1&lt;$F4-$U1,$U5*($F4-DO$1)/($F4-$U1),0)</f>
        <v>0</v>
      </c>
      <c r="DP5" s="91">
        <f>IF(DP$1&lt;$F4-$U1,$U5*($F4-DP$1)/($F4-$U1),0)</f>
        <v>0</v>
      </c>
      <c r="DQ5" s="91">
        <f>IF(DQ$1&lt;$F4-$U1,$U5*($F4-DQ$1)/($F4-$U1),0)</f>
        <v>0</v>
      </c>
      <c r="DR5" s="91">
        <f>IF(DR$1&lt;$F4-$U1,$U5*($F4-DR$1)/($F4-$U1),0)</f>
        <v>0</v>
      </c>
      <c r="DS5" s="91">
        <f>IF(DS$1&lt;$F4-$U1,$U5*($F4-DS$1)/($F4-$U1),0)</f>
        <v>0</v>
      </c>
      <c r="DT5" s="91">
        <f>IF(DT$1&lt;$F4-$U1,$U5*($F4-DT$1)/($F4-$U1),0)</f>
        <v>0</v>
      </c>
      <c r="DU5" s="91">
        <f>IF(DU$1&lt;$F4-$U1,$U5*($F4-DU$1)/($F4-$U1),0)</f>
        <v>0</v>
      </c>
      <c r="DV5" s="91">
        <f>IF(DV$1&lt;$F4-$U1,$U5*($F4-DV$1)/($F4-$U1),0)</f>
        <v>0</v>
      </c>
      <c r="DW5" s="91">
        <f>IF(DW$1&lt;$F4-$U1,$U5*($F4-DW$1)/($F4-$U1),0)</f>
        <v>0</v>
      </c>
      <c r="DX5" s="91">
        <f>IF(DX$1&lt;$F4-$U1,$U5*($F4-DX$1)/($F4-$U1),0)</f>
        <v>0</v>
      </c>
      <c r="DY5" s="91">
        <f>IF(DY$1&lt;$F4-$U1,$U5*($F4-DY$1)/($F4-$U1),0)</f>
        <v>0</v>
      </c>
    </row>
    <row r="6" spans="1:129" x14ac:dyDescent="0.45">
      <c r="A6" s="3"/>
      <c r="B6" s="2"/>
      <c r="C6" s="122" t="s">
        <v>266</v>
      </c>
      <c r="D6" s="17"/>
      <c r="E6" s="2"/>
      <c r="F6" s="2"/>
      <c r="G6" s="2"/>
      <c r="H6" s="2"/>
      <c r="I6" s="14"/>
      <c r="J6" s="83"/>
      <c r="K6" s="55"/>
      <c r="L6" s="55"/>
      <c r="M6" s="55"/>
      <c r="N6" s="55"/>
      <c r="O6" s="55"/>
      <c r="P6" s="55"/>
      <c r="Q6" s="55"/>
      <c r="R6" s="55"/>
      <c r="S6" s="55"/>
      <c r="T6" s="55"/>
      <c r="U6" s="95"/>
      <c r="V6" s="91"/>
      <c r="W6" s="91"/>
      <c r="X6" s="91"/>
      <c r="Y6" s="91"/>
      <c r="Z6" s="55"/>
      <c r="AA6" s="55"/>
      <c r="AB6" s="55"/>
      <c r="AC6" s="55"/>
      <c r="AD6" s="55"/>
      <c r="AE6" s="55"/>
      <c r="AF6" s="55"/>
      <c r="AG6" s="123">
        <f>'Plan Moyen Terme (PMT)'!D4-BAU_Liquidité_Dynamique!AG4</f>
        <v>274.50020399999994</v>
      </c>
      <c r="AH6" s="124">
        <f>IF(AND(AG1&lt;AH$1, AH$1&lt;=$F4),$AG6*($F4-AH1)/($F4-$AG1),0)</f>
        <v>266.87519833333329</v>
      </c>
      <c r="AI6" s="124">
        <f t="shared" ref="AI6:BQ6" si="3">IF(AND(AH1&lt;AI$1, AI$1&lt;=$F4),$AG6*($F4-AI1)/($F4-$AG1),0)</f>
        <v>259.25019266666663</v>
      </c>
      <c r="AJ6" s="124">
        <f t="shared" si="3"/>
        <v>251.62518699999995</v>
      </c>
      <c r="AK6" s="124">
        <f t="shared" si="3"/>
        <v>244.00018133333327</v>
      </c>
      <c r="AL6" s="124">
        <f t="shared" si="3"/>
        <v>236.37517566666662</v>
      </c>
      <c r="AM6" s="124">
        <f t="shared" si="3"/>
        <v>228.75016999999994</v>
      </c>
      <c r="AN6" s="124">
        <f t="shared" si="3"/>
        <v>221.12516433333329</v>
      </c>
      <c r="AO6" s="124">
        <f t="shared" si="3"/>
        <v>213.50015866666661</v>
      </c>
      <c r="AP6" s="124">
        <f t="shared" si="3"/>
        <v>205.87515299999995</v>
      </c>
      <c r="AQ6" s="124">
        <f t="shared" si="3"/>
        <v>198.2501473333333</v>
      </c>
      <c r="AR6" s="124">
        <f t="shared" si="3"/>
        <v>190.62514166666662</v>
      </c>
      <c r="AS6" s="124">
        <f t="shared" si="3"/>
        <v>183.00013599999997</v>
      </c>
      <c r="AT6" s="124">
        <f>IF(AND(AS1&lt;AT$1, AT$1&lt;=$F4),$AG6*($F4-AT1)/($F4-$AG1),0)</f>
        <v>175.37513033333329</v>
      </c>
      <c r="AU6" s="124">
        <f t="shared" si="3"/>
        <v>167.75012466666664</v>
      </c>
      <c r="AV6" s="124">
        <f t="shared" si="3"/>
        <v>160.12511899999996</v>
      </c>
      <c r="AW6" s="124">
        <f t="shared" si="3"/>
        <v>152.5001133333333</v>
      </c>
      <c r="AX6" s="124">
        <f t="shared" si="3"/>
        <v>144.87510766666662</v>
      </c>
      <c r="AY6" s="124">
        <f t="shared" si="3"/>
        <v>137.25010199999997</v>
      </c>
      <c r="AZ6" s="124">
        <f t="shared" si="3"/>
        <v>129.62509633333332</v>
      </c>
      <c r="BA6" s="124">
        <f t="shared" si="3"/>
        <v>122.00009066666664</v>
      </c>
      <c r="BB6" s="124">
        <f t="shared" si="3"/>
        <v>114.37508499999997</v>
      </c>
      <c r="BC6" s="124">
        <f t="shared" si="3"/>
        <v>106.7500793333333</v>
      </c>
      <c r="BD6" s="124">
        <f t="shared" si="3"/>
        <v>99.125073666666651</v>
      </c>
      <c r="BE6" s="124">
        <f t="shared" si="3"/>
        <v>91.500067999999985</v>
      </c>
      <c r="BF6" s="124">
        <f t="shared" si="3"/>
        <v>83.875062333333318</v>
      </c>
      <c r="BG6" s="124">
        <f t="shared" si="3"/>
        <v>76.250056666666651</v>
      </c>
      <c r="BH6" s="124">
        <f t="shared" si="3"/>
        <v>68.625050999999985</v>
      </c>
      <c r="BI6" s="124">
        <f t="shared" si="3"/>
        <v>61.000045333333318</v>
      </c>
      <c r="BJ6" s="124">
        <f t="shared" si="3"/>
        <v>53.375039666666652</v>
      </c>
      <c r="BK6" s="124">
        <f t="shared" si="3"/>
        <v>45.750033999999992</v>
      </c>
      <c r="BL6" s="124">
        <f t="shared" si="3"/>
        <v>38.125028333333326</v>
      </c>
      <c r="BM6" s="124">
        <f t="shared" si="3"/>
        <v>30.500022666666659</v>
      </c>
      <c r="BN6" s="124">
        <f t="shared" si="3"/>
        <v>22.875016999999996</v>
      </c>
      <c r="BO6" s="124">
        <f t="shared" si="3"/>
        <v>15.25001133333333</v>
      </c>
      <c r="BP6" s="124">
        <f t="shared" si="3"/>
        <v>7.6250056666666648</v>
      </c>
      <c r="BQ6" s="124">
        <f t="shared" si="3"/>
        <v>0</v>
      </c>
      <c r="BR6" s="91">
        <f>IF(BR$1&lt;$F4-$AG1,$AG6*($F4-BR1)/($F4-$AG1),0)</f>
        <v>0</v>
      </c>
      <c r="BS6" s="91">
        <f>IF(BS$1&lt;$F4-$AG1,$AG6*($F4-BS1)/($F4-$AG1),0)</f>
        <v>0</v>
      </c>
      <c r="BT6" s="91">
        <f>IF(BT$1&lt;$F4-$AG1,$AG6*($F4-BT1)/($F4-$AG1),0)</f>
        <v>0</v>
      </c>
      <c r="BU6" s="91">
        <f>IF(BU$1&lt;$F4-$AG1,$AG6*($F4-BU1)/($F4-$AG1),0)</f>
        <v>0</v>
      </c>
      <c r="BV6" s="91">
        <f>IF(BV$1&lt;$F4-$AG1,$AG6*($F4-BV1)/($F4-$AG1),0)</f>
        <v>0</v>
      </c>
      <c r="BW6" s="91">
        <f>IF(BW$1&lt;$F4-$AG1,$AG6*($F4-BW1)/($F4-$AG1),0)</f>
        <v>0</v>
      </c>
      <c r="BX6" s="91">
        <f>IF(BX$1&lt;$F4-$AG1,$AG6*($F4-BX1)/($F4-$AG1),0)</f>
        <v>0</v>
      </c>
      <c r="BY6" s="91">
        <f>IF(BY$1&lt;$F4-$AG1,$AG6*($F4-BY1)/($F4-$AG1),0)</f>
        <v>0</v>
      </c>
      <c r="BZ6" s="91">
        <f>IF(BZ$1&lt;$F4-$AG1,$AG6*($F4-BZ1)/($F4-$AG1),0)</f>
        <v>0</v>
      </c>
      <c r="CA6" s="91">
        <f>IF(CA$1&lt;$F4-$AG1,$AG6*($F4-CA1)/($F4-$AG1),0)</f>
        <v>0</v>
      </c>
      <c r="CB6" s="91">
        <f>IF(CB$1&lt;$F4-$AG1,$AG6*($F4-CB1)/($F4-$AG1),0)</f>
        <v>0</v>
      </c>
      <c r="CC6" s="91">
        <f>IF(CC$1&lt;$F4-$AG1,$AG6*($F4-CC1)/($F4-$AG1),0)</f>
        <v>0</v>
      </c>
      <c r="CD6" s="91">
        <f>IF(CD$1&lt;$F4-$AG1,$AG6*($F4-CD1)/($F4-$AG1),0)</f>
        <v>0</v>
      </c>
      <c r="CE6" s="91">
        <f>IF(CE$1&lt;$F4-$AG1,$AG6*($F4-CE1)/($F4-$AG1),0)</f>
        <v>0</v>
      </c>
      <c r="CF6" s="91">
        <f>IF(CF$1&lt;$F4-$AG1,$AG6*($F4-CF1)/($F4-$AG1),0)</f>
        <v>0</v>
      </c>
      <c r="CG6" s="91">
        <f>IF(CG$1&lt;$F4-$AG1,$AG6*($F4-CG1)/($F4-$AG1),0)</f>
        <v>0</v>
      </c>
      <c r="CH6" s="91">
        <f>IF(CH$1&lt;$F4-$AG1,$AG6*($F4-CH1)/($F4-$AG1),0)</f>
        <v>0</v>
      </c>
      <c r="CI6" s="91">
        <f>IF(CI$1&lt;$F4-$AG1,$AG6*($F4-CI1)/($F4-$AG1),0)</f>
        <v>0</v>
      </c>
      <c r="CJ6" s="91">
        <f>IF(CJ$1&lt;$F4-$AG1,$AG6*($F4-CJ1)/($F4-$AG1),0)</f>
        <v>0</v>
      </c>
      <c r="CK6" s="91">
        <f>IF(CK$1&lt;$F4-$AG1,$AG6*($F4-CK1)/($F4-$AG1),0)</f>
        <v>0</v>
      </c>
      <c r="CL6" s="91">
        <f>IF(CL$1&lt;$F4-$AG1,$AG6*($F4-CL1)/($F4-$AG1),0)</f>
        <v>0</v>
      </c>
      <c r="CM6" s="91">
        <f>IF(CM$1&lt;$F4-$AG1,$AG6*($F4-CM1)/($F4-$AG1),0)</f>
        <v>0</v>
      </c>
      <c r="CN6" s="91">
        <f>IF(CN$1&lt;$F4-$AG1,$AG6*($F4-CN1)/($F4-$AG1),0)</f>
        <v>0</v>
      </c>
      <c r="CO6" s="91">
        <f>IF(CO$1&lt;$F4-$AG1,$AG6*($F4-CO1)/($F4-$AG1),0)</f>
        <v>0</v>
      </c>
      <c r="CP6" s="91">
        <f>IF(CP$1&lt;$F4-$AG1,$AG6*($F4-CP1)/($F4-$AG1),0)</f>
        <v>0</v>
      </c>
      <c r="CQ6" s="91">
        <f>IF(CQ$1&lt;$F4-$AG1,$AG6*($F4-CQ1)/($F4-$AG1),0)</f>
        <v>0</v>
      </c>
      <c r="CR6" s="91">
        <f>IF(CR$1&lt;$F4-$AG1,$AG6*($F4-CR1)/($F4-$AG1),0)</f>
        <v>0</v>
      </c>
      <c r="CS6" s="91">
        <f>IF(CS$1&lt;$F4-$AG1,$AG6*($F4-CS1)/($F4-$AG1),0)</f>
        <v>0</v>
      </c>
      <c r="CT6" s="91">
        <f>IF(CT$1&lt;$F4-$AG1,$AG6*($F4-CT1)/($F4-$AG1),0)</f>
        <v>0</v>
      </c>
      <c r="CU6" s="91">
        <f>IF(CU$1&lt;$F4-$AG1,$AG6*($F4-CU1)/($F4-$AG1),0)</f>
        <v>0</v>
      </c>
      <c r="CV6" s="91">
        <f>IF(CV$1&lt;$F4-$AG1,$AG6*($F4-CV1)/($F4-$AG1),0)</f>
        <v>0</v>
      </c>
      <c r="CW6" s="91">
        <f>IF(CW$1&lt;$F4-$AG1,$AG6*($F4-CW1)/($F4-$AG1),0)</f>
        <v>0</v>
      </c>
      <c r="CX6" s="91">
        <f>IF(CX$1&lt;$F4-$AG1,$AG6*($F4-CX1)/($F4-$AG1),0)</f>
        <v>0</v>
      </c>
      <c r="CY6" s="91">
        <f>IF(CY$1&lt;$F4-$AG1,$AG6*($F4-CY1)/($F4-$AG1),0)</f>
        <v>0</v>
      </c>
      <c r="CZ6" s="91">
        <f>IF(CZ$1&lt;$F4-$AG1,$AG6*($F4-CZ1)/($F4-$AG1),0)</f>
        <v>0</v>
      </c>
      <c r="DA6" s="91">
        <f>IF(DA$1&lt;$F4-$AG1,$AG6*($F4-DA1)/($F4-$AG1),0)</f>
        <v>0</v>
      </c>
      <c r="DB6" s="91">
        <f>IF(DB$1&lt;$F4-$AG1,$AG6*($F4-DB1)/($F4-$AG1),0)</f>
        <v>0</v>
      </c>
      <c r="DC6" s="91">
        <f>IF(DC$1&lt;$F4-$AG1,$AG6*($F4-DC1)/($F4-$AG1),0)</f>
        <v>0</v>
      </c>
      <c r="DD6" s="91">
        <f>IF(DD$1&lt;$F4-$AG1,$AG6*($F4-DD1)/($F4-$AG1),0)</f>
        <v>0</v>
      </c>
      <c r="DE6" s="91">
        <f>IF(DE$1&lt;$F4-$AG1,$AG6*($F4-DE1)/($F4-$AG1),0)</f>
        <v>0</v>
      </c>
      <c r="DF6" s="91">
        <f>IF(DF$1&lt;$F4-$AG1,$AG6*($F4-DF1)/($F4-$AG1),0)</f>
        <v>0</v>
      </c>
      <c r="DG6" s="91">
        <f>IF(DG$1&lt;$F4-$AG1,$AG6*($F4-DG1)/($F4-$AG1),0)</f>
        <v>0</v>
      </c>
      <c r="DH6" s="91">
        <f>IF(DH$1&lt;$F4-$AG1,$AG6*($F4-DH1)/($F4-$AG1),0)</f>
        <v>0</v>
      </c>
      <c r="DI6" s="91">
        <f>IF(DI$1&lt;$F4-$AG1,$AG6*($F4-DI1)/($F4-$AG1),0)</f>
        <v>0</v>
      </c>
      <c r="DJ6" s="91">
        <f>IF(DJ$1&lt;$F4-$AG1,$AG6*($F4-DJ1)/($F4-$AG1),0)</f>
        <v>0</v>
      </c>
      <c r="DK6" s="91">
        <f>IF(DK$1&lt;$F4-$AG1,$AG6*($F4-DK1)/($F4-$AG1),0)</f>
        <v>0</v>
      </c>
      <c r="DL6" s="91">
        <f>IF(DL$1&lt;$F4-$AG1,$AG6*($F4-DL1)/($F4-$AG1),0)</f>
        <v>0</v>
      </c>
      <c r="DM6" s="91">
        <f>IF(DM$1&lt;$F4-$AG1,$AG6*($F4-DM1)/($F4-$AG1),0)</f>
        <v>0</v>
      </c>
      <c r="DN6" s="91">
        <f>IF(DN$1&lt;$F4-$AG1,$AG6*($F4-DN1)/($F4-$AG1),0)</f>
        <v>0</v>
      </c>
      <c r="DO6" s="91">
        <f>IF(DO$1&lt;$F4-$AG1,$AG6*($F4-DO1)/($F4-$AG1),0)</f>
        <v>0</v>
      </c>
      <c r="DP6" s="91">
        <f>IF(DP$1&lt;$F4-$AG1,$AG6*($F4-DP1)/($F4-$AG1),0)</f>
        <v>0</v>
      </c>
      <c r="DQ6" s="91">
        <f>IF(DQ$1&lt;$F4-$AG1,$AG6*($F4-DQ1)/($F4-$AG1),0)</f>
        <v>0</v>
      </c>
      <c r="DR6" s="91">
        <f>IF(DR$1&lt;$F4-$AG1,$AG6*($F4-DR1)/($F4-$AG1),0)</f>
        <v>0</v>
      </c>
      <c r="DS6" s="91">
        <f>IF(DS$1&lt;$F4-$AG1,$AG6*($F4-DS1)/($F4-$AG1),0)</f>
        <v>0</v>
      </c>
      <c r="DT6" s="91">
        <f>IF(DT$1&lt;$F4-$AG1,$AG6*($F4-DT1)/($F4-$AG1),0)</f>
        <v>0</v>
      </c>
      <c r="DU6" s="91">
        <f>IF(DU$1&lt;$F4-$AG1,$AG6*($F4-DU1)/($F4-$AG1),0)</f>
        <v>0</v>
      </c>
      <c r="DV6" s="91">
        <f>IF(DV$1&lt;$F4-$AG1,$AG6*($F4-DV1)/($F4-$AG1),0)</f>
        <v>0</v>
      </c>
      <c r="DW6" s="91">
        <f>IF(DW$1&lt;$F4-$AG1,$AG6*($F4-DW1)/($F4-$AG1),0)</f>
        <v>0</v>
      </c>
      <c r="DX6" s="91">
        <f>IF(DX$1&lt;$F4-$AG1,$AG6*($F4-DX1)/($F4-$AG1),0)</f>
        <v>0</v>
      </c>
      <c r="DY6" s="91">
        <f>IF(DY$1&lt;$F4-$AG1,$AG6*($F4-DY1)/($F4-$AG1),0)</f>
        <v>0</v>
      </c>
    </row>
    <row r="7" spans="1:129" x14ac:dyDescent="0.45">
      <c r="A7" s="3"/>
      <c r="B7" s="2"/>
      <c r="C7" s="125" t="s">
        <v>267</v>
      </c>
      <c r="D7" s="17"/>
      <c r="E7" s="2"/>
      <c r="F7" s="2"/>
      <c r="G7" s="2"/>
      <c r="H7" s="2"/>
      <c r="I7" s="14"/>
      <c r="J7" s="55"/>
      <c r="K7" s="55"/>
      <c r="L7" s="55"/>
      <c r="M7" s="55"/>
      <c r="N7" s="55"/>
      <c r="O7" s="55"/>
      <c r="P7" s="55"/>
      <c r="Q7" s="55"/>
      <c r="R7" s="55"/>
      <c r="S7" s="55"/>
      <c r="T7" s="55"/>
      <c r="U7" s="96"/>
      <c r="V7" s="55"/>
      <c r="W7" s="55"/>
      <c r="X7" s="55"/>
      <c r="Y7" s="55"/>
      <c r="Z7" s="55"/>
      <c r="AA7" s="55"/>
      <c r="AB7" s="55"/>
      <c r="AC7" s="55"/>
      <c r="AD7" s="55"/>
      <c r="AE7" s="55"/>
      <c r="AF7" s="55"/>
      <c r="AG7" s="102"/>
      <c r="AH7" s="91"/>
      <c r="AI7" s="91"/>
      <c r="AJ7" s="91"/>
      <c r="AK7" s="55"/>
      <c r="AL7" s="55"/>
      <c r="AM7" s="55"/>
      <c r="AN7" s="55"/>
      <c r="AO7" s="55"/>
      <c r="AP7" s="55"/>
      <c r="AQ7" s="55"/>
      <c r="AR7" s="55"/>
      <c r="AS7" s="108">
        <f>'Plan Moyen Terme (PMT)'!E4-BAU_Liquidité_Dynamique!AS4</f>
        <v>229.86211599999996</v>
      </c>
      <c r="AT7" s="126">
        <f>IF(AND(AS1&lt;AT$1, AT$1&lt;=$F4),$AS$7*($F$4-AT1)/($F$4-$AS1),0)</f>
        <v>220.2845278333333</v>
      </c>
      <c r="AU7" s="126">
        <f t="shared" ref="AU7:BQ7" si="4">IF(AND(AT1&lt;AU$1, AU$1&lt;=$F4),$AS$7*($F$4-AU1)/($F$4-$AS1),0)</f>
        <v>210.70693966666661</v>
      </c>
      <c r="AV7" s="126">
        <f t="shared" si="4"/>
        <v>201.12935149999996</v>
      </c>
      <c r="AW7" s="126">
        <f t="shared" si="4"/>
        <v>191.5517633333333</v>
      </c>
      <c r="AX7" s="126">
        <f t="shared" si="4"/>
        <v>181.97417516666664</v>
      </c>
      <c r="AY7" s="126">
        <f t="shared" si="4"/>
        <v>172.39658699999995</v>
      </c>
      <c r="AZ7" s="126">
        <f t="shared" si="4"/>
        <v>162.8189988333333</v>
      </c>
      <c r="BA7" s="126">
        <f t="shared" si="4"/>
        <v>153.24141066666664</v>
      </c>
      <c r="BB7" s="126">
        <f t="shared" si="4"/>
        <v>143.66382249999998</v>
      </c>
      <c r="BC7" s="126">
        <f t="shared" si="4"/>
        <v>134.08623433333329</v>
      </c>
      <c r="BD7" s="126">
        <f t="shared" si="4"/>
        <v>124.50864616666665</v>
      </c>
      <c r="BE7" s="126">
        <f t="shared" si="4"/>
        <v>114.93105799999996</v>
      </c>
      <c r="BF7" s="126">
        <f t="shared" si="4"/>
        <v>105.35346983333331</v>
      </c>
      <c r="BG7" s="126">
        <f t="shared" si="4"/>
        <v>95.775881666666649</v>
      </c>
      <c r="BH7" s="126">
        <f t="shared" si="4"/>
        <v>86.198293499999977</v>
      </c>
      <c r="BI7" s="126">
        <f t="shared" si="4"/>
        <v>76.620705333333319</v>
      </c>
      <c r="BJ7" s="126">
        <f t="shared" si="4"/>
        <v>67.043117166666647</v>
      </c>
      <c r="BK7" s="126">
        <f t="shared" si="4"/>
        <v>57.465528999999982</v>
      </c>
      <c r="BL7" s="126">
        <f t="shared" si="4"/>
        <v>47.887940833333325</v>
      </c>
      <c r="BM7" s="126">
        <f t="shared" si="4"/>
        <v>38.31035266666666</v>
      </c>
      <c r="BN7" s="126">
        <f t="shared" si="4"/>
        <v>28.732764499999991</v>
      </c>
      <c r="BO7" s="126">
        <f t="shared" si="4"/>
        <v>19.15517633333333</v>
      </c>
      <c r="BP7" s="126">
        <f t="shared" si="4"/>
        <v>9.5775881666666649</v>
      </c>
      <c r="BQ7" s="126">
        <f t="shared" si="4"/>
        <v>0</v>
      </c>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row>
    <row r="8" spans="1:129" x14ac:dyDescent="0.45">
      <c r="A8" s="3">
        <v>46022</v>
      </c>
      <c r="B8" s="2" t="s">
        <v>0</v>
      </c>
      <c r="C8" s="6" t="s">
        <v>3</v>
      </c>
      <c r="D8" s="17">
        <v>4.05726874893458E-4</v>
      </c>
      <c r="E8" s="2" t="s">
        <v>43</v>
      </c>
      <c r="F8" s="2">
        <v>120</v>
      </c>
      <c r="G8" s="2" t="s">
        <v>47</v>
      </c>
      <c r="H8" s="2">
        <v>120</v>
      </c>
      <c r="I8" s="14">
        <v>1214.53712</v>
      </c>
      <c r="J8" s="55">
        <f>IF(J$1&lt;$F8,$I8*(($F8-J$1)/$F8),0)</f>
        <v>1204.4159773333333</v>
      </c>
      <c r="K8" s="55">
        <f t="shared" si="0"/>
        <v>1194.2948346666665</v>
      </c>
      <c r="L8" s="55">
        <f t="shared" si="0"/>
        <v>1184.1736919999998</v>
      </c>
      <c r="M8" s="55">
        <f t="shared" si="0"/>
        <v>1174.0525493333332</v>
      </c>
      <c r="N8" s="55">
        <f t="shared" si="0"/>
        <v>1163.9314066666666</v>
      </c>
      <c r="O8" s="55">
        <f t="shared" si="0"/>
        <v>1153.810264</v>
      </c>
      <c r="P8" s="55">
        <f t="shared" si="0"/>
        <v>1143.6891213333333</v>
      </c>
      <c r="Q8" s="55">
        <f t="shared" si="0"/>
        <v>1133.5679786666667</v>
      </c>
      <c r="R8" s="55">
        <f t="shared" si="0"/>
        <v>1123.4468360000001</v>
      </c>
      <c r="S8" s="55">
        <f t="shared" si="0"/>
        <v>1113.3256933333332</v>
      </c>
      <c r="T8" s="55">
        <f t="shared" si="0"/>
        <v>1103.2045506666666</v>
      </c>
      <c r="U8" s="96">
        <f t="shared" si="0"/>
        <v>1093.083408</v>
      </c>
      <c r="V8" s="55">
        <f t="shared" si="0"/>
        <v>1082.9622653333333</v>
      </c>
      <c r="W8" s="55">
        <f t="shared" si="0"/>
        <v>1072.8411226666667</v>
      </c>
      <c r="X8" s="55">
        <f t="shared" si="0"/>
        <v>1062.7199799999999</v>
      </c>
      <c r="Y8" s="55">
        <f t="shared" si="0"/>
        <v>1052.5988373333332</v>
      </c>
      <c r="Z8" s="55">
        <f t="shared" si="0"/>
        <v>1042.4776946666666</v>
      </c>
      <c r="AA8" s="55">
        <f t="shared" si="0"/>
        <v>1032.356552</v>
      </c>
      <c r="AB8" s="55">
        <f t="shared" si="0"/>
        <v>1022.2354093333333</v>
      </c>
      <c r="AC8" s="55">
        <f t="shared" si="0"/>
        <v>1012.1142666666667</v>
      </c>
      <c r="AD8" s="55">
        <f t="shared" si="0"/>
        <v>1001.993124</v>
      </c>
      <c r="AE8" s="55">
        <f t="shared" si="0"/>
        <v>991.87198133333334</v>
      </c>
      <c r="AF8" s="55">
        <f t="shared" si="0"/>
        <v>981.7508386666666</v>
      </c>
      <c r="AG8" s="102">
        <f t="shared" si="0"/>
        <v>971.62969599999997</v>
      </c>
      <c r="AH8" s="55">
        <f t="shared" si="0"/>
        <v>961.50855333333323</v>
      </c>
      <c r="AI8" s="55">
        <f t="shared" si="0"/>
        <v>951.3874106666666</v>
      </c>
      <c r="AJ8" s="55">
        <f t="shared" si="0"/>
        <v>941.26626799999997</v>
      </c>
      <c r="AK8" s="55">
        <f t="shared" si="0"/>
        <v>931.14512533333334</v>
      </c>
      <c r="AL8" s="55">
        <f t="shared" si="0"/>
        <v>921.0239826666666</v>
      </c>
      <c r="AM8" s="55">
        <f t="shared" si="0"/>
        <v>910.90283999999997</v>
      </c>
      <c r="AN8" s="55">
        <f t="shared" si="0"/>
        <v>900.78169733333334</v>
      </c>
      <c r="AO8" s="55">
        <f t="shared" si="0"/>
        <v>890.6605546666666</v>
      </c>
      <c r="AP8" s="55">
        <f t="shared" si="0"/>
        <v>880.53941199999997</v>
      </c>
      <c r="AQ8" s="55">
        <f t="shared" si="0"/>
        <v>870.41826933333334</v>
      </c>
      <c r="AR8" s="55">
        <f t="shared" si="0"/>
        <v>860.29712666666671</v>
      </c>
      <c r="AS8" s="108">
        <f t="shared" si="0"/>
        <v>850.17598399999997</v>
      </c>
      <c r="AT8" s="55">
        <f t="shared" si="0"/>
        <v>840.05484133333334</v>
      </c>
      <c r="AU8" s="55">
        <f t="shared" si="0"/>
        <v>829.9336986666666</v>
      </c>
      <c r="AV8" s="55">
        <f t="shared" si="0"/>
        <v>819.81255599999997</v>
      </c>
      <c r="AW8" s="55">
        <f t="shared" si="0"/>
        <v>809.69141333333323</v>
      </c>
      <c r="AX8" s="55">
        <f t="shared" si="0"/>
        <v>799.5702706666666</v>
      </c>
      <c r="AY8" s="55">
        <f t="shared" si="0"/>
        <v>789.44912799999997</v>
      </c>
      <c r="AZ8" s="55">
        <f t="shared" si="0"/>
        <v>779.32798533333334</v>
      </c>
      <c r="BA8" s="55">
        <f t="shared" si="0"/>
        <v>769.2068426666666</v>
      </c>
      <c r="BB8" s="55">
        <f t="shared" si="0"/>
        <v>759.08569999999997</v>
      </c>
      <c r="BC8" s="55">
        <f t="shared" si="0"/>
        <v>748.96455733333335</v>
      </c>
      <c r="BD8" s="55">
        <f t="shared" si="0"/>
        <v>738.8434146666666</v>
      </c>
      <c r="BE8" s="55">
        <f t="shared" si="0"/>
        <v>728.72227199999998</v>
      </c>
      <c r="BF8" s="55">
        <f t="shared" si="0"/>
        <v>718.60112933333335</v>
      </c>
      <c r="BG8" s="55">
        <f t="shared" si="0"/>
        <v>708.47998666666672</v>
      </c>
      <c r="BH8" s="55">
        <f t="shared" si="0"/>
        <v>698.35884399999998</v>
      </c>
      <c r="BI8" s="55">
        <f t="shared" si="0"/>
        <v>688.23770133333335</v>
      </c>
      <c r="BJ8" s="55">
        <f t="shared" si="0"/>
        <v>678.11655866666661</v>
      </c>
      <c r="BK8" s="55">
        <f t="shared" si="0"/>
        <v>667.99541599999998</v>
      </c>
      <c r="BL8" s="55">
        <f t="shared" si="0"/>
        <v>657.87427333333324</v>
      </c>
      <c r="BM8" s="55">
        <f t="shared" si="0"/>
        <v>647.75313066666661</v>
      </c>
      <c r="BN8" s="55">
        <f t="shared" si="0"/>
        <v>637.63198799999998</v>
      </c>
      <c r="BO8" s="55">
        <f t="shared" si="0"/>
        <v>627.51084533333335</v>
      </c>
      <c r="BP8" s="55">
        <f t="shared" si="0"/>
        <v>617.38970266666661</v>
      </c>
      <c r="BQ8" s="55">
        <f t="shared" si="0"/>
        <v>607.26855999999998</v>
      </c>
      <c r="BR8" s="55">
        <f t="shared" si="0"/>
        <v>597.14741733333324</v>
      </c>
      <c r="BS8" s="55">
        <f t="shared" si="0"/>
        <v>587.02627466666661</v>
      </c>
      <c r="BT8" s="55">
        <f t="shared" si="0"/>
        <v>576.90513199999998</v>
      </c>
      <c r="BU8" s="55">
        <f t="shared" si="0"/>
        <v>566.78398933333335</v>
      </c>
      <c r="BV8" s="55">
        <f t="shared" si="0"/>
        <v>556.66284666666661</v>
      </c>
      <c r="BW8" s="55">
        <f t="shared" si="1"/>
        <v>546.54170399999998</v>
      </c>
      <c r="BX8" s="55">
        <f t="shared" si="1"/>
        <v>536.42056133333335</v>
      </c>
      <c r="BY8" s="55">
        <f t="shared" si="1"/>
        <v>526.29941866666661</v>
      </c>
      <c r="BZ8" s="55">
        <f t="shared" si="1"/>
        <v>516.17827599999998</v>
      </c>
      <c r="CA8" s="55">
        <f t="shared" si="1"/>
        <v>506.05713333333335</v>
      </c>
      <c r="CB8" s="55">
        <f t="shared" si="1"/>
        <v>495.93599066666667</v>
      </c>
      <c r="CC8" s="55">
        <f t="shared" si="1"/>
        <v>485.81484799999998</v>
      </c>
      <c r="CD8" s="55">
        <f t="shared" si="1"/>
        <v>475.6937053333333</v>
      </c>
      <c r="CE8" s="55">
        <f t="shared" si="1"/>
        <v>465.57256266666667</v>
      </c>
      <c r="CF8" s="55">
        <f t="shared" si="1"/>
        <v>455.45141999999998</v>
      </c>
      <c r="CG8" s="55">
        <f t="shared" si="1"/>
        <v>445.3302773333333</v>
      </c>
      <c r="CH8" s="55">
        <f t="shared" si="1"/>
        <v>435.20913466666667</v>
      </c>
      <c r="CI8" s="55">
        <f t="shared" si="1"/>
        <v>425.08799199999999</v>
      </c>
      <c r="CJ8" s="55">
        <f t="shared" si="1"/>
        <v>414.9668493333333</v>
      </c>
      <c r="CK8" s="55">
        <f t="shared" si="1"/>
        <v>404.84570666666662</v>
      </c>
      <c r="CL8" s="55">
        <f t="shared" si="1"/>
        <v>394.72456399999999</v>
      </c>
      <c r="CM8" s="55">
        <f t="shared" si="1"/>
        <v>384.6034213333333</v>
      </c>
      <c r="CN8" s="55">
        <f t="shared" si="1"/>
        <v>374.48227866666667</v>
      </c>
      <c r="CO8" s="55">
        <f t="shared" si="1"/>
        <v>364.36113599999999</v>
      </c>
      <c r="CP8" s="55">
        <f t="shared" si="1"/>
        <v>354.23999333333336</v>
      </c>
      <c r="CQ8" s="55">
        <f t="shared" si="1"/>
        <v>344.11885066666667</v>
      </c>
      <c r="CR8" s="55">
        <f t="shared" si="1"/>
        <v>333.99770799999999</v>
      </c>
      <c r="CS8" s="55">
        <f t="shared" si="1"/>
        <v>323.8765653333333</v>
      </c>
      <c r="CT8" s="55">
        <f t="shared" si="1"/>
        <v>313.75542266666668</v>
      </c>
      <c r="CU8" s="55">
        <f t="shared" si="1"/>
        <v>303.63427999999999</v>
      </c>
      <c r="CV8" s="55">
        <f t="shared" si="1"/>
        <v>293.5131373333333</v>
      </c>
      <c r="CW8" s="55">
        <f t="shared" si="1"/>
        <v>283.39199466666668</v>
      </c>
      <c r="CX8" s="55">
        <f t="shared" si="1"/>
        <v>273.27085199999999</v>
      </c>
      <c r="CY8" s="55">
        <f t="shared" si="1"/>
        <v>263.14970933333331</v>
      </c>
      <c r="CZ8" s="55">
        <f t="shared" si="1"/>
        <v>253.02856666666668</v>
      </c>
      <c r="DA8" s="55">
        <f t="shared" si="1"/>
        <v>242.90742399999999</v>
      </c>
      <c r="DB8" s="55">
        <f t="shared" si="1"/>
        <v>232.78628133333333</v>
      </c>
      <c r="DC8" s="55">
        <f t="shared" si="1"/>
        <v>222.66513866666665</v>
      </c>
      <c r="DD8" s="55">
        <f t="shared" si="1"/>
        <v>212.54399599999999</v>
      </c>
      <c r="DE8" s="55">
        <f t="shared" si="1"/>
        <v>202.42285333333331</v>
      </c>
      <c r="DF8" s="55">
        <f t="shared" si="1"/>
        <v>192.30171066666665</v>
      </c>
      <c r="DG8" s="55">
        <f t="shared" si="1"/>
        <v>182.18056799999999</v>
      </c>
      <c r="DH8" s="55">
        <f t="shared" si="1"/>
        <v>172.05942533333334</v>
      </c>
      <c r="DI8" s="55">
        <f t="shared" si="1"/>
        <v>161.93828266666665</v>
      </c>
      <c r="DJ8" s="55">
        <f t="shared" si="1"/>
        <v>151.81713999999999</v>
      </c>
      <c r="DK8" s="55">
        <f t="shared" si="1"/>
        <v>141.69599733333334</v>
      </c>
      <c r="DL8" s="55">
        <f t="shared" si="1"/>
        <v>131.57485466666665</v>
      </c>
      <c r="DM8" s="55">
        <f t="shared" si="1"/>
        <v>121.453712</v>
      </c>
      <c r="DN8" s="55">
        <f t="shared" si="1"/>
        <v>111.33256933333332</v>
      </c>
      <c r="DO8" s="55">
        <f t="shared" si="1"/>
        <v>101.21142666666665</v>
      </c>
      <c r="DP8" s="55">
        <f t="shared" si="1"/>
        <v>91.090283999999997</v>
      </c>
      <c r="DQ8" s="55">
        <f t="shared" si="1"/>
        <v>80.969141333333326</v>
      </c>
      <c r="DR8" s="55">
        <f t="shared" si="1"/>
        <v>70.847998666666669</v>
      </c>
      <c r="DS8" s="55">
        <f t="shared" si="1"/>
        <v>60.726855999999998</v>
      </c>
      <c r="DT8" s="55">
        <f t="shared" si="1"/>
        <v>50.605713333333327</v>
      </c>
      <c r="DU8" s="55">
        <f t="shared" si="1"/>
        <v>40.484570666666663</v>
      </c>
      <c r="DV8" s="55">
        <f t="shared" si="1"/>
        <v>30.363427999999999</v>
      </c>
      <c r="DW8" s="55">
        <f t="shared" si="1"/>
        <v>20.242285333333331</v>
      </c>
      <c r="DX8" s="55">
        <f t="shared" si="1"/>
        <v>10.121142666666666</v>
      </c>
      <c r="DY8" s="55">
        <f t="shared" si="1"/>
        <v>0</v>
      </c>
    </row>
    <row r="9" spans="1:129" x14ac:dyDescent="0.45">
      <c r="A9" s="3"/>
      <c r="B9" s="2"/>
      <c r="C9" s="121" t="s">
        <v>265</v>
      </c>
      <c r="D9" s="17"/>
      <c r="E9" s="2"/>
      <c r="F9" s="2"/>
      <c r="G9" s="2"/>
      <c r="H9" s="2"/>
      <c r="I9" s="14"/>
      <c r="J9" s="55"/>
      <c r="K9" s="55"/>
      <c r="L9" s="55"/>
      <c r="M9" s="55"/>
      <c r="N9" s="55"/>
      <c r="O9" s="55"/>
      <c r="P9" s="55"/>
      <c r="Q9" s="55"/>
      <c r="R9" s="55"/>
      <c r="S9" s="55"/>
      <c r="T9" s="55"/>
      <c r="U9" s="119">
        <f>'Plan Moyen Terme (PMT)'!C5-BAU_Liquidité_Dynamique!U8</f>
        <v>175.23103200000014</v>
      </c>
      <c r="V9" s="120">
        <f>IF(AND(U1&lt;V$1, V$1&lt;=$F8),$U9*($F8-V$1)/($F8-$U$1),0)</f>
        <v>173.60852244444456</v>
      </c>
      <c r="W9" s="120">
        <f t="shared" ref="W9:CH9" si="5">IF(AND(V1&lt;W$1, W$1&lt;=$F8),$U9*($F8-W$1)/($F8-$U$1),0)</f>
        <v>171.98601288888901</v>
      </c>
      <c r="X9" s="120">
        <f t="shared" si="5"/>
        <v>170.36350333333345</v>
      </c>
      <c r="Y9" s="120">
        <f t="shared" si="5"/>
        <v>168.7409937777779</v>
      </c>
      <c r="Z9" s="120">
        <f t="shared" si="5"/>
        <v>167.11848422222235</v>
      </c>
      <c r="AA9" s="120">
        <f t="shared" si="5"/>
        <v>165.4959746666668</v>
      </c>
      <c r="AB9" s="120">
        <f t="shared" si="5"/>
        <v>163.87346511111124</v>
      </c>
      <c r="AC9" s="120">
        <f t="shared" si="5"/>
        <v>162.25095555555566</v>
      </c>
      <c r="AD9" s="120">
        <f t="shared" si="5"/>
        <v>160.62844600000011</v>
      </c>
      <c r="AE9" s="120">
        <f t="shared" si="5"/>
        <v>159.00593644444456</v>
      </c>
      <c r="AF9" s="120">
        <f t="shared" si="5"/>
        <v>157.38342688888901</v>
      </c>
      <c r="AG9" s="120">
        <f t="shared" si="5"/>
        <v>155.76091733333345</v>
      </c>
      <c r="AH9" s="120">
        <f t="shared" si="5"/>
        <v>154.1384077777779</v>
      </c>
      <c r="AI9" s="120">
        <f t="shared" si="5"/>
        <v>152.51589822222235</v>
      </c>
      <c r="AJ9" s="120">
        <f t="shared" si="5"/>
        <v>150.89338866666679</v>
      </c>
      <c r="AK9" s="120">
        <f t="shared" si="5"/>
        <v>149.27087911111124</v>
      </c>
      <c r="AL9" s="120">
        <f t="shared" si="5"/>
        <v>147.64836955555569</v>
      </c>
      <c r="AM9" s="120">
        <f t="shared" si="5"/>
        <v>146.02586000000011</v>
      </c>
      <c r="AN9" s="120">
        <f t="shared" si="5"/>
        <v>144.40335044444456</v>
      </c>
      <c r="AO9" s="120">
        <f t="shared" si="5"/>
        <v>142.780840888889</v>
      </c>
      <c r="AP9" s="120">
        <f t="shared" si="5"/>
        <v>141.15833133333345</v>
      </c>
      <c r="AQ9" s="120">
        <f t="shared" si="5"/>
        <v>139.5358217777779</v>
      </c>
      <c r="AR9" s="120">
        <f t="shared" si="5"/>
        <v>137.91331222222232</v>
      </c>
      <c r="AS9" s="120">
        <f t="shared" si="5"/>
        <v>136.29080266666676</v>
      </c>
      <c r="AT9" s="120">
        <f t="shared" si="5"/>
        <v>134.66829311111121</v>
      </c>
      <c r="AU9" s="120">
        <f t="shared" si="5"/>
        <v>133.04578355555566</v>
      </c>
      <c r="AV9" s="120">
        <f t="shared" si="5"/>
        <v>131.42327400000011</v>
      </c>
      <c r="AW9" s="120">
        <f t="shared" si="5"/>
        <v>129.80076444444455</v>
      </c>
      <c r="AX9" s="120">
        <f t="shared" si="5"/>
        <v>128.178254888889</v>
      </c>
      <c r="AY9" s="120">
        <f t="shared" si="5"/>
        <v>126.55574533333345</v>
      </c>
      <c r="AZ9" s="120">
        <f t="shared" si="5"/>
        <v>124.93323577777788</v>
      </c>
      <c r="BA9" s="120">
        <f t="shared" si="5"/>
        <v>123.31072622222233</v>
      </c>
      <c r="BB9" s="120">
        <f t="shared" si="5"/>
        <v>121.68821666666678</v>
      </c>
      <c r="BC9" s="120">
        <f t="shared" si="5"/>
        <v>120.06570711111119</v>
      </c>
      <c r="BD9" s="120">
        <f t="shared" si="5"/>
        <v>118.44319755555564</v>
      </c>
      <c r="BE9" s="120">
        <f t="shared" si="5"/>
        <v>116.82068800000009</v>
      </c>
      <c r="BF9" s="120">
        <f t="shared" si="5"/>
        <v>115.19817844444454</v>
      </c>
      <c r="BG9" s="120">
        <f t="shared" si="5"/>
        <v>113.57566888888898</v>
      </c>
      <c r="BH9" s="120">
        <f t="shared" si="5"/>
        <v>111.95315933333342</v>
      </c>
      <c r="BI9" s="120">
        <f t="shared" si="5"/>
        <v>110.33064977777786</v>
      </c>
      <c r="BJ9" s="120">
        <f t="shared" si="5"/>
        <v>108.70814022222231</v>
      </c>
      <c r="BK9" s="120">
        <f t="shared" si="5"/>
        <v>107.08563066666675</v>
      </c>
      <c r="BL9" s="120">
        <f t="shared" si="5"/>
        <v>105.46312111111119</v>
      </c>
      <c r="BM9" s="120">
        <f t="shared" si="5"/>
        <v>103.84061155555564</v>
      </c>
      <c r="BN9" s="120">
        <f t="shared" si="5"/>
        <v>102.21810200000009</v>
      </c>
      <c r="BO9" s="120">
        <f t="shared" si="5"/>
        <v>100.59559244444453</v>
      </c>
      <c r="BP9" s="120">
        <f t="shared" si="5"/>
        <v>98.973082888888968</v>
      </c>
      <c r="BQ9" s="120">
        <f t="shared" si="5"/>
        <v>97.350573333333415</v>
      </c>
      <c r="BR9" s="120">
        <f t="shared" si="5"/>
        <v>95.728063777777862</v>
      </c>
      <c r="BS9" s="120">
        <f t="shared" si="5"/>
        <v>94.105554222222295</v>
      </c>
      <c r="BT9" s="120">
        <f t="shared" si="5"/>
        <v>92.483044666666743</v>
      </c>
      <c r="BU9" s="120">
        <f t="shared" si="5"/>
        <v>90.86053511111119</v>
      </c>
      <c r="BV9" s="120">
        <f t="shared" si="5"/>
        <v>89.238025555555637</v>
      </c>
      <c r="BW9" s="120">
        <f t="shared" si="5"/>
        <v>87.615516000000085</v>
      </c>
      <c r="BX9" s="120">
        <f t="shared" si="5"/>
        <v>85.993006444444504</v>
      </c>
      <c r="BY9" s="120">
        <f t="shared" si="5"/>
        <v>84.370496888888951</v>
      </c>
      <c r="BZ9" s="120">
        <f t="shared" si="5"/>
        <v>82.747987333333398</v>
      </c>
      <c r="CA9" s="120">
        <f t="shared" si="5"/>
        <v>81.125477777777832</v>
      </c>
      <c r="CB9" s="120">
        <f t="shared" si="5"/>
        <v>79.502968222222279</v>
      </c>
      <c r="CC9" s="120">
        <f t="shared" si="5"/>
        <v>77.880458666666726</v>
      </c>
      <c r="CD9" s="120">
        <f t="shared" si="5"/>
        <v>76.257949111111174</v>
      </c>
      <c r="CE9" s="120">
        <f t="shared" si="5"/>
        <v>74.635439555555621</v>
      </c>
      <c r="CF9" s="120">
        <f t="shared" si="5"/>
        <v>73.012930000000054</v>
      </c>
      <c r="CG9" s="120">
        <f t="shared" si="5"/>
        <v>71.390420444444501</v>
      </c>
      <c r="CH9" s="120">
        <f t="shared" si="5"/>
        <v>69.767910888888949</v>
      </c>
      <c r="CI9" s="120">
        <f t="shared" ref="CI9:DY9" si="6">IF(AND(CH1&lt;CI$1, CI$1&lt;=$F8),$U9*($F8-CI$1)/($F8-$U$1),0)</f>
        <v>68.145401333333382</v>
      </c>
      <c r="CJ9" s="120">
        <f t="shared" si="6"/>
        <v>66.522891777777829</v>
      </c>
      <c r="CK9" s="120">
        <f t="shared" si="6"/>
        <v>64.900382222222277</v>
      </c>
      <c r="CL9" s="120">
        <f t="shared" si="6"/>
        <v>63.277872666666724</v>
      </c>
      <c r="CM9" s="120">
        <f t="shared" si="6"/>
        <v>61.655363111111164</v>
      </c>
      <c r="CN9" s="120">
        <f t="shared" si="6"/>
        <v>60.032853555555597</v>
      </c>
      <c r="CO9" s="120">
        <f t="shared" si="6"/>
        <v>58.410344000000045</v>
      </c>
      <c r="CP9" s="120">
        <f t="shared" si="6"/>
        <v>56.787834444444492</v>
      </c>
      <c r="CQ9" s="120">
        <f t="shared" si="6"/>
        <v>55.165324888888932</v>
      </c>
      <c r="CR9" s="120">
        <f t="shared" si="6"/>
        <v>53.542815333333373</v>
      </c>
      <c r="CS9" s="120">
        <f t="shared" si="6"/>
        <v>51.92030577777782</v>
      </c>
      <c r="CT9" s="120">
        <f t="shared" si="6"/>
        <v>50.297796222222267</v>
      </c>
      <c r="CU9" s="120">
        <f t="shared" si="6"/>
        <v>48.675286666666707</v>
      </c>
      <c r="CV9" s="120">
        <f t="shared" si="6"/>
        <v>47.052777111111148</v>
      </c>
      <c r="CW9" s="120">
        <f t="shared" si="6"/>
        <v>45.430267555555595</v>
      </c>
      <c r="CX9" s="120">
        <f t="shared" si="6"/>
        <v>43.807758000000042</v>
      </c>
      <c r="CY9" s="120">
        <f t="shared" si="6"/>
        <v>42.185248444444476</v>
      </c>
      <c r="CZ9" s="120">
        <f t="shared" si="6"/>
        <v>40.562738888888916</v>
      </c>
      <c r="DA9" s="120">
        <f t="shared" si="6"/>
        <v>38.940229333333363</v>
      </c>
      <c r="DB9" s="120">
        <f t="shared" si="6"/>
        <v>37.31771977777781</v>
      </c>
      <c r="DC9" s="120">
        <f t="shared" si="6"/>
        <v>35.695210222222251</v>
      </c>
      <c r="DD9" s="120">
        <f t="shared" si="6"/>
        <v>34.072700666666691</v>
      </c>
      <c r="DE9" s="120">
        <f t="shared" si="6"/>
        <v>32.450191111111138</v>
      </c>
      <c r="DF9" s="120">
        <f t="shared" si="6"/>
        <v>30.827681555555582</v>
      </c>
      <c r="DG9" s="120">
        <f t="shared" si="6"/>
        <v>29.205172000000022</v>
      </c>
      <c r="DH9" s="120">
        <f t="shared" si="6"/>
        <v>27.582662444444466</v>
      </c>
      <c r="DI9" s="120">
        <f t="shared" si="6"/>
        <v>25.96015288888891</v>
      </c>
      <c r="DJ9" s="120">
        <f t="shared" si="6"/>
        <v>24.337643333333354</v>
      </c>
      <c r="DK9" s="120">
        <f t="shared" si="6"/>
        <v>22.715133777777798</v>
      </c>
      <c r="DL9" s="120">
        <f t="shared" si="6"/>
        <v>21.092624222222238</v>
      </c>
      <c r="DM9" s="120">
        <f t="shared" si="6"/>
        <v>19.470114666666682</v>
      </c>
      <c r="DN9" s="120">
        <f t="shared" si="6"/>
        <v>17.847605111111125</v>
      </c>
      <c r="DO9" s="120">
        <f t="shared" si="6"/>
        <v>16.225095555555569</v>
      </c>
      <c r="DP9" s="120">
        <f t="shared" si="6"/>
        <v>14.602586000000011</v>
      </c>
      <c r="DQ9" s="120">
        <f t="shared" si="6"/>
        <v>12.980076444444455</v>
      </c>
      <c r="DR9" s="120">
        <f t="shared" si="6"/>
        <v>11.357566888888899</v>
      </c>
      <c r="DS9" s="120">
        <f t="shared" si="6"/>
        <v>9.7350573333333408</v>
      </c>
      <c r="DT9" s="120">
        <f t="shared" si="6"/>
        <v>8.1125477777777846</v>
      </c>
      <c r="DU9" s="120">
        <f t="shared" si="6"/>
        <v>6.4900382222222275</v>
      </c>
      <c r="DV9" s="120">
        <f t="shared" si="6"/>
        <v>4.8675286666666704</v>
      </c>
      <c r="DW9" s="120">
        <f t="shared" si="6"/>
        <v>3.2450191111111137</v>
      </c>
      <c r="DX9" s="120">
        <f t="shared" si="6"/>
        <v>1.6225095555555569</v>
      </c>
      <c r="DY9" s="120">
        <f t="shared" si="6"/>
        <v>0</v>
      </c>
    </row>
    <row r="10" spans="1:129" x14ac:dyDescent="0.45">
      <c r="A10" s="3"/>
      <c r="B10" s="2"/>
      <c r="C10" s="122" t="s">
        <v>266</v>
      </c>
      <c r="D10" s="17"/>
      <c r="E10" s="2"/>
      <c r="F10" s="2"/>
      <c r="G10" s="2"/>
      <c r="H10" s="2"/>
      <c r="I10" s="14"/>
      <c r="J10" s="55"/>
      <c r="K10" s="55"/>
      <c r="L10" s="55"/>
      <c r="M10" s="55"/>
      <c r="N10" s="55"/>
      <c r="O10" s="55"/>
      <c r="P10" s="55"/>
      <c r="Q10" s="55"/>
      <c r="R10" s="55"/>
      <c r="S10" s="55"/>
      <c r="T10" s="55"/>
      <c r="U10" s="95"/>
      <c r="V10" s="91"/>
      <c r="W10" s="91"/>
      <c r="X10" s="91"/>
      <c r="Y10" s="91"/>
      <c r="Z10" s="55"/>
      <c r="AA10" s="55"/>
      <c r="AB10" s="55"/>
      <c r="AC10" s="55"/>
      <c r="AD10" s="55"/>
      <c r="AE10" s="55"/>
      <c r="AF10" s="55"/>
      <c r="AG10" s="123">
        <f>'Plan Moyen Terme (PMT)'!D5-BAU_Liquidité_Dynamique!AG8</f>
        <v>6047.370304</v>
      </c>
      <c r="AH10" s="124">
        <f>IF(AND(AG1&lt;AH$1, AH$1&lt;=$F8),$AG10*($F8-AH$1)/($F8-$AG$1),0)</f>
        <v>5984.3768633333339</v>
      </c>
      <c r="AI10" s="124">
        <f t="shared" ref="AI10:CT10" si="7">IF(AND(AH1&lt;AI$1, AI$1&lt;=$F8),$AG10*($F8-AI$1)/($F8-$AG$1),0)</f>
        <v>5921.3834226666668</v>
      </c>
      <c r="AJ10" s="124">
        <f t="shared" si="7"/>
        <v>5858.3899820000006</v>
      </c>
      <c r="AK10" s="124">
        <f t="shared" si="7"/>
        <v>5795.3965413333326</v>
      </c>
      <c r="AL10" s="124">
        <f t="shared" si="7"/>
        <v>5732.4031006666664</v>
      </c>
      <c r="AM10" s="124">
        <f t="shared" si="7"/>
        <v>5669.4096600000003</v>
      </c>
      <c r="AN10" s="124">
        <f t="shared" si="7"/>
        <v>5606.4162193333332</v>
      </c>
      <c r="AO10" s="124">
        <f t="shared" si="7"/>
        <v>5543.422778666667</v>
      </c>
      <c r="AP10" s="124">
        <f t="shared" si="7"/>
        <v>5480.4293380000008</v>
      </c>
      <c r="AQ10" s="124">
        <f t="shared" si="7"/>
        <v>5417.4358973333337</v>
      </c>
      <c r="AR10" s="124">
        <f t="shared" si="7"/>
        <v>5354.4424566666667</v>
      </c>
      <c r="AS10" s="124">
        <f t="shared" si="7"/>
        <v>5291.4490159999996</v>
      </c>
      <c r="AT10" s="124">
        <f t="shared" si="7"/>
        <v>5228.4555753333334</v>
      </c>
      <c r="AU10" s="124">
        <f t="shared" si="7"/>
        <v>5165.4621346666672</v>
      </c>
      <c r="AV10" s="124">
        <f t="shared" si="7"/>
        <v>5102.4686940000001</v>
      </c>
      <c r="AW10" s="124">
        <f t="shared" si="7"/>
        <v>5039.4752533333331</v>
      </c>
      <c r="AX10" s="124">
        <f t="shared" si="7"/>
        <v>4976.4818126666669</v>
      </c>
      <c r="AY10" s="124">
        <f t="shared" si="7"/>
        <v>4913.4883719999998</v>
      </c>
      <c r="AZ10" s="124">
        <f t="shared" si="7"/>
        <v>4850.4949313333336</v>
      </c>
      <c r="BA10" s="124">
        <f t="shared" si="7"/>
        <v>4787.5014906666665</v>
      </c>
      <c r="BB10" s="124">
        <f t="shared" si="7"/>
        <v>4724.5080499999995</v>
      </c>
      <c r="BC10" s="124">
        <f t="shared" si="7"/>
        <v>4661.5146093333333</v>
      </c>
      <c r="BD10" s="124">
        <f t="shared" si="7"/>
        <v>4598.5211686666671</v>
      </c>
      <c r="BE10" s="124">
        <f t="shared" si="7"/>
        <v>4535.527728</v>
      </c>
      <c r="BF10" s="124">
        <f t="shared" si="7"/>
        <v>4472.5342873333329</v>
      </c>
      <c r="BG10" s="124">
        <f t="shared" si="7"/>
        <v>4409.5408466666668</v>
      </c>
      <c r="BH10" s="124">
        <f t="shared" si="7"/>
        <v>4346.5474060000006</v>
      </c>
      <c r="BI10" s="124">
        <f t="shared" si="7"/>
        <v>4283.5539653333335</v>
      </c>
      <c r="BJ10" s="124">
        <f t="shared" si="7"/>
        <v>4220.5605246666664</v>
      </c>
      <c r="BK10" s="124">
        <f t="shared" si="7"/>
        <v>4157.5670840000002</v>
      </c>
      <c r="BL10" s="124">
        <f t="shared" si="7"/>
        <v>4094.5736433333332</v>
      </c>
      <c r="BM10" s="124">
        <f t="shared" si="7"/>
        <v>4031.5802026666665</v>
      </c>
      <c r="BN10" s="124">
        <f t="shared" si="7"/>
        <v>3968.5867620000004</v>
      </c>
      <c r="BO10" s="124">
        <f t="shared" si="7"/>
        <v>3905.5933213333333</v>
      </c>
      <c r="BP10" s="124">
        <f t="shared" si="7"/>
        <v>3842.5998806666666</v>
      </c>
      <c r="BQ10" s="124">
        <f t="shared" si="7"/>
        <v>3779.60644</v>
      </c>
      <c r="BR10" s="124">
        <f t="shared" si="7"/>
        <v>3716.6129993333329</v>
      </c>
      <c r="BS10" s="124">
        <f t="shared" si="7"/>
        <v>3653.6195586666668</v>
      </c>
      <c r="BT10" s="124">
        <f t="shared" si="7"/>
        <v>3590.6261180000001</v>
      </c>
      <c r="BU10" s="124">
        <f t="shared" si="7"/>
        <v>3527.6326773333335</v>
      </c>
      <c r="BV10" s="124">
        <f t="shared" si="7"/>
        <v>3464.6392366666664</v>
      </c>
      <c r="BW10" s="124">
        <f t="shared" si="7"/>
        <v>3401.6457960000002</v>
      </c>
      <c r="BX10" s="124">
        <f t="shared" si="7"/>
        <v>3338.6523553333336</v>
      </c>
      <c r="BY10" s="124">
        <f t="shared" si="7"/>
        <v>3275.6589146666665</v>
      </c>
      <c r="BZ10" s="124">
        <f t="shared" si="7"/>
        <v>3212.6654739999999</v>
      </c>
      <c r="CA10" s="124">
        <f t="shared" si="7"/>
        <v>3149.6720333333337</v>
      </c>
      <c r="CB10" s="124">
        <f t="shared" si="7"/>
        <v>3086.6785926666666</v>
      </c>
      <c r="CC10" s="124">
        <f t="shared" si="7"/>
        <v>3023.685152</v>
      </c>
      <c r="CD10" s="124">
        <f t="shared" si="7"/>
        <v>2960.6917113333334</v>
      </c>
      <c r="CE10" s="124">
        <f t="shared" si="7"/>
        <v>2897.6982706666663</v>
      </c>
      <c r="CF10" s="124">
        <f t="shared" si="7"/>
        <v>2834.7048300000001</v>
      </c>
      <c r="CG10" s="124">
        <f t="shared" si="7"/>
        <v>2771.7113893333335</v>
      </c>
      <c r="CH10" s="124">
        <f t="shared" si="7"/>
        <v>2708.7179486666669</v>
      </c>
      <c r="CI10" s="124">
        <f t="shared" si="7"/>
        <v>2645.7245079999998</v>
      </c>
      <c r="CJ10" s="124">
        <f t="shared" si="7"/>
        <v>2582.7310673333336</v>
      </c>
      <c r="CK10" s="124">
        <f t="shared" si="7"/>
        <v>2519.7376266666665</v>
      </c>
      <c r="CL10" s="124">
        <f t="shared" si="7"/>
        <v>2456.7441859999999</v>
      </c>
      <c r="CM10" s="124">
        <f t="shared" si="7"/>
        <v>2393.7507453333333</v>
      </c>
      <c r="CN10" s="124">
        <f t="shared" si="7"/>
        <v>2330.7573046666666</v>
      </c>
      <c r="CO10" s="124">
        <f t="shared" si="7"/>
        <v>2267.763864</v>
      </c>
      <c r="CP10" s="124">
        <f t="shared" si="7"/>
        <v>2204.7704233333334</v>
      </c>
      <c r="CQ10" s="124">
        <f t="shared" si="7"/>
        <v>2141.7769826666668</v>
      </c>
      <c r="CR10" s="124">
        <f t="shared" si="7"/>
        <v>2078.7835420000001</v>
      </c>
      <c r="CS10" s="124">
        <f t="shared" si="7"/>
        <v>2015.7901013333333</v>
      </c>
      <c r="CT10" s="124">
        <f t="shared" si="7"/>
        <v>1952.7966606666666</v>
      </c>
      <c r="CU10" s="124">
        <f t="shared" ref="CU10:DY10" si="8">IF(AND(CT1&lt;CU$1, CU$1&lt;=$F8),$AG10*($F8-CU$1)/($F8-$AG$1),0)</f>
        <v>1889.80322</v>
      </c>
      <c r="CV10" s="124">
        <f t="shared" si="8"/>
        <v>1826.8097793333334</v>
      </c>
      <c r="CW10" s="124">
        <f t="shared" si="8"/>
        <v>1763.8163386666668</v>
      </c>
      <c r="CX10" s="124">
        <f t="shared" si="8"/>
        <v>1700.8228980000001</v>
      </c>
      <c r="CY10" s="124">
        <f t="shared" si="8"/>
        <v>1637.8294573333333</v>
      </c>
      <c r="CZ10" s="124">
        <f t="shared" si="8"/>
        <v>1574.8360166666669</v>
      </c>
      <c r="DA10" s="124">
        <f t="shared" si="8"/>
        <v>1511.842576</v>
      </c>
      <c r="DB10" s="124">
        <f t="shared" si="8"/>
        <v>1448.8491353333332</v>
      </c>
      <c r="DC10" s="124">
        <f t="shared" si="8"/>
        <v>1385.8556946666667</v>
      </c>
      <c r="DD10" s="124">
        <f t="shared" si="8"/>
        <v>1322.8622539999999</v>
      </c>
      <c r="DE10" s="124">
        <f t="shared" si="8"/>
        <v>1259.8688133333333</v>
      </c>
      <c r="DF10" s="124">
        <f t="shared" si="8"/>
        <v>1196.8753726666666</v>
      </c>
      <c r="DG10" s="124">
        <f t="shared" si="8"/>
        <v>1133.881932</v>
      </c>
      <c r="DH10" s="124">
        <f t="shared" si="8"/>
        <v>1070.8884913333334</v>
      </c>
      <c r="DI10" s="124">
        <f t="shared" si="8"/>
        <v>1007.8950506666666</v>
      </c>
      <c r="DJ10" s="124">
        <f t="shared" si="8"/>
        <v>944.90161000000001</v>
      </c>
      <c r="DK10" s="124">
        <f t="shared" si="8"/>
        <v>881.90816933333338</v>
      </c>
      <c r="DL10" s="124">
        <f t="shared" si="8"/>
        <v>818.91472866666663</v>
      </c>
      <c r="DM10" s="124">
        <f t="shared" si="8"/>
        <v>755.921288</v>
      </c>
      <c r="DN10" s="124">
        <f t="shared" si="8"/>
        <v>692.92784733333337</v>
      </c>
      <c r="DO10" s="124">
        <f t="shared" si="8"/>
        <v>629.93440666666663</v>
      </c>
      <c r="DP10" s="124">
        <f t="shared" si="8"/>
        <v>566.940966</v>
      </c>
      <c r="DQ10" s="124">
        <f t="shared" si="8"/>
        <v>503.94752533333332</v>
      </c>
      <c r="DR10" s="124">
        <f t="shared" si="8"/>
        <v>440.95408466666669</v>
      </c>
      <c r="DS10" s="124">
        <f t="shared" si="8"/>
        <v>377.960644</v>
      </c>
      <c r="DT10" s="124">
        <f t="shared" si="8"/>
        <v>314.96720333333332</v>
      </c>
      <c r="DU10" s="124">
        <f t="shared" si="8"/>
        <v>251.97376266666666</v>
      </c>
      <c r="DV10" s="124">
        <f t="shared" si="8"/>
        <v>188.980322</v>
      </c>
      <c r="DW10" s="124">
        <f t="shared" si="8"/>
        <v>125.98688133333333</v>
      </c>
      <c r="DX10" s="124">
        <f t="shared" si="8"/>
        <v>62.993440666666665</v>
      </c>
      <c r="DY10" s="124">
        <f t="shared" si="8"/>
        <v>0</v>
      </c>
    </row>
    <row r="11" spans="1:129" x14ac:dyDescent="0.45">
      <c r="A11" s="3"/>
      <c r="B11" s="2"/>
      <c r="C11" s="125" t="s">
        <v>267</v>
      </c>
      <c r="D11" s="17"/>
      <c r="E11" s="2"/>
      <c r="F11" s="2"/>
      <c r="G11" s="2"/>
      <c r="H11" s="2"/>
      <c r="I11" s="14"/>
      <c r="J11" s="55"/>
      <c r="K11" s="55"/>
      <c r="L11" s="55"/>
      <c r="M11" s="55"/>
      <c r="N11" s="55"/>
      <c r="O11" s="55"/>
      <c r="P11" s="55"/>
      <c r="Q11" s="55"/>
      <c r="R11" s="55"/>
      <c r="S11" s="55"/>
      <c r="T11" s="55"/>
      <c r="U11" s="96"/>
      <c r="V11" s="55"/>
      <c r="W11" s="55"/>
      <c r="X11" s="55"/>
      <c r="Y11" s="55"/>
      <c r="Z11" s="55"/>
      <c r="AA11" s="55"/>
      <c r="AB11" s="55"/>
      <c r="AC11" s="55"/>
      <c r="AD11" s="55"/>
      <c r="AE11" s="55"/>
      <c r="AF11" s="55"/>
      <c r="AG11" s="102"/>
      <c r="AH11" s="91"/>
      <c r="AI11" s="91"/>
      <c r="AJ11" s="91"/>
      <c r="AK11" s="55"/>
      <c r="AL11" s="55"/>
      <c r="AM11" s="55"/>
      <c r="AN11" s="55"/>
      <c r="AO11" s="55"/>
      <c r="AP11" s="55"/>
      <c r="AQ11" s="55"/>
      <c r="AR11" s="55"/>
      <c r="AS11" s="108">
        <f>'Plan Moyen Terme (PMT)'!E5-BAU_Liquidité_Dynamique!AS8</f>
        <v>4440.8240160000005</v>
      </c>
      <c r="AT11" s="126">
        <f>IF(AND(AS1&lt;AT$1, AT$1&lt;=$F8),$AS11*($F8-AT$1)/($F8-$AS$1),0)</f>
        <v>4387.9570634285719</v>
      </c>
      <c r="AU11" s="126">
        <f t="shared" ref="AU11:DF11" si="9">IF(AND(AT1&lt;AU$1, AU$1&lt;=$F8),$AS11*($F8-AU$1)/($F8-$AS$1),0)</f>
        <v>4335.0901108571434</v>
      </c>
      <c r="AV11" s="126">
        <f t="shared" si="9"/>
        <v>4282.2231582857148</v>
      </c>
      <c r="AW11" s="126">
        <f t="shared" si="9"/>
        <v>4229.3562057142863</v>
      </c>
      <c r="AX11" s="126">
        <f t="shared" si="9"/>
        <v>4176.4892531428577</v>
      </c>
      <c r="AY11" s="126">
        <f t="shared" si="9"/>
        <v>4123.6223005714292</v>
      </c>
      <c r="AZ11" s="126">
        <f t="shared" si="9"/>
        <v>4070.7553480000006</v>
      </c>
      <c r="BA11" s="126">
        <f t="shared" si="9"/>
        <v>4017.8883954285716</v>
      </c>
      <c r="BB11" s="126">
        <f t="shared" si="9"/>
        <v>3965.0214428571435</v>
      </c>
      <c r="BC11" s="126">
        <f t="shared" si="9"/>
        <v>3912.1544902857145</v>
      </c>
      <c r="BD11" s="126">
        <f t="shared" si="9"/>
        <v>3859.2875377142864</v>
      </c>
      <c r="BE11" s="126">
        <f t="shared" si="9"/>
        <v>3806.4205851428574</v>
      </c>
      <c r="BF11" s="126">
        <f t="shared" si="9"/>
        <v>3753.5536325714293</v>
      </c>
      <c r="BG11" s="126">
        <f t="shared" si="9"/>
        <v>3700.6866800000003</v>
      </c>
      <c r="BH11" s="126">
        <f t="shared" si="9"/>
        <v>3647.8197274285722</v>
      </c>
      <c r="BI11" s="126">
        <f t="shared" si="9"/>
        <v>3594.9527748571431</v>
      </c>
      <c r="BJ11" s="126">
        <f t="shared" si="9"/>
        <v>3542.085822285715</v>
      </c>
      <c r="BK11" s="126">
        <f t="shared" si="9"/>
        <v>3489.218869714286</v>
      </c>
      <c r="BL11" s="126">
        <f t="shared" si="9"/>
        <v>3436.3519171428579</v>
      </c>
      <c r="BM11" s="126">
        <f t="shared" si="9"/>
        <v>3383.4849645714289</v>
      </c>
      <c r="BN11" s="126">
        <f t="shared" si="9"/>
        <v>3330.6180119999999</v>
      </c>
      <c r="BO11" s="126">
        <f t="shared" si="9"/>
        <v>3277.7510594285718</v>
      </c>
      <c r="BP11" s="126">
        <f t="shared" si="9"/>
        <v>3224.8841068571428</v>
      </c>
      <c r="BQ11" s="126">
        <f t="shared" si="9"/>
        <v>3172.0171542857147</v>
      </c>
      <c r="BR11" s="126">
        <f t="shared" si="9"/>
        <v>3119.1502017142861</v>
      </c>
      <c r="BS11" s="126">
        <f t="shared" si="9"/>
        <v>3066.2832491428576</v>
      </c>
      <c r="BT11" s="126">
        <f t="shared" si="9"/>
        <v>3013.416296571429</v>
      </c>
      <c r="BU11" s="126">
        <f t="shared" si="9"/>
        <v>2960.5493440000005</v>
      </c>
      <c r="BV11" s="126">
        <f t="shared" si="9"/>
        <v>2907.6823914285715</v>
      </c>
      <c r="BW11" s="126">
        <f t="shared" si="9"/>
        <v>2854.8154388571429</v>
      </c>
      <c r="BX11" s="126">
        <f t="shared" si="9"/>
        <v>2801.9484862857144</v>
      </c>
      <c r="BY11" s="126">
        <f t="shared" si="9"/>
        <v>2749.0815337142858</v>
      </c>
      <c r="BZ11" s="126">
        <f t="shared" si="9"/>
        <v>2696.2145811428572</v>
      </c>
      <c r="CA11" s="126">
        <f t="shared" si="9"/>
        <v>2643.3476285714287</v>
      </c>
      <c r="CB11" s="126">
        <f t="shared" si="9"/>
        <v>2590.4806760000001</v>
      </c>
      <c r="CC11" s="126">
        <f t="shared" si="9"/>
        <v>2537.6137234285716</v>
      </c>
      <c r="CD11" s="126">
        <f t="shared" si="9"/>
        <v>2484.746770857143</v>
      </c>
      <c r="CE11" s="126">
        <f t="shared" si="9"/>
        <v>2431.8798182857145</v>
      </c>
      <c r="CF11" s="126">
        <f t="shared" si="9"/>
        <v>2379.0128657142859</v>
      </c>
      <c r="CG11" s="126">
        <f t="shared" si="9"/>
        <v>2326.1459131428574</v>
      </c>
      <c r="CH11" s="126">
        <f t="shared" si="9"/>
        <v>2273.2789605714288</v>
      </c>
      <c r="CI11" s="126">
        <f t="shared" si="9"/>
        <v>2220.4120080000002</v>
      </c>
      <c r="CJ11" s="126">
        <f t="shared" si="9"/>
        <v>2167.5450554285717</v>
      </c>
      <c r="CK11" s="126">
        <f t="shared" si="9"/>
        <v>2114.6781028571431</v>
      </c>
      <c r="CL11" s="126">
        <f t="shared" si="9"/>
        <v>2061.8111502857146</v>
      </c>
      <c r="CM11" s="126">
        <f t="shared" si="9"/>
        <v>2008.9441977142858</v>
      </c>
      <c r="CN11" s="126">
        <f t="shared" si="9"/>
        <v>1956.0772451428572</v>
      </c>
      <c r="CO11" s="126">
        <f t="shared" si="9"/>
        <v>1903.2102925714287</v>
      </c>
      <c r="CP11" s="126">
        <f t="shared" si="9"/>
        <v>1850.3433400000001</v>
      </c>
      <c r="CQ11" s="126">
        <f t="shared" si="9"/>
        <v>1797.4763874285716</v>
      </c>
      <c r="CR11" s="126">
        <f t="shared" si="9"/>
        <v>1744.609434857143</v>
      </c>
      <c r="CS11" s="126">
        <f t="shared" si="9"/>
        <v>1691.7424822857145</v>
      </c>
      <c r="CT11" s="126">
        <f t="shared" si="9"/>
        <v>1638.8755297142859</v>
      </c>
      <c r="CU11" s="126">
        <f t="shared" si="9"/>
        <v>1586.0085771428573</v>
      </c>
      <c r="CV11" s="126">
        <f t="shared" si="9"/>
        <v>1533.1416245714288</v>
      </c>
      <c r="CW11" s="126">
        <f t="shared" si="9"/>
        <v>1480.2746720000002</v>
      </c>
      <c r="CX11" s="126">
        <f t="shared" si="9"/>
        <v>1427.4077194285715</v>
      </c>
      <c r="CY11" s="126">
        <f t="shared" si="9"/>
        <v>1374.5407668571429</v>
      </c>
      <c r="CZ11" s="126">
        <f t="shared" si="9"/>
        <v>1321.6738142857143</v>
      </c>
      <c r="DA11" s="126">
        <f t="shared" si="9"/>
        <v>1268.8068617142858</v>
      </c>
      <c r="DB11" s="126">
        <f t="shared" si="9"/>
        <v>1215.9399091428572</v>
      </c>
      <c r="DC11" s="126">
        <f t="shared" si="9"/>
        <v>1163.0729565714287</v>
      </c>
      <c r="DD11" s="126">
        <f t="shared" si="9"/>
        <v>1110.2060040000001</v>
      </c>
      <c r="DE11" s="126">
        <f t="shared" si="9"/>
        <v>1057.3390514285716</v>
      </c>
      <c r="DF11" s="126">
        <f t="shared" si="9"/>
        <v>1004.4720988571429</v>
      </c>
      <c r="DG11" s="126">
        <f t="shared" ref="DG11:DY11" si="10">IF(AND(DF1&lt;DG$1, DG$1&lt;=$F8),$AS11*($F8-DG$1)/($F8-$AS$1),0)</f>
        <v>951.60514628571434</v>
      </c>
      <c r="DH11" s="126">
        <f t="shared" si="10"/>
        <v>898.73819371428579</v>
      </c>
      <c r="DI11" s="126">
        <f t="shared" si="10"/>
        <v>845.87124114285723</v>
      </c>
      <c r="DJ11" s="126">
        <f t="shared" si="10"/>
        <v>793.00428857142867</v>
      </c>
      <c r="DK11" s="126">
        <f t="shared" si="10"/>
        <v>740.13733600000012</v>
      </c>
      <c r="DL11" s="126">
        <f t="shared" si="10"/>
        <v>687.27038342857145</v>
      </c>
      <c r="DM11" s="126">
        <f t="shared" si="10"/>
        <v>634.40343085714289</v>
      </c>
      <c r="DN11" s="126">
        <f t="shared" si="10"/>
        <v>581.53647828571434</v>
      </c>
      <c r="DO11" s="126">
        <f t="shared" si="10"/>
        <v>528.66952571428578</v>
      </c>
      <c r="DP11" s="126">
        <f t="shared" si="10"/>
        <v>475.80257314285717</v>
      </c>
      <c r="DQ11" s="126">
        <f t="shared" si="10"/>
        <v>422.93562057142861</v>
      </c>
      <c r="DR11" s="126">
        <f t="shared" si="10"/>
        <v>370.06866800000006</v>
      </c>
      <c r="DS11" s="126">
        <f t="shared" si="10"/>
        <v>317.20171542857145</v>
      </c>
      <c r="DT11" s="126">
        <f t="shared" si="10"/>
        <v>264.33476285714289</v>
      </c>
      <c r="DU11" s="126">
        <f t="shared" si="10"/>
        <v>211.46781028571431</v>
      </c>
      <c r="DV11" s="126">
        <f t="shared" si="10"/>
        <v>158.60085771428572</v>
      </c>
      <c r="DW11" s="126">
        <f t="shared" si="10"/>
        <v>105.73390514285715</v>
      </c>
      <c r="DX11" s="126">
        <f t="shared" si="10"/>
        <v>52.866952571428577</v>
      </c>
      <c r="DY11" s="126">
        <f t="shared" si="10"/>
        <v>0</v>
      </c>
    </row>
    <row r="12" spans="1:129" x14ac:dyDescent="0.45">
      <c r="A12" s="3">
        <v>46022</v>
      </c>
      <c r="B12" s="2" t="s">
        <v>0</v>
      </c>
      <c r="C12" s="4" t="s">
        <v>4</v>
      </c>
      <c r="D12" s="16"/>
      <c r="E12" s="54"/>
      <c r="F12" s="54"/>
      <c r="G12" s="54"/>
      <c r="H12" s="54"/>
      <c r="I12" s="13">
        <f>I13+I17</f>
        <v>28006.945</v>
      </c>
      <c r="J12" s="58">
        <f>SUM(J13:J17)</f>
        <v>24825.899333333335</v>
      </c>
      <c r="K12" s="58">
        <f t="shared" ref="K12:BV12" si="11">SUM(K13:K17)</f>
        <v>21644.85366666667</v>
      </c>
      <c r="L12" s="58">
        <f t="shared" si="11"/>
        <v>18463.808000000001</v>
      </c>
      <c r="M12" s="58">
        <f t="shared" si="11"/>
        <v>15282.762333333334</v>
      </c>
      <c r="N12" s="58">
        <f t="shared" si="11"/>
        <v>12101.716666666667</v>
      </c>
      <c r="O12" s="58">
        <f t="shared" si="11"/>
        <v>8920.6710000000003</v>
      </c>
      <c r="P12" s="58">
        <f t="shared" si="11"/>
        <v>8920.6710000000003</v>
      </c>
      <c r="Q12" s="58">
        <f t="shared" si="11"/>
        <v>8920.6710000000003</v>
      </c>
      <c r="R12" s="58">
        <f t="shared" si="11"/>
        <v>8920.6710000000003</v>
      </c>
      <c r="S12" s="58">
        <f t="shared" si="11"/>
        <v>8920.6710000000003</v>
      </c>
      <c r="T12" s="58">
        <f t="shared" si="11"/>
        <v>8920.6710000000003</v>
      </c>
      <c r="U12" s="97">
        <f t="shared" si="11"/>
        <v>0</v>
      </c>
      <c r="V12" s="58">
        <f t="shared" si="11"/>
        <v>0</v>
      </c>
      <c r="W12" s="58">
        <f t="shared" si="11"/>
        <v>0</v>
      </c>
      <c r="X12" s="58">
        <f t="shared" si="11"/>
        <v>0</v>
      </c>
      <c r="Y12" s="58">
        <f t="shared" si="11"/>
        <v>0</v>
      </c>
      <c r="Z12" s="58">
        <f t="shared" si="11"/>
        <v>0</v>
      </c>
      <c r="AA12" s="58">
        <f t="shared" si="11"/>
        <v>0</v>
      </c>
      <c r="AB12" s="58">
        <f t="shared" si="11"/>
        <v>0</v>
      </c>
      <c r="AC12" s="58">
        <f t="shared" si="11"/>
        <v>0</v>
      </c>
      <c r="AD12" s="58">
        <f t="shared" si="11"/>
        <v>0</v>
      </c>
      <c r="AE12" s="58">
        <f t="shared" si="11"/>
        <v>0</v>
      </c>
      <c r="AF12" s="58">
        <f t="shared" si="11"/>
        <v>0</v>
      </c>
      <c r="AG12" s="103">
        <f t="shared" si="11"/>
        <v>0</v>
      </c>
      <c r="AH12" s="58">
        <f t="shared" si="11"/>
        <v>0</v>
      </c>
      <c r="AI12" s="58">
        <f t="shared" si="11"/>
        <v>0</v>
      </c>
      <c r="AJ12" s="58">
        <f t="shared" si="11"/>
        <v>0</v>
      </c>
      <c r="AK12" s="58">
        <f t="shared" si="11"/>
        <v>0</v>
      </c>
      <c r="AL12" s="58">
        <f t="shared" si="11"/>
        <v>0</v>
      </c>
      <c r="AM12" s="58">
        <f t="shared" si="11"/>
        <v>0</v>
      </c>
      <c r="AN12" s="58">
        <f t="shared" si="11"/>
        <v>0</v>
      </c>
      <c r="AO12" s="58">
        <f t="shared" si="11"/>
        <v>0</v>
      </c>
      <c r="AP12" s="58">
        <f t="shared" si="11"/>
        <v>0</v>
      </c>
      <c r="AQ12" s="58">
        <f t="shared" si="11"/>
        <v>0</v>
      </c>
      <c r="AR12" s="58">
        <f t="shared" si="11"/>
        <v>0</v>
      </c>
      <c r="AS12" s="109">
        <f t="shared" si="11"/>
        <v>0</v>
      </c>
      <c r="AT12" s="58">
        <f t="shared" si="11"/>
        <v>0</v>
      </c>
      <c r="AU12" s="58">
        <f t="shared" si="11"/>
        <v>0</v>
      </c>
      <c r="AV12" s="58">
        <f t="shared" si="11"/>
        <v>0</v>
      </c>
      <c r="AW12" s="58">
        <f t="shared" si="11"/>
        <v>0</v>
      </c>
      <c r="AX12" s="58">
        <f t="shared" si="11"/>
        <v>0</v>
      </c>
      <c r="AY12" s="58">
        <f t="shared" si="11"/>
        <v>0</v>
      </c>
      <c r="AZ12" s="58">
        <f t="shared" si="11"/>
        <v>0</v>
      </c>
      <c r="BA12" s="58">
        <f t="shared" si="11"/>
        <v>0</v>
      </c>
      <c r="BB12" s="58">
        <f t="shared" si="11"/>
        <v>0</v>
      </c>
      <c r="BC12" s="58">
        <f t="shared" si="11"/>
        <v>0</v>
      </c>
      <c r="BD12" s="58">
        <f t="shared" si="11"/>
        <v>0</v>
      </c>
      <c r="BE12" s="58">
        <f t="shared" si="11"/>
        <v>0</v>
      </c>
      <c r="BF12" s="58">
        <f t="shared" si="11"/>
        <v>0</v>
      </c>
      <c r="BG12" s="58">
        <f t="shared" si="11"/>
        <v>0</v>
      </c>
      <c r="BH12" s="58">
        <f t="shared" si="11"/>
        <v>0</v>
      </c>
      <c r="BI12" s="58">
        <f t="shared" si="11"/>
        <v>0</v>
      </c>
      <c r="BJ12" s="58">
        <f t="shared" si="11"/>
        <v>0</v>
      </c>
      <c r="BK12" s="58">
        <f t="shared" si="11"/>
        <v>0</v>
      </c>
      <c r="BL12" s="58">
        <f t="shared" si="11"/>
        <v>0</v>
      </c>
      <c r="BM12" s="58">
        <f t="shared" si="11"/>
        <v>0</v>
      </c>
      <c r="BN12" s="58">
        <f t="shared" si="11"/>
        <v>0</v>
      </c>
      <c r="BO12" s="58">
        <f t="shared" si="11"/>
        <v>0</v>
      </c>
      <c r="BP12" s="58">
        <f t="shared" si="11"/>
        <v>0</v>
      </c>
      <c r="BQ12" s="58">
        <f t="shared" si="11"/>
        <v>0</v>
      </c>
      <c r="BR12" s="58">
        <f t="shared" si="11"/>
        <v>0</v>
      </c>
      <c r="BS12" s="58">
        <f t="shared" si="11"/>
        <v>0</v>
      </c>
      <c r="BT12" s="58">
        <f t="shared" si="11"/>
        <v>0</v>
      </c>
      <c r="BU12" s="58">
        <f t="shared" si="11"/>
        <v>0</v>
      </c>
      <c r="BV12" s="58">
        <f t="shared" si="11"/>
        <v>0</v>
      </c>
      <c r="BW12" s="58">
        <f t="shared" ref="BW12:DY12" si="12">SUM(BW13:BW17)</f>
        <v>0</v>
      </c>
      <c r="BX12" s="58">
        <f t="shared" si="12"/>
        <v>0</v>
      </c>
      <c r="BY12" s="58">
        <f t="shared" si="12"/>
        <v>0</v>
      </c>
      <c r="BZ12" s="58">
        <f t="shared" si="12"/>
        <v>0</v>
      </c>
      <c r="CA12" s="58">
        <f t="shared" si="12"/>
        <v>0</v>
      </c>
      <c r="CB12" s="58">
        <f t="shared" si="12"/>
        <v>0</v>
      </c>
      <c r="CC12" s="58">
        <f t="shared" si="12"/>
        <v>0</v>
      </c>
      <c r="CD12" s="58">
        <f t="shared" si="12"/>
        <v>0</v>
      </c>
      <c r="CE12" s="58">
        <f t="shared" si="12"/>
        <v>0</v>
      </c>
      <c r="CF12" s="58">
        <f t="shared" si="12"/>
        <v>0</v>
      </c>
      <c r="CG12" s="58">
        <f t="shared" si="12"/>
        <v>0</v>
      </c>
      <c r="CH12" s="58">
        <f t="shared" si="12"/>
        <v>0</v>
      </c>
      <c r="CI12" s="58">
        <f t="shared" si="12"/>
        <v>0</v>
      </c>
      <c r="CJ12" s="58">
        <f t="shared" si="12"/>
        <v>0</v>
      </c>
      <c r="CK12" s="58">
        <f t="shared" si="12"/>
        <v>0</v>
      </c>
      <c r="CL12" s="58">
        <f t="shared" si="12"/>
        <v>0</v>
      </c>
      <c r="CM12" s="58">
        <f t="shared" si="12"/>
        <v>0</v>
      </c>
      <c r="CN12" s="58">
        <f t="shared" si="12"/>
        <v>0</v>
      </c>
      <c r="CO12" s="58">
        <f t="shared" si="12"/>
        <v>0</v>
      </c>
      <c r="CP12" s="58">
        <f t="shared" si="12"/>
        <v>0</v>
      </c>
      <c r="CQ12" s="58">
        <f t="shared" si="12"/>
        <v>0</v>
      </c>
      <c r="CR12" s="58">
        <f t="shared" si="12"/>
        <v>0</v>
      </c>
      <c r="CS12" s="58">
        <f t="shared" si="12"/>
        <v>0</v>
      </c>
      <c r="CT12" s="58">
        <f t="shared" si="12"/>
        <v>0</v>
      </c>
      <c r="CU12" s="58">
        <f t="shared" si="12"/>
        <v>0</v>
      </c>
      <c r="CV12" s="58">
        <f t="shared" si="12"/>
        <v>0</v>
      </c>
      <c r="CW12" s="58">
        <f t="shared" si="12"/>
        <v>0</v>
      </c>
      <c r="CX12" s="58">
        <f t="shared" si="12"/>
        <v>0</v>
      </c>
      <c r="CY12" s="58">
        <f t="shared" si="12"/>
        <v>0</v>
      </c>
      <c r="CZ12" s="58">
        <f t="shared" si="12"/>
        <v>0</v>
      </c>
      <c r="DA12" s="58">
        <f t="shared" si="12"/>
        <v>0</v>
      </c>
      <c r="DB12" s="58">
        <f t="shared" si="12"/>
        <v>0</v>
      </c>
      <c r="DC12" s="58">
        <f t="shared" si="12"/>
        <v>0</v>
      </c>
      <c r="DD12" s="58">
        <f t="shared" si="12"/>
        <v>0</v>
      </c>
      <c r="DE12" s="58">
        <f t="shared" si="12"/>
        <v>0</v>
      </c>
      <c r="DF12" s="58">
        <f t="shared" si="12"/>
        <v>0</v>
      </c>
      <c r="DG12" s="58">
        <f t="shared" si="12"/>
        <v>0</v>
      </c>
      <c r="DH12" s="58">
        <f t="shared" si="12"/>
        <v>0</v>
      </c>
      <c r="DI12" s="58">
        <f t="shared" si="12"/>
        <v>0</v>
      </c>
      <c r="DJ12" s="58">
        <f t="shared" si="12"/>
        <v>0</v>
      </c>
      <c r="DK12" s="58">
        <f t="shared" si="12"/>
        <v>0</v>
      </c>
      <c r="DL12" s="58">
        <f t="shared" si="12"/>
        <v>0</v>
      </c>
      <c r="DM12" s="58">
        <f t="shared" si="12"/>
        <v>0</v>
      </c>
      <c r="DN12" s="58">
        <f t="shared" si="12"/>
        <v>0</v>
      </c>
      <c r="DO12" s="58">
        <f t="shared" si="12"/>
        <v>0</v>
      </c>
      <c r="DP12" s="58">
        <f t="shared" si="12"/>
        <v>0</v>
      </c>
      <c r="DQ12" s="58">
        <f t="shared" si="12"/>
        <v>0</v>
      </c>
      <c r="DR12" s="58">
        <f t="shared" si="12"/>
        <v>0</v>
      </c>
      <c r="DS12" s="58">
        <f t="shared" si="12"/>
        <v>0</v>
      </c>
      <c r="DT12" s="58">
        <f t="shared" si="12"/>
        <v>0</v>
      </c>
      <c r="DU12" s="58">
        <f t="shared" si="12"/>
        <v>0</v>
      </c>
      <c r="DV12" s="58">
        <f t="shared" si="12"/>
        <v>0</v>
      </c>
      <c r="DW12" s="58">
        <f t="shared" si="12"/>
        <v>0</v>
      </c>
      <c r="DX12" s="58">
        <f t="shared" si="12"/>
        <v>0</v>
      </c>
      <c r="DY12" s="58">
        <f t="shared" si="12"/>
        <v>0</v>
      </c>
    </row>
    <row r="13" spans="1:129" x14ac:dyDescent="0.45">
      <c r="A13" s="3">
        <v>46022</v>
      </c>
      <c r="B13" s="2" t="s">
        <v>0</v>
      </c>
      <c r="C13" s="6" t="s">
        <v>5</v>
      </c>
      <c r="D13" s="17">
        <v>0</v>
      </c>
      <c r="E13" s="2" t="s">
        <v>43</v>
      </c>
      <c r="F13" s="2">
        <v>6</v>
      </c>
      <c r="G13" s="2" t="s">
        <v>43</v>
      </c>
      <c r="H13" s="2">
        <v>6</v>
      </c>
      <c r="I13" s="14">
        <v>19086.274000000001</v>
      </c>
      <c r="J13" s="55">
        <f>IF(J$1&lt;$F13,$I13*(($F13-J$1)/$F13),0)</f>
        <v>15905.228333333334</v>
      </c>
      <c r="K13" s="55">
        <f>IF(K$1&lt;$F13,$I13*(($F13-K$1)/$F13),0)</f>
        <v>12724.182666666668</v>
      </c>
      <c r="L13" s="55">
        <f t="shared" ref="L13:BW13" si="13">IF(L$1&lt;$F13,$I13*(($F13-L$1)/$F13),0)</f>
        <v>9543.1370000000006</v>
      </c>
      <c r="M13" s="55">
        <f t="shared" si="13"/>
        <v>6362.0913333333338</v>
      </c>
      <c r="N13" s="55">
        <f t="shared" si="13"/>
        <v>3181.0456666666669</v>
      </c>
      <c r="O13" s="55">
        <f t="shared" si="13"/>
        <v>0</v>
      </c>
      <c r="P13" s="55">
        <f t="shared" si="13"/>
        <v>0</v>
      </c>
      <c r="Q13" s="55">
        <f t="shared" si="13"/>
        <v>0</v>
      </c>
      <c r="R13" s="55">
        <f t="shared" si="13"/>
        <v>0</v>
      </c>
      <c r="S13" s="55">
        <f t="shared" si="13"/>
        <v>0</v>
      </c>
      <c r="T13" s="55">
        <f t="shared" si="13"/>
        <v>0</v>
      </c>
      <c r="U13" s="96">
        <f t="shared" si="13"/>
        <v>0</v>
      </c>
      <c r="V13" s="55">
        <f t="shared" si="13"/>
        <v>0</v>
      </c>
      <c r="W13" s="55">
        <f t="shared" si="13"/>
        <v>0</v>
      </c>
      <c r="X13" s="55">
        <f t="shared" si="13"/>
        <v>0</v>
      </c>
      <c r="Y13" s="55">
        <f t="shared" si="13"/>
        <v>0</v>
      </c>
      <c r="Z13" s="55">
        <f t="shared" si="13"/>
        <v>0</v>
      </c>
      <c r="AA13" s="55">
        <f t="shared" si="13"/>
        <v>0</v>
      </c>
      <c r="AB13" s="55">
        <f t="shared" si="13"/>
        <v>0</v>
      </c>
      <c r="AC13" s="55">
        <f t="shared" si="13"/>
        <v>0</v>
      </c>
      <c r="AD13" s="55">
        <f t="shared" si="13"/>
        <v>0</v>
      </c>
      <c r="AE13" s="55">
        <f t="shared" si="13"/>
        <v>0</v>
      </c>
      <c r="AF13" s="55">
        <f t="shared" si="13"/>
        <v>0</v>
      </c>
      <c r="AG13" s="102">
        <f t="shared" si="13"/>
        <v>0</v>
      </c>
      <c r="AH13" s="55">
        <f t="shared" si="13"/>
        <v>0</v>
      </c>
      <c r="AI13" s="55">
        <f t="shared" si="13"/>
        <v>0</v>
      </c>
      <c r="AJ13" s="55">
        <f t="shared" si="13"/>
        <v>0</v>
      </c>
      <c r="AK13" s="55">
        <f t="shared" si="13"/>
        <v>0</v>
      </c>
      <c r="AL13" s="55">
        <f t="shared" si="13"/>
        <v>0</v>
      </c>
      <c r="AM13" s="55">
        <f t="shared" si="13"/>
        <v>0</v>
      </c>
      <c r="AN13" s="55">
        <f t="shared" si="13"/>
        <v>0</v>
      </c>
      <c r="AO13" s="55">
        <f t="shared" si="13"/>
        <v>0</v>
      </c>
      <c r="AP13" s="55">
        <f t="shared" si="13"/>
        <v>0</v>
      </c>
      <c r="AQ13" s="55">
        <f t="shared" si="13"/>
        <v>0</v>
      </c>
      <c r="AR13" s="55">
        <f t="shared" si="13"/>
        <v>0</v>
      </c>
      <c r="AS13" s="108">
        <f t="shared" si="13"/>
        <v>0</v>
      </c>
      <c r="AT13" s="55">
        <f t="shared" si="13"/>
        <v>0</v>
      </c>
      <c r="AU13" s="55">
        <f t="shared" si="13"/>
        <v>0</v>
      </c>
      <c r="AV13" s="55">
        <f t="shared" si="13"/>
        <v>0</v>
      </c>
      <c r="AW13" s="55">
        <f t="shared" si="13"/>
        <v>0</v>
      </c>
      <c r="AX13" s="55">
        <f t="shared" si="13"/>
        <v>0</v>
      </c>
      <c r="AY13" s="55">
        <f t="shared" si="13"/>
        <v>0</v>
      </c>
      <c r="AZ13" s="55">
        <f t="shared" si="13"/>
        <v>0</v>
      </c>
      <c r="BA13" s="55">
        <f t="shared" si="13"/>
        <v>0</v>
      </c>
      <c r="BB13" s="55">
        <f t="shared" si="13"/>
        <v>0</v>
      </c>
      <c r="BC13" s="55">
        <f t="shared" si="13"/>
        <v>0</v>
      </c>
      <c r="BD13" s="55">
        <f t="shared" si="13"/>
        <v>0</v>
      </c>
      <c r="BE13" s="55">
        <f t="shared" si="13"/>
        <v>0</v>
      </c>
      <c r="BF13" s="55">
        <f t="shared" si="13"/>
        <v>0</v>
      </c>
      <c r="BG13" s="55">
        <f t="shared" si="13"/>
        <v>0</v>
      </c>
      <c r="BH13" s="55">
        <f t="shared" si="13"/>
        <v>0</v>
      </c>
      <c r="BI13" s="55">
        <f t="shared" si="13"/>
        <v>0</v>
      </c>
      <c r="BJ13" s="55">
        <f t="shared" si="13"/>
        <v>0</v>
      </c>
      <c r="BK13" s="55">
        <f t="shared" si="13"/>
        <v>0</v>
      </c>
      <c r="BL13" s="55">
        <f t="shared" si="13"/>
        <v>0</v>
      </c>
      <c r="BM13" s="55">
        <f t="shared" si="13"/>
        <v>0</v>
      </c>
      <c r="BN13" s="55">
        <f t="shared" si="13"/>
        <v>0</v>
      </c>
      <c r="BO13" s="55">
        <f t="shared" si="13"/>
        <v>0</v>
      </c>
      <c r="BP13" s="55">
        <f t="shared" si="13"/>
        <v>0</v>
      </c>
      <c r="BQ13" s="55">
        <f t="shared" si="13"/>
        <v>0</v>
      </c>
      <c r="BR13" s="55">
        <f t="shared" si="13"/>
        <v>0</v>
      </c>
      <c r="BS13" s="55">
        <f t="shared" si="13"/>
        <v>0</v>
      </c>
      <c r="BT13" s="55">
        <f t="shared" si="13"/>
        <v>0</v>
      </c>
      <c r="BU13" s="55">
        <f t="shared" si="13"/>
        <v>0</v>
      </c>
      <c r="BV13" s="55">
        <f t="shared" si="13"/>
        <v>0</v>
      </c>
      <c r="BW13" s="55">
        <f t="shared" si="13"/>
        <v>0</v>
      </c>
      <c r="BX13" s="55">
        <f t="shared" ref="BX13:DY13" si="14">IF(BX$1&lt;$F13,$I13*(($F13-BX$1)/$F13),0)</f>
        <v>0</v>
      </c>
      <c r="BY13" s="55">
        <f t="shared" si="14"/>
        <v>0</v>
      </c>
      <c r="BZ13" s="55">
        <f t="shared" si="14"/>
        <v>0</v>
      </c>
      <c r="CA13" s="55">
        <f t="shared" si="14"/>
        <v>0</v>
      </c>
      <c r="CB13" s="55">
        <f t="shared" si="14"/>
        <v>0</v>
      </c>
      <c r="CC13" s="55">
        <f t="shared" si="14"/>
        <v>0</v>
      </c>
      <c r="CD13" s="55">
        <f t="shared" si="14"/>
        <v>0</v>
      </c>
      <c r="CE13" s="55">
        <f t="shared" si="14"/>
        <v>0</v>
      </c>
      <c r="CF13" s="55">
        <f t="shared" si="14"/>
        <v>0</v>
      </c>
      <c r="CG13" s="55">
        <f t="shared" si="14"/>
        <v>0</v>
      </c>
      <c r="CH13" s="55">
        <f t="shared" si="14"/>
        <v>0</v>
      </c>
      <c r="CI13" s="55">
        <f t="shared" si="14"/>
        <v>0</v>
      </c>
      <c r="CJ13" s="55">
        <f t="shared" si="14"/>
        <v>0</v>
      </c>
      <c r="CK13" s="55">
        <f t="shared" si="14"/>
        <v>0</v>
      </c>
      <c r="CL13" s="55">
        <f t="shared" si="14"/>
        <v>0</v>
      </c>
      <c r="CM13" s="55">
        <f t="shared" si="14"/>
        <v>0</v>
      </c>
      <c r="CN13" s="55">
        <f t="shared" si="14"/>
        <v>0</v>
      </c>
      <c r="CO13" s="55">
        <f t="shared" si="14"/>
        <v>0</v>
      </c>
      <c r="CP13" s="55">
        <f t="shared" si="14"/>
        <v>0</v>
      </c>
      <c r="CQ13" s="55">
        <f t="shared" si="14"/>
        <v>0</v>
      </c>
      <c r="CR13" s="55">
        <f t="shared" si="14"/>
        <v>0</v>
      </c>
      <c r="CS13" s="55">
        <f t="shared" si="14"/>
        <v>0</v>
      </c>
      <c r="CT13" s="55">
        <f t="shared" si="14"/>
        <v>0</v>
      </c>
      <c r="CU13" s="55">
        <f t="shared" si="14"/>
        <v>0</v>
      </c>
      <c r="CV13" s="55">
        <f t="shared" si="14"/>
        <v>0</v>
      </c>
      <c r="CW13" s="55">
        <f t="shared" si="14"/>
        <v>0</v>
      </c>
      <c r="CX13" s="55">
        <f t="shared" si="14"/>
        <v>0</v>
      </c>
      <c r="CY13" s="55">
        <f t="shared" si="14"/>
        <v>0</v>
      </c>
      <c r="CZ13" s="55">
        <f t="shared" si="14"/>
        <v>0</v>
      </c>
      <c r="DA13" s="55">
        <f t="shared" si="14"/>
        <v>0</v>
      </c>
      <c r="DB13" s="55">
        <f t="shared" si="14"/>
        <v>0</v>
      </c>
      <c r="DC13" s="55">
        <f t="shared" si="14"/>
        <v>0</v>
      </c>
      <c r="DD13" s="55">
        <f t="shared" si="14"/>
        <v>0</v>
      </c>
      <c r="DE13" s="55">
        <f t="shared" si="14"/>
        <v>0</v>
      </c>
      <c r="DF13" s="55">
        <f t="shared" si="14"/>
        <v>0</v>
      </c>
      <c r="DG13" s="55">
        <f t="shared" si="14"/>
        <v>0</v>
      </c>
      <c r="DH13" s="55">
        <f t="shared" si="14"/>
        <v>0</v>
      </c>
      <c r="DI13" s="55">
        <f t="shared" si="14"/>
        <v>0</v>
      </c>
      <c r="DJ13" s="55">
        <f t="shared" si="14"/>
        <v>0</v>
      </c>
      <c r="DK13" s="55">
        <f t="shared" si="14"/>
        <v>0</v>
      </c>
      <c r="DL13" s="55">
        <f t="shared" si="14"/>
        <v>0</v>
      </c>
      <c r="DM13" s="55">
        <f t="shared" si="14"/>
        <v>0</v>
      </c>
      <c r="DN13" s="55">
        <f t="shared" si="14"/>
        <v>0</v>
      </c>
      <c r="DO13" s="55">
        <f t="shared" si="14"/>
        <v>0</v>
      </c>
      <c r="DP13" s="55">
        <f t="shared" si="14"/>
        <v>0</v>
      </c>
      <c r="DQ13" s="55">
        <f t="shared" si="14"/>
        <v>0</v>
      </c>
      <c r="DR13" s="55">
        <f t="shared" si="14"/>
        <v>0</v>
      </c>
      <c r="DS13" s="55">
        <f t="shared" si="14"/>
        <v>0</v>
      </c>
      <c r="DT13" s="55">
        <f t="shared" si="14"/>
        <v>0</v>
      </c>
      <c r="DU13" s="55">
        <f t="shared" si="14"/>
        <v>0</v>
      </c>
      <c r="DV13" s="55">
        <f t="shared" si="14"/>
        <v>0</v>
      </c>
      <c r="DW13" s="55">
        <f t="shared" si="14"/>
        <v>0</v>
      </c>
      <c r="DX13" s="55">
        <f t="shared" si="14"/>
        <v>0</v>
      </c>
      <c r="DY13" s="55">
        <f t="shared" si="14"/>
        <v>0</v>
      </c>
    </row>
    <row r="14" spans="1:129" x14ac:dyDescent="0.45">
      <c r="A14" s="3"/>
      <c r="B14" s="2"/>
      <c r="C14" s="121" t="s">
        <v>268</v>
      </c>
      <c r="D14" s="17"/>
      <c r="E14" s="2"/>
      <c r="F14" s="2"/>
      <c r="G14" s="2"/>
      <c r="H14" s="2"/>
      <c r="I14" s="14"/>
      <c r="J14" s="55"/>
      <c r="K14" s="55"/>
      <c r="L14" s="55"/>
      <c r="M14" s="55"/>
      <c r="N14" s="55"/>
      <c r="O14" s="55"/>
      <c r="P14" s="55"/>
      <c r="Q14" s="55"/>
      <c r="R14" s="55"/>
      <c r="S14" s="55"/>
      <c r="T14" s="55"/>
      <c r="U14" s="96"/>
      <c r="V14" s="55"/>
      <c r="W14" s="55"/>
      <c r="X14" s="55"/>
      <c r="Y14" s="55"/>
      <c r="Z14" s="55"/>
      <c r="AA14" s="55"/>
      <c r="AB14" s="55"/>
      <c r="AC14" s="55"/>
      <c r="AD14" s="55"/>
      <c r="AE14" s="55"/>
      <c r="AF14" s="55"/>
      <c r="AG14" s="102"/>
      <c r="AH14" s="55"/>
      <c r="AI14" s="55"/>
      <c r="AJ14" s="55"/>
      <c r="AK14" s="55"/>
      <c r="AL14" s="55"/>
      <c r="AM14" s="55"/>
      <c r="AN14" s="55"/>
      <c r="AO14" s="55"/>
      <c r="AP14" s="55"/>
      <c r="AQ14" s="55"/>
      <c r="AR14" s="55"/>
      <c r="AS14" s="108"/>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row>
    <row r="15" spans="1:129" x14ac:dyDescent="0.45">
      <c r="A15" s="3"/>
      <c r="B15" s="2"/>
      <c r="C15" s="122" t="s">
        <v>269</v>
      </c>
      <c r="D15" s="17"/>
      <c r="E15" s="2"/>
      <c r="F15" s="2"/>
      <c r="G15" s="2"/>
      <c r="H15" s="2"/>
      <c r="I15" s="14"/>
      <c r="J15" s="55"/>
      <c r="K15" s="55"/>
      <c r="L15" s="55"/>
      <c r="M15" s="55"/>
      <c r="N15" s="55"/>
      <c r="O15" s="55"/>
      <c r="P15" s="55"/>
      <c r="Q15" s="55"/>
      <c r="R15" s="55"/>
      <c r="S15" s="55"/>
      <c r="T15" s="55"/>
      <c r="U15" s="96"/>
      <c r="V15" s="55"/>
      <c r="W15" s="55"/>
      <c r="X15" s="55"/>
      <c r="Y15" s="55"/>
      <c r="Z15" s="55"/>
      <c r="AA15" s="55"/>
      <c r="AB15" s="55"/>
      <c r="AC15" s="55"/>
      <c r="AD15" s="55"/>
      <c r="AE15" s="55"/>
      <c r="AF15" s="55"/>
      <c r="AG15" s="102"/>
      <c r="AH15" s="55"/>
      <c r="AI15" s="55"/>
      <c r="AJ15" s="55"/>
      <c r="AK15" s="55"/>
      <c r="AL15" s="55"/>
      <c r="AM15" s="55"/>
      <c r="AN15" s="55"/>
      <c r="AO15" s="55"/>
      <c r="AP15" s="55"/>
      <c r="AQ15" s="55"/>
      <c r="AR15" s="55"/>
      <c r="AS15" s="108"/>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row>
    <row r="16" spans="1:129" x14ac:dyDescent="0.45">
      <c r="A16" s="3"/>
      <c r="B16" s="2"/>
      <c r="C16" s="125" t="s">
        <v>270</v>
      </c>
      <c r="D16" s="17"/>
      <c r="E16" s="2"/>
      <c r="F16" s="2"/>
      <c r="G16" s="2"/>
      <c r="H16" s="2"/>
      <c r="I16" s="14"/>
      <c r="J16" s="55"/>
      <c r="K16" s="55"/>
      <c r="L16" s="55"/>
      <c r="M16" s="55"/>
      <c r="N16" s="55"/>
      <c r="O16" s="55"/>
      <c r="P16" s="55"/>
      <c r="Q16" s="55"/>
      <c r="R16" s="55"/>
      <c r="S16" s="55"/>
      <c r="T16" s="55"/>
      <c r="U16" s="96"/>
      <c r="V16" s="55"/>
      <c r="W16" s="55"/>
      <c r="X16" s="55"/>
      <c r="Y16" s="55"/>
      <c r="Z16" s="55"/>
      <c r="AA16" s="55"/>
      <c r="AB16" s="55"/>
      <c r="AC16" s="55"/>
      <c r="AD16" s="55"/>
      <c r="AE16" s="55"/>
      <c r="AF16" s="55"/>
      <c r="AG16" s="102"/>
      <c r="AH16" s="55"/>
      <c r="AI16" s="55"/>
      <c r="AJ16" s="55"/>
      <c r="AK16" s="55"/>
      <c r="AL16" s="55"/>
      <c r="AM16" s="55"/>
      <c r="AN16" s="55"/>
      <c r="AO16" s="55"/>
      <c r="AP16" s="55"/>
      <c r="AQ16" s="55"/>
      <c r="AR16" s="55"/>
      <c r="AS16" s="108"/>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row>
    <row r="17" spans="1:129" x14ac:dyDescent="0.45">
      <c r="A17" s="3">
        <v>46022</v>
      </c>
      <c r="B17" s="2" t="s">
        <v>0</v>
      </c>
      <c r="C17" s="6" t="s">
        <v>6</v>
      </c>
      <c r="D17" s="17">
        <v>2.4897510000000001E-2</v>
      </c>
      <c r="E17" s="2" t="s">
        <v>45</v>
      </c>
      <c r="F17" s="2">
        <v>12</v>
      </c>
      <c r="G17" s="2" t="s">
        <v>45</v>
      </c>
      <c r="H17" s="2">
        <v>12</v>
      </c>
      <c r="I17" s="14">
        <v>8920.6710000000003</v>
      </c>
      <c r="J17" s="55">
        <f>IF(J$1&lt;$F17,$I17,0)</f>
        <v>8920.6710000000003</v>
      </c>
      <c r="K17" s="55">
        <f>IF(K$1&lt;$F17,$I17,0)</f>
        <v>8920.6710000000003</v>
      </c>
      <c r="L17" s="55">
        <f t="shared" ref="L17:BW17" si="15">IF(L$1&lt;$F17,$I17,0)</f>
        <v>8920.6710000000003</v>
      </c>
      <c r="M17" s="55">
        <f t="shared" si="15"/>
        <v>8920.6710000000003</v>
      </c>
      <c r="N17" s="55">
        <f t="shared" si="15"/>
        <v>8920.6710000000003</v>
      </c>
      <c r="O17" s="55">
        <f t="shared" si="15"/>
        <v>8920.6710000000003</v>
      </c>
      <c r="P17" s="55">
        <f t="shared" si="15"/>
        <v>8920.6710000000003</v>
      </c>
      <c r="Q17" s="55">
        <f t="shared" si="15"/>
        <v>8920.6710000000003</v>
      </c>
      <c r="R17" s="55">
        <f t="shared" si="15"/>
        <v>8920.6710000000003</v>
      </c>
      <c r="S17" s="55">
        <f t="shared" si="15"/>
        <v>8920.6710000000003</v>
      </c>
      <c r="T17" s="55">
        <f t="shared" si="15"/>
        <v>8920.6710000000003</v>
      </c>
      <c r="U17" s="96">
        <f t="shared" si="15"/>
        <v>0</v>
      </c>
      <c r="V17" s="55">
        <f t="shared" si="15"/>
        <v>0</v>
      </c>
      <c r="W17" s="55">
        <f t="shared" si="15"/>
        <v>0</v>
      </c>
      <c r="X17" s="55">
        <f t="shared" si="15"/>
        <v>0</v>
      </c>
      <c r="Y17" s="55">
        <f t="shared" si="15"/>
        <v>0</v>
      </c>
      <c r="Z17" s="55">
        <f t="shared" si="15"/>
        <v>0</v>
      </c>
      <c r="AA17" s="55">
        <f t="shared" si="15"/>
        <v>0</v>
      </c>
      <c r="AB17" s="55">
        <f t="shared" si="15"/>
        <v>0</v>
      </c>
      <c r="AC17" s="55">
        <f t="shared" si="15"/>
        <v>0</v>
      </c>
      <c r="AD17" s="55">
        <f t="shared" si="15"/>
        <v>0</v>
      </c>
      <c r="AE17" s="55">
        <f t="shared" si="15"/>
        <v>0</v>
      </c>
      <c r="AF17" s="55">
        <f t="shared" si="15"/>
        <v>0</v>
      </c>
      <c r="AG17" s="102">
        <f t="shared" si="15"/>
        <v>0</v>
      </c>
      <c r="AH17" s="55">
        <f t="shared" si="15"/>
        <v>0</v>
      </c>
      <c r="AI17" s="55">
        <f t="shared" si="15"/>
        <v>0</v>
      </c>
      <c r="AJ17" s="55">
        <f t="shared" si="15"/>
        <v>0</v>
      </c>
      <c r="AK17" s="55">
        <f t="shared" si="15"/>
        <v>0</v>
      </c>
      <c r="AL17" s="55">
        <f t="shared" si="15"/>
        <v>0</v>
      </c>
      <c r="AM17" s="55">
        <f t="shared" si="15"/>
        <v>0</v>
      </c>
      <c r="AN17" s="55">
        <f t="shared" si="15"/>
        <v>0</v>
      </c>
      <c r="AO17" s="55">
        <f t="shared" si="15"/>
        <v>0</v>
      </c>
      <c r="AP17" s="55">
        <f t="shared" si="15"/>
        <v>0</v>
      </c>
      <c r="AQ17" s="55">
        <f t="shared" si="15"/>
        <v>0</v>
      </c>
      <c r="AR17" s="55">
        <f t="shared" si="15"/>
        <v>0</v>
      </c>
      <c r="AS17" s="108">
        <f t="shared" si="15"/>
        <v>0</v>
      </c>
      <c r="AT17" s="55">
        <f t="shared" si="15"/>
        <v>0</v>
      </c>
      <c r="AU17" s="55">
        <f t="shared" si="15"/>
        <v>0</v>
      </c>
      <c r="AV17" s="55">
        <f t="shared" si="15"/>
        <v>0</v>
      </c>
      <c r="AW17" s="55">
        <f t="shared" si="15"/>
        <v>0</v>
      </c>
      <c r="AX17" s="55">
        <f t="shared" si="15"/>
        <v>0</v>
      </c>
      <c r="AY17" s="55">
        <f t="shared" si="15"/>
        <v>0</v>
      </c>
      <c r="AZ17" s="55">
        <f t="shared" si="15"/>
        <v>0</v>
      </c>
      <c r="BA17" s="55">
        <f t="shared" si="15"/>
        <v>0</v>
      </c>
      <c r="BB17" s="55">
        <f t="shared" si="15"/>
        <v>0</v>
      </c>
      <c r="BC17" s="55">
        <f t="shared" si="15"/>
        <v>0</v>
      </c>
      <c r="BD17" s="55">
        <f t="shared" si="15"/>
        <v>0</v>
      </c>
      <c r="BE17" s="55">
        <f t="shared" si="15"/>
        <v>0</v>
      </c>
      <c r="BF17" s="55">
        <f t="shared" si="15"/>
        <v>0</v>
      </c>
      <c r="BG17" s="55">
        <f t="shared" si="15"/>
        <v>0</v>
      </c>
      <c r="BH17" s="55">
        <f t="shared" si="15"/>
        <v>0</v>
      </c>
      <c r="BI17" s="55">
        <f t="shared" si="15"/>
        <v>0</v>
      </c>
      <c r="BJ17" s="55">
        <f t="shared" si="15"/>
        <v>0</v>
      </c>
      <c r="BK17" s="55">
        <f t="shared" si="15"/>
        <v>0</v>
      </c>
      <c r="BL17" s="55">
        <f t="shared" si="15"/>
        <v>0</v>
      </c>
      <c r="BM17" s="55">
        <f t="shared" si="15"/>
        <v>0</v>
      </c>
      <c r="BN17" s="55">
        <f t="shared" si="15"/>
        <v>0</v>
      </c>
      <c r="BO17" s="55">
        <f t="shared" si="15"/>
        <v>0</v>
      </c>
      <c r="BP17" s="55">
        <f t="shared" si="15"/>
        <v>0</v>
      </c>
      <c r="BQ17" s="55">
        <f t="shared" si="15"/>
        <v>0</v>
      </c>
      <c r="BR17" s="55">
        <f t="shared" si="15"/>
        <v>0</v>
      </c>
      <c r="BS17" s="55">
        <f t="shared" si="15"/>
        <v>0</v>
      </c>
      <c r="BT17" s="55">
        <f t="shared" si="15"/>
        <v>0</v>
      </c>
      <c r="BU17" s="55">
        <f t="shared" si="15"/>
        <v>0</v>
      </c>
      <c r="BV17" s="55">
        <f t="shared" si="15"/>
        <v>0</v>
      </c>
      <c r="BW17" s="55">
        <f t="shared" si="15"/>
        <v>0</v>
      </c>
      <c r="BX17" s="55">
        <f t="shared" ref="BX17:DY17" si="16">IF(BX$1&lt;$F17,$I17,0)</f>
        <v>0</v>
      </c>
      <c r="BY17" s="55">
        <f t="shared" si="16"/>
        <v>0</v>
      </c>
      <c r="BZ17" s="55">
        <f t="shared" si="16"/>
        <v>0</v>
      </c>
      <c r="CA17" s="55">
        <f t="shared" si="16"/>
        <v>0</v>
      </c>
      <c r="CB17" s="55">
        <f t="shared" si="16"/>
        <v>0</v>
      </c>
      <c r="CC17" s="55">
        <f t="shared" si="16"/>
        <v>0</v>
      </c>
      <c r="CD17" s="55">
        <f t="shared" si="16"/>
        <v>0</v>
      </c>
      <c r="CE17" s="55">
        <f t="shared" si="16"/>
        <v>0</v>
      </c>
      <c r="CF17" s="55">
        <f t="shared" si="16"/>
        <v>0</v>
      </c>
      <c r="CG17" s="55">
        <f t="shared" si="16"/>
        <v>0</v>
      </c>
      <c r="CH17" s="55">
        <f t="shared" si="16"/>
        <v>0</v>
      </c>
      <c r="CI17" s="55">
        <f t="shared" si="16"/>
        <v>0</v>
      </c>
      <c r="CJ17" s="55">
        <f t="shared" si="16"/>
        <v>0</v>
      </c>
      <c r="CK17" s="55">
        <f t="shared" si="16"/>
        <v>0</v>
      </c>
      <c r="CL17" s="55">
        <f t="shared" si="16"/>
        <v>0</v>
      </c>
      <c r="CM17" s="55">
        <f t="shared" si="16"/>
        <v>0</v>
      </c>
      <c r="CN17" s="55">
        <f t="shared" si="16"/>
        <v>0</v>
      </c>
      <c r="CO17" s="55">
        <f t="shared" si="16"/>
        <v>0</v>
      </c>
      <c r="CP17" s="55">
        <f t="shared" si="16"/>
        <v>0</v>
      </c>
      <c r="CQ17" s="55">
        <f t="shared" si="16"/>
        <v>0</v>
      </c>
      <c r="CR17" s="55">
        <f t="shared" si="16"/>
        <v>0</v>
      </c>
      <c r="CS17" s="55">
        <f t="shared" si="16"/>
        <v>0</v>
      </c>
      <c r="CT17" s="55">
        <f t="shared" si="16"/>
        <v>0</v>
      </c>
      <c r="CU17" s="55">
        <f t="shared" si="16"/>
        <v>0</v>
      </c>
      <c r="CV17" s="55">
        <f t="shared" si="16"/>
        <v>0</v>
      </c>
      <c r="CW17" s="55">
        <f t="shared" si="16"/>
        <v>0</v>
      </c>
      <c r="CX17" s="55">
        <f t="shared" si="16"/>
        <v>0</v>
      </c>
      <c r="CY17" s="55">
        <f t="shared" si="16"/>
        <v>0</v>
      </c>
      <c r="CZ17" s="55">
        <f t="shared" si="16"/>
        <v>0</v>
      </c>
      <c r="DA17" s="55">
        <f t="shared" si="16"/>
        <v>0</v>
      </c>
      <c r="DB17" s="55">
        <f t="shared" si="16"/>
        <v>0</v>
      </c>
      <c r="DC17" s="55">
        <f t="shared" si="16"/>
        <v>0</v>
      </c>
      <c r="DD17" s="55">
        <f t="shared" si="16"/>
        <v>0</v>
      </c>
      <c r="DE17" s="55">
        <f t="shared" si="16"/>
        <v>0</v>
      </c>
      <c r="DF17" s="55">
        <f t="shared" si="16"/>
        <v>0</v>
      </c>
      <c r="DG17" s="55">
        <f t="shared" si="16"/>
        <v>0</v>
      </c>
      <c r="DH17" s="55">
        <f t="shared" si="16"/>
        <v>0</v>
      </c>
      <c r="DI17" s="55">
        <f t="shared" si="16"/>
        <v>0</v>
      </c>
      <c r="DJ17" s="55">
        <f t="shared" si="16"/>
        <v>0</v>
      </c>
      <c r="DK17" s="55">
        <f t="shared" si="16"/>
        <v>0</v>
      </c>
      <c r="DL17" s="55">
        <f t="shared" si="16"/>
        <v>0</v>
      </c>
      <c r="DM17" s="55">
        <f t="shared" si="16"/>
        <v>0</v>
      </c>
      <c r="DN17" s="55">
        <f t="shared" si="16"/>
        <v>0</v>
      </c>
      <c r="DO17" s="55">
        <f t="shared" si="16"/>
        <v>0</v>
      </c>
      <c r="DP17" s="55">
        <f t="shared" si="16"/>
        <v>0</v>
      </c>
      <c r="DQ17" s="55">
        <f t="shared" si="16"/>
        <v>0</v>
      </c>
      <c r="DR17" s="55">
        <f t="shared" si="16"/>
        <v>0</v>
      </c>
      <c r="DS17" s="55">
        <f t="shared" si="16"/>
        <v>0</v>
      </c>
      <c r="DT17" s="55">
        <f t="shared" si="16"/>
        <v>0</v>
      </c>
      <c r="DU17" s="55">
        <f t="shared" si="16"/>
        <v>0</v>
      </c>
      <c r="DV17" s="55">
        <f t="shared" si="16"/>
        <v>0</v>
      </c>
      <c r="DW17" s="55">
        <f t="shared" si="16"/>
        <v>0</v>
      </c>
      <c r="DX17" s="55">
        <f t="shared" si="16"/>
        <v>0</v>
      </c>
      <c r="DY17" s="55">
        <f t="shared" si="16"/>
        <v>0</v>
      </c>
    </row>
    <row r="18" spans="1:129" x14ac:dyDescent="0.45">
      <c r="A18" s="3"/>
      <c r="B18" s="2"/>
      <c r="C18" s="121" t="s">
        <v>268</v>
      </c>
      <c r="D18" s="17"/>
      <c r="E18" s="2"/>
      <c r="F18" s="2"/>
      <c r="G18" s="2"/>
      <c r="H18" s="2"/>
      <c r="I18" s="14"/>
      <c r="J18" s="55"/>
      <c r="K18" s="55"/>
      <c r="L18" s="55"/>
      <c r="M18" s="55"/>
      <c r="N18" s="55"/>
      <c r="O18" s="55"/>
      <c r="P18" s="55"/>
      <c r="Q18" s="55"/>
      <c r="R18" s="55"/>
      <c r="S18" s="55"/>
      <c r="T18" s="55"/>
      <c r="U18" s="96"/>
      <c r="V18" s="55"/>
      <c r="W18" s="55"/>
      <c r="X18" s="55"/>
      <c r="Y18" s="55"/>
      <c r="Z18" s="55"/>
      <c r="AA18" s="55"/>
      <c r="AB18" s="55"/>
      <c r="AC18" s="55"/>
      <c r="AD18" s="55"/>
      <c r="AE18" s="55"/>
      <c r="AF18" s="55"/>
      <c r="AG18" s="102"/>
      <c r="AH18" s="55"/>
      <c r="AI18" s="55"/>
      <c r="AJ18" s="55"/>
      <c r="AK18" s="55"/>
      <c r="AL18" s="55"/>
      <c r="AM18" s="55"/>
      <c r="AN18" s="55"/>
      <c r="AO18" s="55"/>
      <c r="AP18" s="55"/>
      <c r="AQ18" s="55"/>
      <c r="AR18" s="55"/>
      <c r="AS18" s="108"/>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row>
    <row r="19" spans="1:129" x14ac:dyDescent="0.45">
      <c r="A19" s="3"/>
      <c r="B19" s="2"/>
      <c r="C19" s="122" t="s">
        <v>269</v>
      </c>
      <c r="D19" s="17"/>
      <c r="E19" s="2"/>
      <c r="F19" s="2"/>
      <c r="G19" s="2"/>
      <c r="H19" s="2"/>
      <c r="I19" s="14"/>
      <c r="J19" s="55">
        <f>PMT($D22/12,$F22,$I22)</f>
        <v>-6.7325942977056608</v>
      </c>
      <c r="K19" s="55">
        <f>I22*D22/12</f>
        <v>1.4456894285834425</v>
      </c>
      <c r="L19" s="55"/>
      <c r="M19" s="55"/>
      <c r="N19" s="55"/>
      <c r="O19" s="55"/>
      <c r="P19" s="55"/>
      <c r="Q19" s="55"/>
      <c r="R19" s="55"/>
      <c r="S19" s="55"/>
      <c r="T19" s="55"/>
      <c r="U19" s="96"/>
      <c r="V19" s="55"/>
      <c r="W19" s="55"/>
      <c r="X19" s="55"/>
      <c r="Y19" s="55"/>
      <c r="Z19" s="55"/>
      <c r="AA19" s="55"/>
      <c r="AB19" s="55"/>
      <c r="AC19" s="55"/>
      <c r="AD19" s="55"/>
      <c r="AE19" s="55"/>
      <c r="AF19" s="55"/>
      <c r="AG19" s="102"/>
      <c r="AH19" s="55">
        <f>AH17</f>
        <v>0</v>
      </c>
      <c r="AI19" s="55">
        <f>AG23*D22/12</f>
        <v>17.499894418871609</v>
      </c>
      <c r="AJ19" s="55"/>
      <c r="AK19" s="55"/>
      <c r="AL19" s="55"/>
      <c r="AM19" s="55"/>
      <c r="AN19" s="55"/>
      <c r="AO19" s="55"/>
      <c r="AP19" s="55"/>
      <c r="AQ19" s="55"/>
      <c r="AR19" s="55"/>
      <c r="AS19" s="108"/>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c r="CR19" s="55"/>
      <c r="CS19" s="55"/>
      <c r="CT19" s="55"/>
      <c r="CU19" s="55"/>
      <c r="CV19" s="55"/>
      <c r="CW19" s="55"/>
      <c r="CX19" s="55"/>
      <c r="CY19" s="55"/>
      <c r="CZ19" s="55"/>
      <c r="DA19" s="55"/>
      <c r="DB19" s="55"/>
      <c r="DC19" s="55"/>
      <c r="DD19" s="55"/>
      <c r="DE19" s="55"/>
      <c r="DF19" s="55"/>
      <c r="DG19" s="55"/>
      <c r="DH19" s="55"/>
      <c r="DI19" s="55"/>
      <c r="DJ19" s="55"/>
      <c r="DK19" s="55"/>
      <c r="DL19" s="55"/>
      <c r="DM19" s="55"/>
      <c r="DN19" s="55"/>
      <c r="DO19" s="55"/>
      <c r="DP19" s="55"/>
      <c r="DQ19" s="55"/>
      <c r="DR19" s="55"/>
      <c r="DS19" s="55"/>
      <c r="DT19" s="55"/>
      <c r="DU19" s="55"/>
      <c r="DV19" s="55"/>
      <c r="DW19" s="55"/>
      <c r="DX19" s="55"/>
      <c r="DY19" s="55"/>
    </row>
    <row r="20" spans="1:129" x14ac:dyDescent="0.45">
      <c r="A20" s="3"/>
      <c r="B20" s="2"/>
      <c r="C20" s="125" t="s">
        <v>270</v>
      </c>
      <c r="D20" s="17"/>
      <c r="E20" s="2"/>
      <c r="F20" s="2"/>
      <c r="G20" s="2"/>
      <c r="H20" s="2"/>
      <c r="I20" s="14"/>
      <c r="J20" s="55"/>
      <c r="K20" s="55"/>
      <c r="L20" s="55"/>
      <c r="M20" s="55"/>
      <c r="N20" s="55"/>
      <c r="O20" s="55"/>
      <c r="P20" s="55"/>
      <c r="Q20" s="55"/>
      <c r="R20" s="55"/>
      <c r="S20" s="55"/>
      <c r="T20" s="55"/>
      <c r="U20" s="96"/>
      <c r="V20" s="55"/>
      <c r="W20" s="55"/>
      <c r="X20" s="55"/>
      <c r="Y20" s="55"/>
      <c r="Z20" s="55"/>
      <c r="AA20" s="55"/>
      <c r="AB20" s="55"/>
      <c r="AC20" s="55"/>
      <c r="AD20" s="55"/>
      <c r="AE20" s="55"/>
      <c r="AF20" s="55"/>
      <c r="AG20" s="102"/>
      <c r="AH20" s="55"/>
      <c r="AI20" s="55"/>
      <c r="AJ20" s="55"/>
      <c r="AK20" s="55"/>
      <c r="AL20" s="55"/>
      <c r="AM20" s="55"/>
      <c r="AN20" s="55"/>
      <c r="AO20" s="55"/>
      <c r="AP20" s="55"/>
      <c r="AQ20" s="55"/>
      <c r="AR20" s="55"/>
      <c r="AS20" s="108"/>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row>
    <row r="21" spans="1:129" x14ac:dyDescent="0.45">
      <c r="A21" s="3">
        <v>46022</v>
      </c>
      <c r="B21" s="2" t="s">
        <v>0</v>
      </c>
      <c r="C21" s="4" t="s">
        <v>7</v>
      </c>
      <c r="D21" s="16"/>
      <c r="E21" s="54"/>
      <c r="F21" s="54"/>
      <c r="G21" s="54"/>
      <c r="H21" s="54"/>
      <c r="I21" s="13">
        <f>I22+I26+I30</f>
        <v>125650.31899999999</v>
      </c>
      <c r="J21" s="58">
        <f>SUM(J22:J30)</f>
        <v>45066.509154331048</v>
      </c>
      <c r="K21" s="58">
        <f>SUM(K22:K30)</f>
        <v>40146.148774905552</v>
      </c>
      <c r="L21" s="58">
        <f>SUM(L22:L30)</f>
        <v>35212.566417292132</v>
      </c>
      <c r="M21" s="58">
        <f>SUM(M22:M30)</f>
        <v>30265.726541748478</v>
      </c>
      <c r="N21" s="58">
        <f>SUM(N22:N30)</f>
        <v>25305.593512964897</v>
      </c>
      <c r="O21" s="58">
        <f>SUM(O22:O30)</f>
        <v>20332.131599807202</v>
      </c>
      <c r="P21" s="58">
        <f>SUM(P22:P30)</f>
        <v>15345.304975058851</v>
      </c>
      <c r="Q21" s="58">
        <f>SUM(Q22:Q30)</f>
        <v>10345.077715162422</v>
      </c>
      <c r="R21" s="58">
        <f>SUM(R22:R30)</f>
        <v>5331.4137999603972</v>
      </c>
      <c r="S21" s="58">
        <f>SUM(S22:S30)</f>
        <v>304.27711243525766</v>
      </c>
      <c r="T21" s="58">
        <f>SUM(T22:T30)</f>
        <v>298.77286028497184</v>
      </c>
      <c r="U21" s="97">
        <f>SUM(U22:U30)</f>
        <v>5939</v>
      </c>
      <c r="V21" s="58">
        <f>SUM(V22:V30)</f>
        <v>5826.6227656732954</v>
      </c>
      <c r="W21" s="58">
        <f>SUM(W22:W30)</f>
        <v>5713.791873520574</v>
      </c>
      <c r="X21" s="58">
        <f>SUM(X22:X30)</f>
        <v>5600.5054921618039</v>
      </c>
      <c r="Y21" s="58">
        <f>SUM(Y22:Y30)</f>
        <v>5486.7617828238172</v>
      </c>
      <c r="Z21" s="58">
        <f>SUM(Z22:Z30)</f>
        <v>5372.5588993104693</v>
      </c>
      <c r="AA21" s="58">
        <f>SUM(AA22:AA30)</f>
        <v>5257.8949879726706</v>
      </c>
      <c r="AB21" s="58">
        <f>SUM(AB22:AB30)</f>
        <v>5142.7681876782981</v>
      </c>
      <c r="AC21" s="58">
        <f>SUM(AC22:AC30)</f>
        <v>5027.1766297819913</v>
      </c>
      <c r="AD21" s="58">
        <f>SUM(AD22:AD30)</f>
        <v>4911.1184380948171</v>
      </c>
      <c r="AE21" s="58">
        <f>SUM(AE22:AE30)</f>
        <v>4794.5917288538185</v>
      </c>
      <c r="AF21" s="58">
        <f>SUM(AF22:AF30)</f>
        <v>4677.5946106914416</v>
      </c>
      <c r="AG21" s="103">
        <f>SUM(AG22:AG30)</f>
        <v>8304.9626591264259</v>
      </c>
      <c r="AH21" s="58">
        <f>SUM(AH22:AH30)</f>
        <v>8090.1620797401019</v>
      </c>
      <c r="AI21" s="58">
        <f>SUM(AI22:AI30)</f>
        <v>7874.4943677494266</v>
      </c>
      <c r="AJ21" s="58">
        <f>SUM(AJ22:AJ30)</f>
        <v>7657.9560226100557</v>
      </c>
      <c r="AK21" s="58">
        <f>SUM(AK22:AK30)</f>
        <v>7440.5435296462283</v>
      </c>
      <c r="AL21" s="58">
        <f>SUM(AL22:AL30)</f>
        <v>7222.2533599937215</v>
      </c>
      <c r="AM21" s="58">
        <f>SUM(AM22:AM30)</f>
        <v>7003.0819705425729</v>
      </c>
      <c r="AN21" s="58">
        <f>SUM(AN22:AN30)</f>
        <v>6783.0258038795691</v>
      </c>
      <c r="AO21" s="58">
        <f>SUM(AO22:AO30)</f>
        <v>6562.0812882305108</v>
      </c>
      <c r="AP21" s="58">
        <f>SUM(AP22:AP30)</f>
        <v>6340.2448374022297</v>
      </c>
      <c r="AQ21" s="58">
        <f>SUM(AQ22:AQ30)</f>
        <v>6117.5128507243899</v>
      </c>
      <c r="AR21" s="58">
        <f>SUM(AR22:AR30)</f>
        <v>5893.8817129910349</v>
      </c>
      <c r="AS21" s="109">
        <f>SUM(AS22:AS30)</f>
        <v>23551.641544344286</v>
      </c>
      <c r="AT21" s="58">
        <f>SUM(AT22:AT30)</f>
        <v>22615.115798936647</v>
      </c>
      <c r="AU21" s="58">
        <f>SUM(AU22:AU30)</f>
        <v>21674.809374673408</v>
      </c>
      <c r="AV21" s="58">
        <f>SUM(AV22:AV30)</f>
        <v>20730.707009259131</v>
      </c>
      <c r="AW21" s="58">
        <f>SUM(AW22:AW30)</f>
        <v>19782.793378785726</v>
      </c>
      <c r="AX21" s="58">
        <f>SUM(AX22:AX30)</f>
        <v>18831.05309748372</v>
      </c>
      <c r="AY21" s="58">
        <f>SUM(AY22:AY30)</f>
        <v>17875.470717472534</v>
      </c>
      <c r="AZ21" s="58">
        <f>SUM(AZ22:AZ30)</f>
        <v>16916.030728509741</v>
      </c>
      <c r="BA21" s="58">
        <f>SUM(BA22:BA30)</f>
        <v>15952.717557739317</v>
      </c>
      <c r="BB21" s="58">
        <f>SUM(BB22:BB30)</f>
        <v>14985.515569438874</v>
      </c>
      <c r="BC21" s="58">
        <f>SUM(BC22:BC30)</f>
        <v>14014.409064765874</v>
      </c>
      <c r="BD21" s="58">
        <f>SUM(BD22:BD30)</f>
        <v>13039.38228150282</v>
      </c>
      <c r="BE21" s="58">
        <f>SUM(BE22:BE30)</f>
        <v>12060.419393801414</v>
      </c>
      <c r="BF21" s="58">
        <f>SUM(BF22:BF30)</f>
        <v>11077.504511925687</v>
      </c>
      <c r="BG21" s="58">
        <f>SUM(BG22:BG30)</f>
        <v>10090.621681994086</v>
      </c>
      <c r="BH21" s="58">
        <f>SUM(BH22:BH30)</f>
        <v>9099.7548857205293</v>
      </c>
      <c r="BI21" s="58">
        <f>SUM(BI22:BI30)</f>
        <v>8104.888040154402</v>
      </c>
      <c r="BJ21" s="58">
        <f>SUM(BJ22:BJ30)</f>
        <v>7106.0049974195208</v>
      </c>
      <c r="BK21" s="58">
        <f>SUM(BK22:BK30)</f>
        <v>6103.0895444520247</v>
      </c>
      <c r="BL21" s="58">
        <f>SUM(BL22:BL30)</f>
        <v>5096.1254027372252</v>
      </c>
      <c r="BM21" s="58">
        <f>SUM(BM22:BM30)</f>
        <v>4085.0962280453832</v>
      </c>
      <c r="BN21" s="58">
        <f>SUM(BN22:BN30)</f>
        <v>3069.9856101664222</v>
      </c>
      <c r="BO21" s="58">
        <f>SUM(BO22:BO30)</f>
        <v>2050.7770726435729</v>
      </c>
      <c r="BP21" s="58">
        <f>SUM(BP22:BP30)</f>
        <v>1027.4540725059387</v>
      </c>
      <c r="BQ21" s="58">
        <f>SUM(BQ22:BQ30)</f>
        <v>-1.3841372492606752E-11</v>
      </c>
      <c r="BR21" s="58">
        <f>SUM(BR22:BR30)</f>
        <v>0</v>
      </c>
      <c r="BS21" s="58">
        <f>SUM(BS22:BS30)</f>
        <v>0</v>
      </c>
      <c r="BT21" s="58">
        <f>SUM(BT22:BT30)</f>
        <v>0</v>
      </c>
      <c r="BU21" s="58">
        <f>SUM(BU22:BU30)</f>
        <v>0</v>
      </c>
      <c r="BV21" s="58">
        <f>SUM(BV22:BV30)</f>
        <v>0</v>
      </c>
      <c r="BW21" s="58">
        <f>SUM(BW22:BW30)</f>
        <v>0</v>
      </c>
      <c r="BX21" s="58">
        <f>SUM(BX22:BX30)</f>
        <v>0</v>
      </c>
      <c r="BY21" s="58">
        <f>SUM(BY22:BY30)</f>
        <v>0</v>
      </c>
      <c r="BZ21" s="58">
        <f>SUM(BZ22:BZ30)</f>
        <v>0</v>
      </c>
      <c r="CA21" s="58">
        <f>SUM(CA22:CA30)</f>
        <v>0</v>
      </c>
      <c r="CB21" s="58">
        <f>SUM(CB22:CB30)</f>
        <v>0</v>
      </c>
      <c r="CC21" s="58">
        <f>SUM(CC22:CC30)</f>
        <v>0</v>
      </c>
      <c r="CD21" s="58">
        <f>SUM(CD22:CD30)</f>
        <v>0</v>
      </c>
      <c r="CE21" s="58">
        <f>SUM(CE22:CE30)</f>
        <v>0</v>
      </c>
      <c r="CF21" s="58">
        <f>SUM(CF22:CF30)</f>
        <v>0</v>
      </c>
      <c r="CG21" s="58">
        <f>SUM(CG22:CG30)</f>
        <v>0</v>
      </c>
      <c r="CH21" s="58">
        <f>SUM(CH22:CH30)</f>
        <v>0</v>
      </c>
      <c r="CI21" s="58">
        <f>SUM(CI22:CI30)</f>
        <v>0</v>
      </c>
      <c r="CJ21" s="58">
        <f>SUM(CJ22:CJ30)</f>
        <v>0</v>
      </c>
      <c r="CK21" s="58">
        <f>SUM(CK22:CK30)</f>
        <v>0</v>
      </c>
      <c r="CL21" s="58">
        <f>SUM(CL22:CL30)</f>
        <v>0</v>
      </c>
      <c r="CM21" s="58">
        <f>SUM(CM22:CM30)</f>
        <v>0</v>
      </c>
      <c r="CN21" s="58">
        <f>SUM(CN22:CN30)</f>
        <v>0</v>
      </c>
      <c r="CO21" s="58">
        <f>SUM(CO22:CO30)</f>
        <v>0</v>
      </c>
      <c r="CP21" s="58">
        <f>SUM(CP22:CP30)</f>
        <v>0</v>
      </c>
      <c r="CQ21" s="58">
        <f>SUM(CQ22:CQ30)</f>
        <v>0</v>
      </c>
      <c r="CR21" s="58">
        <f>SUM(CR22:CR30)</f>
        <v>0</v>
      </c>
      <c r="CS21" s="58">
        <f>SUM(CS22:CS30)</f>
        <v>0</v>
      </c>
      <c r="CT21" s="58">
        <f>SUM(CT22:CT30)</f>
        <v>0</v>
      </c>
      <c r="CU21" s="58">
        <f>SUM(CU22:CU30)</f>
        <v>0</v>
      </c>
      <c r="CV21" s="58">
        <f>SUM(CV22:CV30)</f>
        <v>0</v>
      </c>
      <c r="CW21" s="58">
        <f>SUM(CW22:CW30)</f>
        <v>0</v>
      </c>
      <c r="CX21" s="58">
        <f>SUM(CX22:CX30)</f>
        <v>0</v>
      </c>
      <c r="CY21" s="58">
        <f>SUM(CY22:CY30)</f>
        <v>0</v>
      </c>
      <c r="CZ21" s="58">
        <f>SUM(CZ22:CZ30)</f>
        <v>0</v>
      </c>
      <c r="DA21" s="58">
        <f>SUM(DA22:DA30)</f>
        <v>0</v>
      </c>
      <c r="DB21" s="58">
        <f>SUM(DB22:DB30)</f>
        <v>0</v>
      </c>
      <c r="DC21" s="58">
        <f>SUM(DC22:DC30)</f>
        <v>0</v>
      </c>
      <c r="DD21" s="58">
        <f>SUM(DD22:DD30)</f>
        <v>0</v>
      </c>
      <c r="DE21" s="58">
        <f>SUM(DE22:DE30)</f>
        <v>0</v>
      </c>
      <c r="DF21" s="58">
        <f>SUM(DF22:DF30)</f>
        <v>0</v>
      </c>
      <c r="DG21" s="58">
        <f>SUM(DG22:DG30)</f>
        <v>0</v>
      </c>
      <c r="DH21" s="58">
        <f>SUM(DH22:DH30)</f>
        <v>0</v>
      </c>
      <c r="DI21" s="58">
        <f>SUM(DI22:DI30)</f>
        <v>0</v>
      </c>
      <c r="DJ21" s="58">
        <f>SUM(DJ22:DJ30)</f>
        <v>0</v>
      </c>
      <c r="DK21" s="58">
        <f>SUM(DK22:DK30)</f>
        <v>0</v>
      </c>
      <c r="DL21" s="58">
        <f>SUM(DL22:DL30)</f>
        <v>0</v>
      </c>
      <c r="DM21" s="58">
        <f>SUM(DM22:DM30)</f>
        <v>0</v>
      </c>
      <c r="DN21" s="58">
        <f>SUM(DN22:DN30)</f>
        <v>0</v>
      </c>
      <c r="DO21" s="58">
        <f>SUM(DO22:DO30)</f>
        <v>0</v>
      </c>
      <c r="DP21" s="58">
        <f>SUM(DP22:DP30)</f>
        <v>0</v>
      </c>
      <c r="DQ21" s="58">
        <f>SUM(DQ22:DQ30)</f>
        <v>0</v>
      </c>
      <c r="DR21" s="58">
        <f>SUM(DR22:DR30)</f>
        <v>0</v>
      </c>
      <c r="DS21" s="58">
        <f>SUM(DS22:DS30)</f>
        <v>0</v>
      </c>
      <c r="DT21" s="58">
        <f>SUM(DT22:DT30)</f>
        <v>0</v>
      </c>
      <c r="DU21" s="58">
        <f>SUM(DU22:DU30)</f>
        <v>0</v>
      </c>
      <c r="DV21" s="58">
        <f>SUM(DV22:DV30)</f>
        <v>0</v>
      </c>
      <c r="DW21" s="58">
        <f>SUM(DW22:DW30)</f>
        <v>0</v>
      </c>
      <c r="DX21" s="58">
        <f>SUM(DX22:DX30)</f>
        <v>0</v>
      </c>
      <c r="DY21" s="58">
        <f>SUM(DY22:DY30)</f>
        <v>0</v>
      </c>
    </row>
    <row r="22" spans="1:129" x14ac:dyDescent="0.45">
      <c r="A22" s="3">
        <v>46022</v>
      </c>
      <c r="B22" s="2" t="s">
        <v>0</v>
      </c>
      <c r="C22" s="6" t="s">
        <v>8</v>
      </c>
      <c r="D22" s="17">
        <v>4.8443031587445756E-2</v>
      </c>
      <c r="E22" s="2" t="s">
        <v>46</v>
      </c>
      <c r="F22" s="2">
        <v>60</v>
      </c>
      <c r="G22" s="2" t="s">
        <v>46</v>
      </c>
      <c r="H22" s="2">
        <v>60</v>
      </c>
      <c r="I22" s="14">
        <v>358.11700000000002</v>
      </c>
      <c r="J22" s="55">
        <f>IF(J$1&lt;$F22,(I22*(1+($D22/12)))-(-PMT($D22/12,$F22,$I22)),0)</f>
        <v>352.83009513087779</v>
      </c>
      <c r="K22" s="55">
        <f t="shared" ref="K22:BV26" si="17">IF(K$1&lt;$F22,(J22*(1+($D22/12)))-(-PMT($D22/12,$F22,$I22)),0)</f>
        <v>347.52184745345767</v>
      </c>
      <c r="L22" s="55">
        <f t="shared" si="17"/>
        <v>342.19217080854497</v>
      </c>
      <c r="M22" s="55">
        <f t="shared" si="17"/>
        <v>336.84097868912721</v>
      </c>
      <c r="N22" s="55">
        <f t="shared" si="17"/>
        <v>331.4681842389702</v>
      </c>
      <c r="O22" s="55">
        <f t="shared" si="17"/>
        <v>326.07370025120804</v>
      </c>
      <c r="P22" s="55">
        <f t="shared" si="17"/>
        <v>320.65743916692776</v>
      </c>
      <c r="Q22" s="55">
        <f t="shared" si="17"/>
        <v>315.2193130737482</v>
      </c>
      <c r="R22" s="55">
        <f t="shared" si="17"/>
        <v>309.7592337043929</v>
      </c>
      <c r="S22" s="55">
        <f t="shared" si="17"/>
        <v>304.27711243525766</v>
      </c>
      <c r="T22" s="55">
        <f t="shared" si="17"/>
        <v>298.77286028497184</v>
      </c>
      <c r="U22" s="96">
        <f t="shared" si="17"/>
        <v>293.24638791295422</v>
      </c>
      <c r="V22" s="55">
        <f t="shared" si="17"/>
        <v>287.69760561796289</v>
      </c>
      <c r="W22" s="55">
        <f t="shared" si="17"/>
        <v>282.12642333663922</v>
      </c>
      <c r="X22" s="55">
        <f t="shared" si="17"/>
        <v>276.53275064204604</v>
      </c>
      <c r="Y22" s="55">
        <f t="shared" si="17"/>
        <v>270.91649674220002</v>
      </c>
      <c r="Z22" s="55">
        <f t="shared" si="17"/>
        <v>265.27757047859791</v>
      </c>
      <c r="AA22" s="55">
        <f t="shared" si="17"/>
        <v>259.61588032473691</v>
      </c>
      <c r="AB22" s="55">
        <f t="shared" si="17"/>
        <v>253.93133438462903</v>
      </c>
      <c r="AC22" s="55">
        <f t="shared" si="17"/>
        <v>248.22384039130975</v>
      </c>
      <c r="AD22" s="55">
        <f t="shared" si="17"/>
        <v>242.49330570534016</v>
      </c>
      <c r="AE22" s="55">
        <f t="shared" si="17"/>
        <v>236.73963731330346</v>
      </c>
      <c r="AF22" s="55">
        <f t="shared" si="17"/>
        <v>230.96274182629517</v>
      </c>
      <c r="AG22" s="102">
        <f>IF(AG$1&lt;$F22,(AF22*(1+($D22/12)))-(-PMT($D22/12,$F22,$I22)),0)</f>
        <v>225.16252547840736</v>
      </c>
      <c r="AH22" s="55">
        <f>IF(AH$1&lt;$F22,(AG22*(1+($D22/12)))-(-PMT($D22/12,$F22,$I22)),0)</f>
        <v>219.33889412520665</v>
      </c>
      <c r="AI22" s="55">
        <f t="shared" si="17"/>
        <v>213.49175324220622</v>
      </c>
      <c r="AJ22" s="55">
        <f t="shared" si="17"/>
        <v>207.62100792333149</v>
      </c>
      <c r="AK22" s="55">
        <f t="shared" si="17"/>
        <v>201.72656287937974</v>
      </c>
      <c r="AL22" s="55">
        <f t="shared" si="17"/>
        <v>195.80832243647345</v>
      </c>
      <c r="AM22" s="55">
        <f t="shared" si="17"/>
        <v>189.86619053450733</v>
      </c>
      <c r="AN22" s="55">
        <f t="shared" si="17"/>
        <v>183.90007072558925</v>
      </c>
      <c r="AO22" s="55">
        <f t="shared" si="17"/>
        <v>177.90986617247466</v>
      </c>
      <c r="AP22" s="55">
        <f t="shared" si="17"/>
        <v>171.89547964699494</v>
      </c>
      <c r="AQ22" s="55">
        <f t="shared" si="17"/>
        <v>165.85681352847914</v>
      </c>
      <c r="AR22" s="55">
        <f t="shared" si="17"/>
        <v>159.79376980216955</v>
      </c>
      <c r="AS22" s="108">
        <f t="shared" si="17"/>
        <v>153.70625005763083</v>
      </c>
      <c r="AT22" s="55">
        <f t="shared" si="17"/>
        <v>147.59415548715262</v>
      </c>
      <c r="AU22" s="55">
        <f t="shared" si="17"/>
        <v>141.45738688414582</v>
      </c>
      <c r="AV22" s="55">
        <f t="shared" si="17"/>
        <v>135.29584464153231</v>
      </c>
      <c r="AW22" s="55">
        <f t="shared" si="17"/>
        <v>129.1094287501283</v>
      </c>
      <c r="AX22" s="55">
        <f t="shared" si="17"/>
        <v>122.89803879702093</v>
      </c>
      <c r="AY22" s="55">
        <f t="shared" si="17"/>
        <v>116.66157396393854</v>
      </c>
      <c r="AZ22" s="55">
        <f t="shared" si="17"/>
        <v>110.39993302561422</v>
      </c>
      <c r="BA22" s="55">
        <f t="shared" si="17"/>
        <v>104.11301434814287</v>
      </c>
      <c r="BB22" s="55">
        <f t="shared" si="17"/>
        <v>97.800715887331478</v>
      </c>
      <c r="BC22" s="55">
        <f t="shared" si="17"/>
        <v>91.462935187042888</v>
      </c>
      <c r="BD22" s="55">
        <f t="shared" si="17"/>
        <v>85.09956937753276</v>
      </c>
      <c r="BE22" s="55">
        <f t="shared" si="17"/>
        <v>78.710515173779925</v>
      </c>
      <c r="BF22" s="55">
        <f t="shared" si="17"/>
        <v>72.295668873809888</v>
      </c>
      <c r="BG22" s="55">
        <f t="shared" si="17"/>
        <v>65.854926357011678</v>
      </c>
      <c r="BH22" s="55">
        <f t="shared" si="17"/>
        <v>59.388183082447824</v>
      </c>
      <c r="BI22" s="55">
        <f t="shared" si="17"/>
        <v>52.895334087157501</v>
      </c>
      <c r="BJ22" s="55">
        <f t="shared" si="17"/>
        <v>46.376273984452894</v>
      </c>
      <c r="BK22" s="55">
        <f t="shared" si="17"/>
        <v>39.830896962208641</v>
      </c>
      <c r="BL22" s="55">
        <f t="shared" si="17"/>
        <v>33.259096781144358</v>
      </c>
      <c r="BM22" s="55">
        <f t="shared" si="17"/>
        <v>26.660766773100271</v>
      </c>
      <c r="BN22" s="55">
        <f t="shared" si="17"/>
        <v>20.035799839305845</v>
      </c>
      <c r="BO22" s="55">
        <f t="shared" si="17"/>
        <v>13.384088448641453</v>
      </c>
      <c r="BP22" s="55">
        <f t="shared" si="17"/>
        <v>6.7055246358930178</v>
      </c>
      <c r="BQ22" s="55">
        <f t="shared" si="17"/>
        <v>0</v>
      </c>
      <c r="BR22" s="55">
        <f t="shared" si="17"/>
        <v>0</v>
      </c>
      <c r="BS22" s="55">
        <f t="shared" si="17"/>
        <v>0</v>
      </c>
      <c r="BT22" s="55">
        <f t="shared" si="17"/>
        <v>0</v>
      </c>
      <c r="BU22" s="55">
        <f t="shared" si="17"/>
        <v>0</v>
      </c>
      <c r="BV22" s="55">
        <f t="shared" si="17"/>
        <v>0</v>
      </c>
      <c r="BW22" s="55">
        <f t="shared" ref="BW22:CL26" si="18">IF(BW$1&lt;$F22,(BV22*(1+($D22/12)))-(-PMT($D22/12,$F22,$I22)),0)</f>
        <v>0</v>
      </c>
      <c r="BX22" s="55">
        <f t="shared" si="18"/>
        <v>0</v>
      </c>
      <c r="BY22" s="55">
        <f t="shared" si="18"/>
        <v>0</v>
      </c>
      <c r="BZ22" s="55">
        <f t="shared" si="18"/>
        <v>0</v>
      </c>
      <c r="CA22" s="55">
        <f t="shared" si="18"/>
        <v>0</v>
      </c>
      <c r="CB22" s="55">
        <f t="shared" si="18"/>
        <v>0</v>
      </c>
      <c r="CC22" s="55">
        <f t="shared" si="18"/>
        <v>0</v>
      </c>
      <c r="CD22" s="55">
        <f t="shared" si="18"/>
        <v>0</v>
      </c>
      <c r="CE22" s="55">
        <f t="shared" si="18"/>
        <v>0</v>
      </c>
      <c r="CF22" s="55">
        <f t="shared" si="18"/>
        <v>0</v>
      </c>
      <c r="CG22" s="55">
        <f t="shared" si="18"/>
        <v>0</v>
      </c>
      <c r="CH22" s="55">
        <f t="shared" si="18"/>
        <v>0</v>
      </c>
      <c r="CI22" s="55">
        <f t="shared" si="18"/>
        <v>0</v>
      </c>
      <c r="CJ22" s="55">
        <f t="shared" si="18"/>
        <v>0</v>
      </c>
      <c r="CK22" s="55">
        <f t="shared" si="18"/>
        <v>0</v>
      </c>
      <c r="CL22" s="55">
        <f t="shared" si="18"/>
        <v>0</v>
      </c>
      <c r="CM22" s="55">
        <f t="shared" ref="CM22:DB26" si="19">IF(CM$1&lt;$F22,(CL22*(1+($D22/12)))-(-PMT($D22/12,$F22,$I22)),0)</f>
        <v>0</v>
      </c>
      <c r="CN22" s="55">
        <f t="shared" si="19"/>
        <v>0</v>
      </c>
      <c r="CO22" s="55">
        <f t="shared" si="19"/>
        <v>0</v>
      </c>
      <c r="CP22" s="55">
        <f t="shared" si="19"/>
        <v>0</v>
      </c>
      <c r="CQ22" s="55">
        <f t="shared" si="19"/>
        <v>0</v>
      </c>
      <c r="CR22" s="55">
        <f t="shared" si="19"/>
        <v>0</v>
      </c>
      <c r="CS22" s="55">
        <f t="shared" si="19"/>
        <v>0</v>
      </c>
      <c r="CT22" s="55">
        <f t="shared" si="19"/>
        <v>0</v>
      </c>
      <c r="CU22" s="55">
        <f t="shared" si="19"/>
        <v>0</v>
      </c>
      <c r="CV22" s="55">
        <f t="shared" si="19"/>
        <v>0</v>
      </c>
      <c r="CW22" s="55">
        <f t="shared" si="19"/>
        <v>0</v>
      </c>
      <c r="CX22" s="55">
        <f t="shared" si="19"/>
        <v>0</v>
      </c>
      <c r="CY22" s="55">
        <f t="shared" si="19"/>
        <v>0</v>
      </c>
      <c r="CZ22" s="55">
        <f t="shared" si="19"/>
        <v>0</v>
      </c>
      <c r="DA22" s="55">
        <f t="shared" si="19"/>
        <v>0</v>
      </c>
      <c r="DB22" s="55">
        <f t="shared" si="19"/>
        <v>0</v>
      </c>
      <c r="DC22" s="55">
        <f t="shared" ref="DC22:DR26" si="20">IF(DC$1&lt;$F22,(DB22*(1+($D22/12)))-(-PMT($D22/12,$F22,$I22)),0)</f>
        <v>0</v>
      </c>
      <c r="DD22" s="55">
        <f t="shared" si="20"/>
        <v>0</v>
      </c>
      <c r="DE22" s="55">
        <f t="shared" si="20"/>
        <v>0</v>
      </c>
      <c r="DF22" s="55">
        <f t="shared" si="20"/>
        <v>0</v>
      </c>
      <c r="DG22" s="55">
        <f t="shared" si="20"/>
        <v>0</v>
      </c>
      <c r="DH22" s="55">
        <f t="shared" si="20"/>
        <v>0</v>
      </c>
      <c r="DI22" s="55">
        <f t="shared" si="20"/>
        <v>0</v>
      </c>
      <c r="DJ22" s="55">
        <f t="shared" si="20"/>
        <v>0</v>
      </c>
      <c r="DK22" s="55">
        <f t="shared" si="20"/>
        <v>0</v>
      </c>
      <c r="DL22" s="55">
        <f t="shared" si="20"/>
        <v>0</v>
      </c>
      <c r="DM22" s="55">
        <f t="shared" si="20"/>
        <v>0</v>
      </c>
      <c r="DN22" s="55">
        <f t="shared" si="20"/>
        <v>0</v>
      </c>
      <c r="DO22" s="55">
        <f t="shared" si="20"/>
        <v>0</v>
      </c>
      <c r="DP22" s="55">
        <f t="shared" si="20"/>
        <v>0</v>
      </c>
      <c r="DQ22" s="55">
        <f t="shared" si="20"/>
        <v>0</v>
      </c>
      <c r="DR22" s="55">
        <f t="shared" si="20"/>
        <v>0</v>
      </c>
      <c r="DS22" s="55">
        <f t="shared" ref="DS22:DY26" si="21">IF(DS$1&lt;$F22,(DR22*(1+($D22/12)))-(-PMT($D22/12,$F22,$I22)),0)</f>
        <v>0</v>
      </c>
      <c r="DT22" s="55">
        <f t="shared" si="21"/>
        <v>0</v>
      </c>
      <c r="DU22" s="55">
        <f t="shared" si="21"/>
        <v>0</v>
      </c>
      <c r="DV22" s="55">
        <f t="shared" si="21"/>
        <v>0</v>
      </c>
      <c r="DW22" s="55">
        <f t="shared" si="21"/>
        <v>0</v>
      </c>
      <c r="DX22" s="55">
        <f t="shared" si="21"/>
        <v>0</v>
      </c>
      <c r="DY22" s="55">
        <f t="shared" si="21"/>
        <v>0</v>
      </c>
    </row>
    <row r="23" spans="1:129" x14ac:dyDescent="0.45">
      <c r="A23" s="3"/>
      <c r="B23" s="2"/>
      <c r="C23" s="121" t="s">
        <v>265</v>
      </c>
      <c r="D23" s="17"/>
      <c r="E23" s="2"/>
      <c r="F23" s="2"/>
      <c r="G23" s="2"/>
      <c r="H23" s="2"/>
      <c r="I23" s="14"/>
      <c r="J23" s="83"/>
      <c r="K23" s="83"/>
      <c r="L23" s="83"/>
      <c r="M23" s="83"/>
      <c r="N23" s="83"/>
      <c r="O23" s="83"/>
      <c r="P23" s="83"/>
      <c r="Q23" s="83"/>
      <c r="R23" s="55"/>
      <c r="S23" s="55"/>
      <c r="T23" s="55"/>
      <c r="U23" s="96">
        <f>'Plan Moyen Terme (PMT)'!C10-BAU_Liquidité_Dynamique!U22</f>
        <v>5645.7536120870454</v>
      </c>
      <c r="V23" s="127">
        <f>IF(AND(U1&lt;V$1, V$1&lt;=$F$22),(U23*(1+($D$22/12)))-(-PMT($D$22/12,$F$22-$U1,$U$23)),0)</f>
        <v>5538.9251600553325</v>
      </c>
      <c r="W23" s="127">
        <f t="shared" ref="W23:BQ23" si="22">IF(AND(V1&lt;W$1, W$1&lt;=$F$22),(V23*(1+($D$22/12)))-(-PMT($D$22/12,$F$22-$U1,$U$23)),0)</f>
        <v>5431.6654501839348</v>
      </c>
      <c r="X23" s="127">
        <f t="shared" si="22"/>
        <v>5323.9727415197576</v>
      </c>
      <c r="Y23" s="127">
        <f t="shared" si="22"/>
        <v>5215.8452860816169</v>
      </c>
      <c r="Z23" s="127">
        <f t="shared" si="22"/>
        <v>5107.2813288318712</v>
      </c>
      <c r="AA23" s="127">
        <f t="shared" si="22"/>
        <v>4998.2791076479334</v>
      </c>
      <c r="AB23" s="127">
        <f t="shared" si="22"/>
        <v>4888.8368532936693</v>
      </c>
      <c r="AC23" s="127">
        <f t="shared" si="22"/>
        <v>4778.9527893906816</v>
      </c>
      <c r="AD23" s="127">
        <f t="shared" si="22"/>
        <v>4668.6251323894767</v>
      </c>
      <c r="AE23" s="127">
        <f t="shared" si="22"/>
        <v>4557.8520915405152</v>
      </c>
      <c r="AF23" s="127">
        <f t="shared" si="22"/>
        <v>4446.6318688651463</v>
      </c>
      <c r="AG23" s="127">
        <f t="shared" si="22"/>
        <v>4334.9626591264259</v>
      </c>
      <c r="AH23" s="127">
        <f t="shared" si="22"/>
        <v>4222.8426497998116</v>
      </c>
      <c r="AI23" s="127">
        <f t="shared" si="22"/>
        <v>4110.2700210437479</v>
      </c>
      <c r="AJ23" s="127">
        <f t="shared" si="22"/>
        <v>3997.2429456701257</v>
      </c>
      <c r="AK23" s="127">
        <f t="shared" si="22"/>
        <v>3883.7595891146229</v>
      </c>
      <c r="AL23" s="127">
        <f t="shared" si="22"/>
        <v>3769.8181094069314</v>
      </c>
      <c r="AM23" s="127">
        <f t="shared" si="22"/>
        <v>3655.4166571408564</v>
      </c>
      <c r="AN23" s="127">
        <f t="shared" si="22"/>
        <v>3540.5533754442999</v>
      </c>
      <c r="AO23" s="127">
        <f t="shared" si="22"/>
        <v>3425.2263999491215</v>
      </c>
      <c r="AP23" s="127">
        <f t="shared" si="22"/>
        <v>3309.4338587608768</v>
      </c>
      <c r="AQ23" s="127">
        <f t="shared" si="22"/>
        <v>3193.1738724284342</v>
      </c>
      <c r="AR23" s="127">
        <f t="shared" si="22"/>
        <v>3076.4445539134704</v>
      </c>
      <c r="AS23" s="127">
        <f t="shared" si="22"/>
        <v>2959.2440085598396</v>
      </c>
      <c r="AT23" s="127">
        <f t="shared" si="22"/>
        <v>2841.5703340628229</v>
      </c>
      <c r="AU23" s="127">
        <f t="shared" si="22"/>
        <v>2723.4216204382501</v>
      </c>
      <c r="AV23" s="127">
        <f t="shared" si="22"/>
        <v>2604.7959499915</v>
      </c>
      <c r="AW23" s="127">
        <f t="shared" si="22"/>
        <v>2485.6913972863722</v>
      </c>
      <c r="AX23" s="127">
        <f t="shared" si="22"/>
        <v>2366.1060291138356</v>
      </c>
      <c r="AY23" s="127">
        <f t="shared" si="22"/>
        <v>2246.0379044606507</v>
      </c>
      <c r="AZ23" s="127">
        <f t="shared" si="22"/>
        <v>2125.4850744778641</v>
      </c>
      <c r="BA23" s="127">
        <f t="shared" si="22"/>
        <v>2004.4455824491765</v>
      </c>
      <c r="BB23" s="127">
        <f t="shared" si="22"/>
        <v>1882.917463759183</v>
      </c>
      <c r="BC23" s="127">
        <f t="shared" si="22"/>
        <v>1760.8987458614843</v>
      </c>
      <c r="BD23" s="127">
        <f t="shared" si="22"/>
        <v>1638.3874482466706</v>
      </c>
      <c r="BE23" s="127">
        <f t="shared" si="22"/>
        <v>1515.381582410176</v>
      </c>
      <c r="BF23" s="127">
        <f t="shared" si="22"/>
        <v>1391.8791518200014</v>
      </c>
      <c r="BG23" s="127">
        <f t="shared" si="22"/>
        <v>1267.8781518843098</v>
      </c>
      <c r="BH23" s="127">
        <f t="shared" si="22"/>
        <v>1143.376569918888</v>
      </c>
      <c r="BI23" s="127">
        <f t="shared" si="22"/>
        <v>1018.3723851144798</v>
      </c>
      <c r="BJ23" s="127">
        <f t="shared" si="22"/>
        <v>892.86356850398477</v>
      </c>
      <c r="BK23" s="127">
        <f t="shared" si="22"/>
        <v>766.84808292952596</v>
      </c>
      <c r="BL23" s="127">
        <f t="shared" si="22"/>
        <v>640.32388300938453</v>
      </c>
      <c r="BM23" s="127">
        <f t="shared" si="22"/>
        <v>513.28891510480082</v>
      </c>
      <c r="BN23" s="127">
        <f t="shared" si="22"/>
        <v>385.74111728664116</v>
      </c>
      <c r="BO23" s="127">
        <f t="shared" si="22"/>
        <v>257.67841930193026</v>
      </c>
      <c r="BP23" s="127">
        <f t="shared" si="22"/>
        <v>129.09874254024876</v>
      </c>
      <c r="BQ23" s="127">
        <f t="shared" si="22"/>
        <v>-5.1727511163335294E-12</v>
      </c>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row>
    <row r="24" spans="1:129" x14ac:dyDescent="0.45">
      <c r="A24" s="3"/>
      <c r="B24" s="2"/>
      <c r="C24" s="122" t="s">
        <v>266</v>
      </c>
      <c r="D24" s="17"/>
      <c r="E24" s="2"/>
      <c r="F24" s="2"/>
      <c r="G24" s="2"/>
      <c r="H24" s="2"/>
      <c r="I24" s="14"/>
      <c r="J24" s="91"/>
      <c r="K24" s="91"/>
      <c r="L24" s="91"/>
      <c r="M24" s="55"/>
      <c r="N24" s="55"/>
      <c r="O24" s="55"/>
      <c r="P24" s="55"/>
      <c r="Q24" s="55"/>
      <c r="R24" s="55"/>
      <c r="S24" s="55"/>
      <c r="T24" s="55"/>
      <c r="U24" s="96"/>
      <c r="V24" s="55"/>
      <c r="W24" s="55"/>
      <c r="X24" s="55"/>
      <c r="Y24" s="55"/>
      <c r="Z24" s="55"/>
      <c r="AA24" s="55"/>
      <c r="AB24" s="55"/>
      <c r="AC24" s="55"/>
      <c r="AD24" s="55"/>
      <c r="AE24" s="55"/>
      <c r="AF24" s="55"/>
      <c r="AG24" s="102">
        <f>'Plan Moyen Terme (PMT)'!D10-BAU_Liquidité_Dynamique!AG22</f>
        <v>3744.8374745215924</v>
      </c>
      <c r="AH24" s="123">
        <f>IF(AND(AG1&lt;AH$1, AH$1&lt;=$F22),(AG24*(1+$D22/12))+(PMT($D22/12,$F22-$AG1,$AG24)),0)</f>
        <v>3647.9805358150834</v>
      </c>
      <c r="AI24" s="123">
        <f t="shared" ref="AI24:BQ24" si="23">IF(AND(AH1&lt;AI$1, AI$1&lt;=$F22),(AH24*(1+$D22/12))+(PMT($D22/12,$F22-$AG1,$AG24)),0)</f>
        <v>3550.7325934634723</v>
      </c>
      <c r="AJ24" s="123">
        <f t="shared" si="23"/>
        <v>3453.0920690165985</v>
      </c>
      <c r="AK24" s="123">
        <f t="shared" si="23"/>
        <v>3355.0573776522256</v>
      </c>
      <c r="AL24" s="123">
        <f t="shared" si="23"/>
        <v>3256.6269281503164</v>
      </c>
      <c r="AM24" s="123">
        <f t="shared" si="23"/>
        <v>3157.7991228672086</v>
      </c>
      <c r="AN24" s="123">
        <f t="shared" si="23"/>
        <v>3058.5723577096801</v>
      </c>
      <c r="AO24" s="123">
        <f t="shared" si="23"/>
        <v>2958.9450221089141</v>
      </c>
      <c r="AP24" s="123">
        <f t="shared" si="23"/>
        <v>2858.9154989943581</v>
      </c>
      <c r="AQ24" s="123">
        <f t="shared" si="23"/>
        <v>2758.4821647674762</v>
      </c>
      <c r="AR24" s="123">
        <f t="shared" si="23"/>
        <v>2657.6433892753953</v>
      </c>
      <c r="AS24" s="123">
        <f t="shared" si="23"/>
        <v>2556.3975357844474</v>
      </c>
      <c r="AT24" s="123">
        <f t="shared" si="23"/>
        <v>2454.742960953603</v>
      </c>
      <c r="AU24" s="123">
        <f t="shared" si="23"/>
        <v>2352.6780148077969</v>
      </c>
      <c r="AV24" s="123">
        <f t="shared" si="23"/>
        <v>2250.2010407111484</v>
      </c>
      <c r="AW24" s="123">
        <f t="shared" si="23"/>
        <v>2147.3103753400706</v>
      </c>
      <c r="AX24" s="123">
        <f t="shared" si="23"/>
        <v>2044.0043486562738</v>
      </c>
      <c r="AY24" s="123">
        <f t="shared" si="23"/>
        <v>1940.2812838796592</v>
      </c>
      <c r="AZ24" s="123">
        <f t="shared" si="23"/>
        <v>1836.1394974611012</v>
      </c>
      <c r="BA24" s="123">
        <f t="shared" si="23"/>
        <v>1731.5772990551225</v>
      </c>
      <c r="BB24" s="123">
        <f t="shared" si="23"/>
        <v>1626.5929914924577</v>
      </c>
      <c r="BC24" s="123">
        <f t="shared" si="23"/>
        <v>1521.1848707525057</v>
      </c>
      <c r="BD24" s="123">
        <f t="shared" si="23"/>
        <v>1415.3512259356723</v>
      </c>
      <c r="BE24" s="123">
        <f t="shared" si="23"/>
        <v>1309.0903392355992</v>
      </c>
      <c r="BF24" s="123">
        <f t="shared" si="23"/>
        <v>1202.4004859112827</v>
      </c>
      <c r="BG24" s="123">
        <f t="shared" si="23"/>
        <v>1095.2799342590786</v>
      </c>
      <c r="BH24" s="123">
        <f t="shared" si="23"/>
        <v>987.72694558459523</v>
      </c>
      <c r="BI24" s="123">
        <f t="shared" si="23"/>
        <v>879.73977417447168</v>
      </c>
      <c r="BJ24" s="123">
        <f t="shared" si="23"/>
        <v>771.31666726804326</v>
      </c>
      <c r="BK24" s="123">
        <f t="shared" si="23"/>
        <v>662.45586502889171</v>
      </c>
      <c r="BL24" s="123">
        <f t="shared" si="23"/>
        <v>553.15560051628131</v>
      </c>
      <c r="BM24" s="123">
        <f t="shared" si="23"/>
        <v>443.41409965647927</v>
      </c>
      <c r="BN24" s="123">
        <f t="shared" si="23"/>
        <v>333.2295812139601</v>
      </c>
      <c r="BO24" s="123">
        <f t="shared" si="23"/>
        <v>222.60025676249438</v>
      </c>
      <c r="BP24" s="123">
        <f t="shared" si="23"/>
        <v>111.52433065612031</v>
      </c>
      <c r="BQ24" s="123">
        <f t="shared" si="23"/>
        <v>-1.7337242752546445E-12</v>
      </c>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row>
    <row r="25" spans="1:129" x14ac:dyDescent="0.45">
      <c r="A25" s="3"/>
      <c r="B25" s="2"/>
      <c r="C25" s="125" t="s">
        <v>267</v>
      </c>
      <c r="D25" s="17"/>
      <c r="E25" s="2"/>
      <c r="F25" s="2"/>
      <c r="G25" s="2"/>
      <c r="H25" s="2"/>
      <c r="I25" s="14"/>
      <c r="J25" s="55"/>
      <c r="K25" s="55"/>
      <c r="L25" s="55"/>
      <c r="M25" s="55"/>
      <c r="N25" s="55"/>
      <c r="O25" s="55"/>
      <c r="P25" s="55"/>
      <c r="Q25" s="55"/>
      <c r="R25" s="55"/>
      <c r="S25" s="55"/>
      <c r="T25" s="55"/>
      <c r="U25" s="96"/>
      <c r="V25" s="55"/>
      <c r="W25" s="55"/>
      <c r="X25" s="55"/>
      <c r="Y25" s="55"/>
      <c r="Z25" s="55"/>
      <c r="AA25" s="55"/>
      <c r="AB25" s="55"/>
      <c r="AC25" s="55"/>
      <c r="AD25" s="55"/>
      <c r="AE25" s="55"/>
      <c r="AF25" s="55"/>
      <c r="AG25" s="102"/>
      <c r="AH25" s="55"/>
      <c r="AI25" s="55"/>
      <c r="AJ25" s="55"/>
      <c r="AK25" s="55"/>
      <c r="AL25" s="55"/>
      <c r="AM25" s="55"/>
      <c r="AN25" s="55"/>
      <c r="AO25" s="55"/>
      <c r="AP25" s="55"/>
      <c r="AQ25" s="55"/>
      <c r="AR25" s="55"/>
      <c r="AS25" s="108">
        <f>'Plan Moyen Terme (PMT)'!E10-BAU_Liquidité_Dynamique!AS22</f>
        <v>17882.293749942368</v>
      </c>
      <c r="AT25" s="128">
        <f>IF(AND($AS1&lt;AT$1, AT$1&lt;=$F22),(AS25*(1+$D22/12))+(PMT($D22/12,$F22-$AS1,$AS25)),0)</f>
        <v>17171.208348433069</v>
      </c>
      <c r="AU25" s="128">
        <f t="shared" ref="AU25:BQ25" si="24">IF(AND($AS1&lt;AU$1, AU$1&lt;=$F22),(AT25*(1+$D22/12))+(PMT($D22/12,$F22-$AS1,$AS25)),0)</f>
        <v>16457.252352543215</v>
      </c>
      <c r="AV25" s="128">
        <f t="shared" si="24"/>
        <v>15740.414173914951</v>
      </c>
      <c r="AW25" s="128">
        <f t="shared" si="24"/>
        <v>15020.682177409155</v>
      </c>
      <c r="AX25" s="128">
        <f t="shared" si="24"/>
        <v>14298.04468091659</v>
      </c>
      <c r="AY25" s="128">
        <f t="shared" si="24"/>
        <v>13572.489955168287</v>
      </c>
      <c r="AZ25" s="128">
        <f t="shared" si="24"/>
        <v>12844.006223545162</v>
      </c>
      <c r="BA25" s="128">
        <f t="shared" si="24"/>
        <v>12112.581661886876</v>
      </c>
      <c r="BB25" s="128">
        <f t="shared" si="24"/>
        <v>11378.204398299902</v>
      </c>
      <c r="BC25" s="128">
        <f t="shared" si="24"/>
        <v>10640.862512964841</v>
      </c>
      <c r="BD25" s="128">
        <f t="shared" si="24"/>
        <v>9900.5440379429438</v>
      </c>
      <c r="BE25" s="128">
        <f t="shared" si="24"/>
        <v>9157.2369569818584</v>
      </c>
      <c r="BF25" s="128">
        <f t="shared" si="24"/>
        <v>8410.9292053205918</v>
      </c>
      <c r="BG25" s="128">
        <f t="shared" si="24"/>
        <v>7661.6086694936857</v>
      </c>
      <c r="BH25" s="128">
        <f t="shared" si="24"/>
        <v>6909.2631871345975</v>
      </c>
      <c r="BI25" s="128">
        <f t="shared" si="24"/>
        <v>6153.8805467782931</v>
      </c>
      <c r="BJ25" s="128">
        <f t="shared" si="24"/>
        <v>5395.4484876630395</v>
      </c>
      <c r="BK25" s="128">
        <f t="shared" si="24"/>
        <v>4633.9546995313985</v>
      </c>
      <c r="BL25" s="128">
        <f t="shared" si="24"/>
        <v>3869.3868224304151</v>
      </c>
      <c r="BM25" s="128">
        <f t="shared" si="24"/>
        <v>3101.7324465110028</v>
      </c>
      <c r="BN25" s="128">
        <f t="shared" si="24"/>
        <v>2330.9791118265152</v>
      </c>
      <c r="BO25" s="128">
        <f t="shared" si="24"/>
        <v>1557.1143081305067</v>
      </c>
      <c r="BP25" s="128">
        <f t="shared" si="24"/>
        <v>780.12547467367665</v>
      </c>
      <c r="BQ25" s="128">
        <f t="shared" si="24"/>
        <v>-6.9348971010185778E-12</v>
      </c>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row>
    <row r="26" spans="1:129" x14ac:dyDescent="0.45">
      <c r="A26" s="3">
        <v>46022</v>
      </c>
      <c r="B26" s="2" t="s">
        <v>0</v>
      </c>
      <c r="C26" s="6" t="s">
        <v>9</v>
      </c>
      <c r="D26" s="17">
        <v>3.2228872939520412E-2</v>
      </c>
      <c r="E26" s="2" t="s">
        <v>46</v>
      </c>
      <c r="F26" s="2">
        <v>10</v>
      </c>
      <c r="G26" s="2" t="s">
        <v>46</v>
      </c>
      <c r="H26" s="2">
        <v>10</v>
      </c>
      <c r="I26" s="14">
        <v>49615.565999999999</v>
      </c>
      <c r="J26" s="55">
        <f>IF(J$1&lt;$F26,(I26*(1+($D26/12)))-(-PMT($D26/12,$F26,$I26)),0)</f>
        <v>44713.679059200171</v>
      </c>
      <c r="K26" s="55">
        <f t="shared" si="17"/>
        <v>39798.626927452096</v>
      </c>
      <c r="L26" s="55">
        <f t="shared" si="17"/>
        <v>34870.374246483589</v>
      </c>
      <c r="M26" s="55">
        <f t="shared" si="17"/>
        <v>29928.88556305935</v>
      </c>
      <c r="N26" s="55">
        <f t="shared" si="17"/>
        <v>24974.125328725928</v>
      </c>
      <c r="O26" s="55">
        <f t="shared" si="17"/>
        <v>20006.057899555995</v>
      </c>
      <c r="P26" s="55">
        <f t="shared" si="17"/>
        <v>15024.647535891923</v>
      </c>
      <c r="Q26" s="55">
        <f t="shared" si="17"/>
        <v>10029.858402088674</v>
      </c>
      <c r="R26" s="55">
        <f t="shared" si="17"/>
        <v>5021.6545662560047</v>
      </c>
      <c r="S26" s="55">
        <f t="shared" si="17"/>
        <v>0</v>
      </c>
      <c r="T26" s="55">
        <f t="shared" si="17"/>
        <v>0</v>
      </c>
      <c r="U26" s="96">
        <f t="shared" si="17"/>
        <v>0</v>
      </c>
      <c r="V26" s="55">
        <f t="shared" si="17"/>
        <v>0</v>
      </c>
      <c r="W26" s="55">
        <f t="shared" si="17"/>
        <v>0</v>
      </c>
      <c r="X26" s="55">
        <f t="shared" si="17"/>
        <v>0</v>
      </c>
      <c r="Y26" s="55">
        <f t="shared" si="17"/>
        <v>0</v>
      </c>
      <c r="Z26" s="55">
        <f t="shared" si="17"/>
        <v>0</v>
      </c>
      <c r="AA26" s="55">
        <f t="shared" si="17"/>
        <v>0</v>
      </c>
      <c r="AB26" s="55">
        <f t="shared" si="17"/>
        <v>0</v>
      </c>
      <c r="AC26" s="55">
        <f t="shared" si="17"/>
        <v>0</v>
      </c>
      <c r="AD26" s="55">
        <f t="shared" si="17"/>
        <v>0</v>
      </c>
      <c r="AE26" s="55">
        <f t="shared" si="17"/>
        <v>0</v>
      </c>
      <c r="AF26" s="55">
        <f t="shared" si="17"/>
        <v>0</v>
      </c>
      <c r="AG26" s="102">
        <f>IF(AG$1&lt;$F26,(AF26*(1+($D26/12)))-(-PMT($D26/12,$F26,$I26)),0)</f>
        <v>0</v>
      </c>
      <c r="AH26" s="55">
        <f>IF(AH$1&lt;$F26,(AG26*(1+($D26/12)))-(-PMT($D26/12,$F26,$I26)),0)</f>
        <v>0</v>
      </c>
      <c r="AI26" s="55">
        <f t="shared" si="17"/>
        <v>0</v>
      </c>
      <c r="AJ26" s="55">
        <f t="shared" si="17"/>
        <v>0</v>
      </c>
      <c r="AK26" s="55">
        <f t="shared" si="17"/>
        <v>0</v>
      </c>
      <c r="AL26" s="55">
        <f t="shared" si="17"/>
        <v>0</v>
      </c>
      <c r="AM26" s="55">
        <f t="shared" si="17"/>
        <v>0</v>
      </c>
      <c r="AN26" s="55">
        <f t="shared" si="17"/>
        <v>0</v>
      </c>
      <c r="AO26" s="55">
        <f t="shared" si="17"/>
        <v>0</v>
      </c>
      <c r="AP26" s="55">
        <f t="shared" si="17"/>
        <v>0</v>
      </c>
      <c r="AQ26" s="55">
        <f t="shared" si="17"/>
        <v>0</v>
      </c>
      <c r="AR26" s="55">
        <f t="shared" si="17"/>
        <v>0</v>
      </c>
      <c r="AS26" s="108">
        <f t="shared" si="17"/>
        <v>0</v>
      </c>
      <c r="AT26" s="55">
        <f t="shared" si="17"/>
        <v>0</v>
      </c>
      <c r="AU26" s="55">
        <f t="shared" si="17"/>
        <v>0</v>
      </c>
      <c r="AV26" s="55">
        <f t="shared" si="17"/>
        <v>0</v>
      </c>
      <c r="AW26" s="55">
        <f t="shared" si="17"/>
        <v>0</v>
      </c>
      <c r="AX26" s="55">
        <f t="shared" si="17"/>
        <v>0</v>
      </c>
      <c r="AY26" s="55">
        <f t="shared" si="17"/>
        <v>0</v>
      </c>
      <c r="AZ26" s="55">
        <f t="shared" si="17"/>
        <v>0</v>
      </c>
      <c r="BA26" s="55">
        <f t="shared" si="17"/>
        <v>0</v>
      </c>
      <c r="BB26" s="55">
        <f t="shared" si="17"/>
        <v>0</v>
      </c>
      <c r="BC26" s="55">
        <f t="shared" si="17"/>
        <v>0</v>
      </c>
      <c r="BD26" s="55">
        <f t="shared" si="17"/>
        <v>0</v>
      </c>
      <c r="BE26" s="55">
        <f t="shared" si="17"/>
        <v>0</v>
      </c>
      <c r="BF26" s="55">
        <f t="shared" si="17"/>
        <v>0</v>
      </c>
      <c r="BG26" s="55">
        <f t="shared" si="17"/>
        <v>0</v>
      </c>
      <c r="BH26" s="55">
        <f t="shared" si="17"/>
        <v>0</v>
      </c>
      <c r="BI26" s="55">
        <f t="shared" si="17"/>
        <v>0</v>
      </c>
      <c r="BJ26" s="55">
        <f t="shared" si="17"/>
        <v>0</v>
      </c>
      <c r="BK26" s="55">
        <f t="shared" si="17"/>
        <v>0</v>
      </c>
      <c r="BL26" s="55">
        <f t="shared" si="17"/>
        <v>0</v>
      </c>
      <c r="BM26" s="55">
        <f t="shared" si="17"/>
        <v>0</v>
      </c>
      <c r="BN26" s="55">
        <f t="shared" si="17"/>
        <v>0</v>
      </c>
      <c r="BO26" s="55">
        <f t="shared" si="17"/>
        <v>0</v>
      </c>
      <c r="BP26" s="55">
        <f t="shared" si="17"/>
        <v>0</v>
      </c>
      <c r="BQ26" s="55">
        <f t="shared" si="17"/>
        <v>0</v>
      </c>
      <c r="BR26" s="55">
        <f t="shared" si="17"/>
        <v>0</v>
      </c>
      <c r="BS26" s="55">
        <f t="shared" si="17"/>
        <v>0</v>
      </c>
      <c r="BT26" s="55">
        <f t="shared" si="17"/>
        <v>0</v>
      </c>
      <c r="BU26" s="55">
        <f t="shared" si="17"/>
        <v>0</v>
      </c>
      <c r="BV26" s="55">
        <f t="shared" si="17"/>
        <v>0</v>
      </c>
      <c r="BW26" s="55">
        <f t="shared" ref="BW26:CL30" si="25">IF(BW$1&lt;$F26,(BV26*(1+($D26/12)))-(-PMT($D26/12,$F26,$I26)),0)</f>
        <v>0</v>
      </c>
      <c r="BX26" s="55">
        <f t="shared" si="25"/>
        <v>0</v>
      </c>
      <c r="BY26" s="55">
        <f t="shared" si="25"/>
        <v>0</v>
      </c>
      <c r="BZ26" s="55">
        <f t="shared" si="25"/>
        <v>0</v>
      </c>
      <c r="CA26" s="55">
        <f t="shared" si="25"/>
        <v>0</v>
      </c>
      <c r="CB26" s="55">
        <f t="shared" si="25"/>
        <v>0</v>
      </c>
      <c r="CC26" s="55">
        <f t="shared" si="25"/>
        <v>0</v>
      </c>
      <c r="CD26" s="55">
        <f t="shared" si="25"/>
        <v>0</v>
      </c>
      <c r="CE26" s="55">
        <f t="shared" si="25"/>
        <v>0</v>
      </c>
      <c r="CF26" s="55">
        <f t="shared" si="25"/>
        <v>0</v>
      </c>
      <c r="CG26" s="55">
        <f t="shared" si="25"/>
        <v>0</v>
      </c>
      <c r="CH26" s="55">
        <f t="shared" si="25"/>
        <v>0</v>
      </c>
      <c r="CI26" s="55">
        <f t="shared" si="25"/>
        <v>0</v>
      </c>
      <c r="CJ26" s="55">
        <f t="shared" si="25"/>
        <v>0</v>
      </c>
      <c r="CK26" s="55">
        <f t="shared" si="25"/>
        <v>0</v>
      </c>
      <c r="CL26" s="55">
        <f t="shared" si="25"/>
        <v>0</v>
      </c>
      <c r="CM26" s="55">
        <f t="shared" ref="CM26:DB30" si="26">IF(CM$1&lt;$F26,(CL26*(1+($D26/12)))-(-PMT($D26/12,$F26,$I26)),0)</f>
        <v>0</v>
      </c>
      <c r="CN26" s="55">
        <f t="shared" si="26"/>
        <v>0</v>
      </c>
      <c r="CO26" s="55">
        <f t="shared" si="26"/>
        <v>0</v>
      </c>
      <c r="CP26" s="55">
        <f t="shared" si="26"/>
        <v>0</v>
      </c>
      <c r="CQ26" s="55">
        <f t="shared" si="26"/>
        <v>0</v>
      </c>
      <c r="CR26" s="55">
        <f t="shared" si="26"/>
        <v>0</v>
      </c>
      <c r="CS26" s="55">
        <f t="shared" si="26"/>
        <v>0</v>
      </c>
      <c r="CT26" s="55">
        <f t="shared" si="26"/>
        <v>0</v>
      </c>
      <c r="CU26" s="55">
        <f t="shared" si="26"/>
        <v>0</v>
      </c>
      <c r="CV26" s="55">
        <f t="shared" si="26"/>
        <v>0</v>
      </c>
      <c r="CW26" s="55">
        <f t="shared" si="26"/>
        <v>0</v>
      </c>
      <c r="CX26" s="55">
        <f t="shared" si="26"/>
        <v>0</v>
      </c>
      <c r="CY26" s="55">
        <f t="shared" si="26"/>
        <v>0</v>
      </c>
      <c r="CZ26" s="55">
        <f t="shared" si="26"/>
        <v>0</v>
      </c>
      <c r="DA26" s="55">
        <f t="shared" si="26"/>
        <v>0</v>
      </c>
      <c r="DB26" s="55">
        <f t="shared" si="26"/>
        <v>0</v>
      </c>
      <c r="DC26" s="55">
        <f t="shared" ref="DC26:DR30" si="27">IF(DC$1&lt;$F26,(DB26*(1+($D26/12)))-(-PMT($D26/12,$F26,$I26)),0)</f>
        <v>0</v>
      </c>
      <c r="DD26" s="55">
        <f t="shared" si="27"/>
        <v>0</v>
      </c>
      <c r="DE26" s="55">
        <f t="shared" si="27"/>
        <v>0</v>
      </c>
      <c r="DF26" s="55">
        <f t="shared" si="27"/>
        <v>0</v>
      </c>
      <c r="DG26" s="55">
        <f t="shared" si="27"/>
        <v>0</v>
      </c>
      <c r="DH26" s="55">
        <f t="shared" si="27"/>
        <v>0</v>
      </c>
      <c r="DI26" s="55">
        <f t="shared" si="27"/>
        <v>0</v>
      </c>
      <c r="DJ26" s="55">
        <f t="shared" si="27"/>
        <v>0</v>
      </c>
      <c r="DK26" s="55">
        <f t="shared" si="27"/>
        <v>0</v>
      </c>
      <c r="DL26" s="55">
        <f t="shared" si="27"/>
        <v>0</v>
      </c>
      <c r="DM26" s="55">
        <f t="shared" si="27"/>
        <v>0</v>
      </c>
      <c r="DN26" s="55">
        <f t="shared" si="27"/>
        <v>0</v>
      </c>
      <c r="DO26" s="55">
        <f t="shared" si="27"/>
        <v>0</v>
      </c>
      <c r="DP26" s="55">
        <f t="shared" si="27"/>
        <v>0</v>
      </c>
      <c r="DQ26" s="55">
        <f t="shared" si="27"/>
        <v>0</v>
      </c>
      <c r="DR26" s="55">
        <f t="shared" si="27"/>
        <v>0</v>
      </c>
      <c r="DS26" s="55">
        <f t="shared" ref="DS26:DY30" si="28">IF(DS$1&lt;$F26,(DR26*(1+($D26/12)))-(-PMT($D26/12,$F26,$I26)),0)</f>
        <v>0</v>
      </c>
      <c r="DT26" s="55">
        <f t="shared" si="28"/>
        <v>0</v>
      </c>
      <c r="DU26" s="55">
        <f t="shared" si="28"/>
        <v>0</v>
      </c>
      <c r="DV26" s="55">
        <f t="shared" si="28"/>
        <v>0</v>
      </c>
      <c r="DW26" s="55">
        <f t="shared" si="28"/>
        <v>0</v>
      </c>
      <c r="DX26" s="55">
        <f t="shared" si="28"/>
        <v>0</v>
      </c>
      <c r="DY26" s="55">
        <f t="shared" si="28"/>
        <v>0</v>
      </c>
    </row>
    <row r="27" spans="1:129" x14ac:dyDescent="0.45">
      <c r="A27" s="3"/>
      <c r="B27" s="2"/>
      <c r="C27" s="121" t="s">
        <v>268</v>
      </c>
      <c r="D27" s="17"/>
      <c r="E27" s="2"/>
      <c r="F27" s="2"/>
      <c r="G27" s="2"/>
      <c r="H27" s="2"/>
      <c r="I27" s="14"/>
      <c r="J27" s="55"/>
      <c r="K27" s="55"/>
      <c r="L27" s="55"/>
      <c r="M27" s="55"/>
      <c r="N27" s="55"/>
      <c r="O27" s="55"/>
      <c r="P27" s="55"/>
      <c r="Q27" s="55"/>
      <c r="R27" s="55"/>
      <c r="S27" s="55"/>
      <c r="T27" s="55"/>
      <c r="U27" s="96"/>
      <c r="V27" s="55"/>
      <c r="W27" s="55"/>
      <c r="X27" s="55"/>
      <c r="Y27" s="55"/>
      <c r="Z27" s="55"/>
      <c r="AA27" s="55"/>
      <c r="AB27" s="55"/>
      <c r="AC27" s="55"/>
      <c r="AD27" s="55"/>
      <c r="AE27" s="55"/>
      <c r="AF27" s="55"/>
      <c r="AG27" s="102"/>
      <c r="AH27" s="55"/>
      <c r="AI27" s="55"/>
      <c r="AJ27" s="55"/>
      <c r="AK27" s="55"/>
      <c r="AL27" s="55"/>
      <c r="AM27" s="55"/>
      <c r="AN27" s="55"/>
      <c r="AO27" s="55"/>
      <c r="AP27" s="55"/>
      <c r="AQ27" s="55"/>
      <c r="AR27" s="55"/>
      <c r="AS27" s="108"/>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row>
    <row r="28" spans="1:129" x14ac:dyDescent="0.45">
      <c r="A28" s="3"/>
      <c r="B28" s="2"/>
      <c r="C28" s="122" t="s">
        <v>269</v>
      </c>
      <c r="D28" s="17"/>
      <c r="E28" s="2"/>
      <c r="F28" s="2"/>
      <c r="G28" s="2"/>
      <c r="H28" s="2"/>
      <c r="I28" s="14"/>
      <c r="J28" s="55"/>
      <c r="K28" s="55"/>
      <c r="L28" s="55"/>
      <c r="M28" s="55"/>
      <c r="N28" s="55"/>
      <c r="O28" s="55"/>
      <c r="P28" s="55"/>
      <c r="Q28" s="55"/>
      <c r="R28" s="55"/>
      <c r="S28" s="55"/>
      <c r="T28" s="55"/>
      <c r="U28" s="96"/>
      <c r="V28" s="55"/>
      <c r="W28" s="55"/>
      <c r="X28" s="55"/>
      <c r="Y28" s="55"/>
      <c r="Z28" s="55"/>
      <c r="AA28" s="55"/>
      <c r="AB28" s="55"/>
      <c r="AC28" s="55"/>
      <c r="AD28" s="55"/>
      <c r="AE28" s="55"/>
      <c r="AF28" s="55"/>
      <c r="AG28" s="102"/>
      <c r="AH28" s="55"/>
      <c r="AI28" s="55"/>
      <c r="AJ28" s="55"/>
      <c r="AK28" s="55"/>
      <c r="AL28" s="55"/>
      <c r="AM28" s="55"/>
      <c r="AN28" s="55"/>
      <c r="AO28" s="55"/>
      <c r="AP28" s="55"/>
      <c r="AQ28" s="55"/>
      <c r="AR28" s="55"/>
      <c r="AS28" s="108"/>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row>
    <row r="29" spans="1:129" x14ac:dyDescent="0.45">
      <c r="A29" s="3"/>
      <c r="B29" s="2"/>
      <c r="C29" s="125" t="s">
        <v>270</v>
      </c>
      <c r="D29" s="17"/>
      <c r="E29" s="2"/>
      <c r="F29" s="2"/>
      <c r="G29" s="2"/>
      <c r="H29" s="2"/>
      <c r="I29" s="14"/>
      <c r="J29" s="55"/>
      <c r="K29" s="55"/>
      <c r="L29" s="55"/>
      <c r="M29" s="55"/>
      <c r="N29" s="55"/>
      <c r="O29" s="55"/>
      <c r="P29" s="55"/>
      <c r="Q29" s="55"/>
      <c r="R29" s="55"/>
      <c r="S29" s="55"/>
      <c r="T29" s="55"/>
      <c r="U29" s="96"/>
      <c r="V29" s="55"/>
      <c r="W29" s="55"/>
      <c r="X29" s="55"/>
      <c r="Y29" s="55"/>
      <c r="Z29" s="55"/>
      <c r="AA29" s="55"/>
      <c r="AB29" s="55"/>
      <c r="AC29" s="55"/>
      <c r="AD29" s="55"/>
      <c r="AE29" s="55"/>
      <c r="AF29" s="55"/>
      <c r="AG29" s="102"/>
      <c r="AH29" s="55"/>
      <c r="AI29" s="55"/>
      <c r="AJ29" s="55"/>
      <c r="AK29" s="55"/>
      <c r="AL29" s="55"/>
      <c r="AM29" s="55"/>
      <c r="AN29" s="55"/>
      <c r="AO29" s="55"/>
      <c r="AP29" s="55"/>
      <c r="AQ29" s="55"/>
      <c r="AR29" s="55"/>
      <c r="AS29" s="108"/>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row>
    <row r="30" spans="1:129" x14ac:dyDescent="0.45">
      <c r="A30" s="3">
        <v>46022</v>
      </c>
      <c r="B30" s="2" t="s">
        <v>0</v>
      </c>
      <c r="C30" s="6" t="s">
        <v>10</v>
      </c>
      <c r="D30" s="17">
        <v>3.9912213044508871E-2</v>
      </c>
      <c r="E30" s="2" t="s">
        <v>45</v>
      </c>
      <c r="F30" s="2">
        <v>1</v>
      </c>
      <c r="G30" s="2" t="s">
        <v>45</v>
      </c>
      <c r="H30" s="2">
        <v>1</v>
      </c>
      <c r="I30" s="14">
        <v>75676.635999999999</v>
      </c>
      <c r="J30" s="56">
        <f t="shared" ref="J30:Y34" si="29">IF(J$1&lt;$F30,$I30,0)</f>
        <v>0</v>
      </c>
      <c r="K30" s="56">
        <f t="shared" si="29"/>
        <v>0</v>
      </c>
      <c r="L30" s="56">
        <f t="shared" si="29"/>
        <v>0</v>
      </c>
      <c r="M30" s="56">
        <f t="shared" si="29"/>
        <v>0</v>
      </c>
      <c r="N30" s="56">
        <f t="shared" si="29"/>
        <v>0</v>
      </c>
      <c r="O30" s="56">
        <f t="shared" si="29"/>
        <v>0</v>
      </c>
      <c r="P30" s="56">
        <f t="shared" si="29"/>
        <v>0</v>
      </c>
      <c r="Q30" s="56">
        <f t="shared" si="29"/>
        <v>0</v>
      </c>
      <c r="R30" s="56">
        <f t="shared" si="29"/>
        <v>0</v>
      </c>
      <c r="S30" s="56">
        <f t="shared" si="29"/>
        <v>0</v>
      </c>
      <c r="T30" s="56">
        <f t="shared" si="29"/>
        <v>0</v>
      </c>
      <c r="U30" s="98">
        <f t="shared" si="29"/>
        <v>0</v>
      </c>
      <c r="V30" s="56">
        <f t="shared" si="29"/>
        <v>0</v>
      </c>
      <c r="W30" s="56">
        <f t="shared" si="29"/>
        <v>0</v>
      </c>
      <c r="X30" s="56">
        <f t="shared" si="29"/>
        <v>0</v>
      </c>
      <c r="Y30" s="56">
        <f t="shared" si="29"/>
        <v>0</v>
      </c>
      <c r="Z30" s="56">
        <f t="shared" ref="Z30:CK34" si="30">IF(Z$1&lt;$F30,$I30,0)</f>
        <v>0</v>
      </c>
      <c r="AA30" s="56">
        <f t="shared" si="30"/>
        <v>0</v>
      </c>
      <c r="AB30" s="56">
        <f t="shared" si="30"/>
        <v>0</v>
      </c>
      <c r="AC30" s="56">
        <f t="shared" si="30"/>
        <v>0</v>
      </c>
      <c r="AD30" s="56">
        <f t="shared" si="30"/>
        <v>0</v>
      </c>
      <c r="AE30" s="56">
        <f t="shared" si="30"/>
        <v>0</v>
      </c>
      <c r="AF30" s="56">
        <f t="shared" si="30"/>
        <v>0</v>
      </c>
      <c r="AG30" s="104">
        <f t="shared" si="30"/>
        <v>0</v>
      </c>
      <c r="AH30" s="56">
        <f t="shared" si="30"/>
        <v>0</v>
      </c>
      <c r="AI30" s="56">
        <f t="shared" si="30"/>
        <v>0</v>
      </c>
      <c r="AJ30" s="56">
        <f t="shared" si="30"/>
        <v>0</v>
      </c>
      <c r="AK30" s="56">
        <f t="shared" si="30"/>
        <v>0</v>
      </c>
      <c r="AL30" s="56">
        <f t="shared" si="30"/>
        <v>0</v>
      </c>
      <c r="AM30" s="56">
        <f t="shared" si="30"/>
        <v>0</v>
      </c>
      <c r="AN30" s="56">
        <f t="shared" si="30"/>
        <v>0</v>
      </c>
      <c r="AO30" s="56">
        <f t="shared" si="30"/>
        <v>0</v>
      </c>
      <c r="AP30" s="56">
        <f t="shared" si="30"/>
        <v>0</v>
      </c>
      <c r="AQ30" s="56">
        <f t="shared" si="30"/>
        <v>0</v>
      </c>
      <c r="AR30" s="56">
        <f t="shared" si="30"/>
        <v>0</v>
      </c>
      <c r="AS30" s="110">
        <f t="shared" si="30"/>
        <v>0</v>
      </c>
      <c r="AT30" s="56">
        <f t="shared" si="30"/>
        <v>0</v>
      </c>
      <c r="AU30" s="56">
        <f t="shared" si="30"/>
        <v>0</v>
      </c>
      <c r="AV30" s="56">
        <f t="shared" si="30"/>
        <v>0</v>
      </c>
      <c r="AW30" s="56">
        <f t="shared" si="30"/>
        <v>0</v>
      </c>
      <c r="AX30" s="56">
        <f t="shared" si="30"/>
        <v>0</v>
      </c>
      <c r="AY30" s="56">
        <f t="shared" si="30"/>
        <v>0</v>
      </c>
      <c r="AZ30" s="56">
        <f t="shared" si="30"/>
        <v>0</v>
      </c>
      <c r="BA30" s="56">
        <f t="shared" si="30"/>
        <v>0</v>
      </c>
      <c r="BB30" s="56">
        <f t="shared" si="30"/>
        <v>0</v>
      </c>
      <c r="BC30" s="56">
        <f t="shared" si="30"/>
        <v>0</v>
      </c>
      <c r="BD30" s="56">
        <f t="shared" si="30"/>
        <v>0</v>
      </c>
      <c r="BE30" s="56">
        <f t="shared" si="30"/>
        <v>0</v>
      </c>
      <c r="BF30" s="56">
        <f t="shared" si="30"/>
        <v>0</v>
      </c>
      <c r="BG30" s="56">
        <f t="shared" si="30"/>
        <v>0</v>
      </c>
      <c r="BH30" s="56">
        <f t="shared" si="30"/>
        <v>0</v>
      </c>
      <c r="BI30" s="56">
        <f t="shared" si="30"/>
        <v>0</v>
      </c>
      <c r="BJ30" s="56">
        <f t="shared" si="30"/>
        <v>0</v>
      </c>
      <c r="BK30" s="56">
        <f t="shared" si="30"/>
        <v>0</v>
      </c>
      <c r="BL30" s="56">
        <f t="shared" si="30"/>
        <v>0</v>
      </c>
      <c r="BM30" s="56">
        <f t="shared" si="30"/>
        <v>0</v>
      </c>
      <c r="BN30" s="56">
        <f t="shared" si="30"/>
        <v>0</v>
      </c>
      <c r="BO30" s="56">
        <f t="shared" si="30"/>
        <v>0</v>
      </c>
      <c r="BP30" s="56">
        <f t="shared" si="30"/>
        <v>0</v>
      </c>
      <c r="BQ30" s="56">
        <f t="shared" si="30"/>
        <v>0</v>
      </c>
      <c r="BR30" s="56">
        <f t="shared" si="30"/>
        <v>0</v>
      </c>
      <c r="BS30" s="56">
        <f t="shared" si="30"/>
        <v>0</v>
      </c>
      <c r="BT30" s="56">
        <f t="shared" si="30"/>
        <v>0</v>
      </c>
      <c r="BU30" s="56">
        <f t="shared" si="30"/>
        <v>0</v>
      </c>
      <c r="BV30" s="56">
        <f t="shared" si="30"/>
        <v>0</v>
      </c>
      <c r="BW30" s="56">
        <f t="shared" si="30"/>
        <v>0</v>
      </c>
      <c r="BX30" s="56">
        <f t="shared" si="30"/>
        <v>0</v>
      </c>
      <c r="BY30" s="56">
        <f t="shared" si="30"/>
        <v>0</v>
      </c>
      <c r="BZ30" s="56">
        <f t="shared" si="30"/>
        <v>0</v>
      </c>
      <c r="CA30" s="56">
        <f t="shared" si="30"/>
        <v>0</v>
      </c>
      <c r="CB30" s="56">
        <f t="shared" si="30"/>
        <v>0</v>
      </c>
      <c r="CC30" s="56">
        <f t="shared" si="30"/>
        <v>0</v>
      </c>
      <c r="CD30" s="56">
        <f t="shared" si="30"/>
        <v>0</v>
      </c>
      <c r="CE30" s="56">
        <f t="shared" si="30"/>
        <v>0</v>
      </c>
      <c r="CF30" s="56">
        <f t="shared" si="30"/>
        <v>0</v>
      </c>
      <c r="CG30" s="56">
        <f t="shared" si="30"/>
        <v>0</v>
      </c>
      <c r="CH30" s="56">
        <f t="shared" si="30"/>
        <v>0</v>
      </c>
      <c r="CI30" s="56">
        <f t="shared" si="30"/>
        <v>0</v>
      </c>
      <c r="CJ30" s="56">
        <f t="shared" si="30"/>
        <v>0</v>
      </c>
      <c r="CK30" s="56">
        <f t="shared" si="30"/>
        <v>0</v>
      </c>
      <c r="CL30" s="56">
        <f t="shared" ref="CL30:DY34" si="31">IF(CL$1&lt;$F30,$I30,0)</f>
        <v>0</v>
      </c>
      <c r="CM30" s="56">
        <f t="shared" si="31"/>
        <v>0</v>
      </c>
      <c r="CN30" s="56">
        <f t="shared" si="31"/>
        <v>0</v>
      </c>
      <c r="CO30" s="56">
        <f t="shared" si="31"/>
        <v>0</v>
      </c>
      <c r="CP30" s="56">
        <f t="shared" si="31"/>
        <v>0</v>
      </c>
      <c r="CQ30" s="56">
        <f t="shared" si="31"/>
        <v>0</v>
      </c>
      <c r="CR30" s="56">
        <f t="shared" si="31"/>
        <v>0</v>
      </c>
      <c r="CS30" s="56">
        <f t="shared" si="31"/>
        <v>0</v>
      </c>
      <c r="CT30" s="56">
        <f t="shared" si="31"/>
        <v>0</v>
      </c>
      <c r="CU30" s="56">
        <f t="shared" si="31"/>
        <v>0</v>
      </c>
      <c r="CV30" s="56">
        <f t="shared" si="31"/>
        <v>0</v>
      </c>
      <c r="CW30" s="56">
        <f t="shared" si="31"/>
        <v>0</v>
      </c>
      <c r="CX30" s="56">
        <f t="shared" si="31"/>
        <v>0</v>
      </c>
      <c r="CY30" s="56">
        <f t="shared" si="31"/>
        <v>0</v>
      </c>
      <c r="CZ30" s="56">
        <f t="shared" si="31"/>
        <v>0</v>
      </c>
      <c r="DA30" s="56">
        <f t="shared" si="31"/>
        <v>0</v>
      </c>
      <c r="DB30" s="56">
        <f t="shared" si="31"/>
        <v>0</v>
      </c>
      <c r="DC30" s="56">
        <f t="shared" si="31"/>
        <v>0</v>
      </c>
      <c r="DD30" s="56">
        <f t="shared" si="31"/>
        <v>0</v>
      </c>
      <c r="DE30" s="56">
        <f t="shared" si="31"/>
        <v>0</v>
      </c>
      <c r="DF30" s="56">
        <f t="shared" si="31"/>
        <v>0</v>
      </c>
      <c r="DG30" s="56">
        <f t="shared" si="31"/>
        <v>0</v>
      </c>
      <c r="DH30" s="56">
        <f t="shared" si="31"/>
        <v>0</v>
      </c>
      <c r="DI30" s="56">
        <f t="shared" si="31"/>
        <v>0</v>
      </c>
      <c r="DJ30" s="56">
        <f t="shared" si="31"/>
        <v>0</v>
      </c>
      <c r="DK30" s="56">
        <f t="shared" si="31"/>
        <v>0</v>
      </c>
      <c r="DL30" s="56">
        <f t="shared" si="31"/>
        <v>0</v>
      </c>
      <c r="DM30" s="56">
        <f t="shared" si="31"/>
        <v>0</v>
      </c>
      <c r="DN30" s="56">
        <f t="shared" si="31"/>
        <v>0</v>
      </c>
      <c r="DO30" s="56">
        <f t="shared" si="31"/>
        <v>0</v>
      </c>
      <c r="DP30" s="56">
        <f t="shared" si="31"/>
        <v>0</v>
      </c>
      <c r="DQ30" s="56">
        <f t="shared" si="31"/>
        <v>0</v>
      </c>
      <c r="DR30" s="56">
        <f t="shared" si="31"/>
        <v>0</v>
      </c>
      <c r="DS30" s="56">
        <f t="shared" si="31"/>
        <v>0</v>
      </c>
      <c r="DT30" s="56">
        <f t="shared" si="31"/>
        <v>0</v>
      </c>
      <c r="DU30" s="56">
        <f t="shared" si="31"/>
        <v>0</v>
      </c>
      <c r="DV30" s="56">
        <f t="shared" si="31"/>
        <v>0</v>
      </c>
      <c r="DW30" s="56">
        <f t="shared" si="31"/>
        <v>0</v>
      </c>
      <c r="DX30" s="56">
        <f t="shared" si="31"/>
        <v>0</v>
      </c>
      <c r="DY30" s="56">
        <f t="shared" si="31"/>
        <v>0</v>
      </c>
    </row>
    <row r="31" spans="1:129" x14ac:dyDescent="0.45">
      <c r="A31" s="3"/>
      <c r="B31" s="2"/>
      <c r="C31" s="121" t="s">
        <v>268</v>
      </c>
      <c r="D31" s="17"/>
      <c r="E31" s="2"/>
      <c r="F31" s="2"/>
      <c r="G31" s="2"/>
      <c r="H31" s="2"/>
      <c r="I31" s="14"/>
      <c r="J31" s="55"/>
      <c r="K31" s="55"/>
      <c r="L31" s="55"/>
      <c r="M31" s="55"/>
      <c r="N31" s="55"/>
      <c r="O31" s="55"/>
      <c r="P31" s="55"/>
      <c r="Q31" s="55"/>
      <c r="R31" s="55"/>
      <c r="S31" s="55"/>
      <c r="T31" s="55"/>
      <c r="U31" s="96"/>
      <c r="V31" s="55"/>
      <c r="W31" s="55"/>
      <c r="X31" s="55"/>
      <c r="Y31" s="55"/>
      <c r="Z31" s="55"/>
      <c r="AA31" s="55"/>
      <c r="AB31" s="55"/>
      <c r="AC31" s="55"/>
      <c r="AD31" s="55"/>
      <c r="AE31" s="55"/>
      <c r="AF31" s="55"/>
      <c r="AG31" s="102"/>
      <c r="AH31" s="55"/>
      <c r="AI31" s="55"/>
      <c r="AJ31" s="55"/>
      <c r="AK31" s="55"/>
      <c r="AL31" s="55"/>
      <c r="AM31" s="55"/>
      <c r="AN31" s="55"/>
      <c r="AO31" s="55"/>
      <c r="AP31" s="55"/>
      <c r="AQ31" s="55"/>
      <c r="AR31" s="55"/>
      <c r="AS31" s="108"/>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row>
    <row r="32" spans="1:129" x14ac:dyDescent="0.45">
      <c r="A32" s="3"/>
      <c r="B32" s="2"/>
      <c r="C32" s="122" t="s">
        <v>269</v>
      </c>
      <c r="D32" s="17"/>
      <c r="E32" s="2"/>
      <c r="F32" s="2"/>
      <c r="G32" s="2"/>
      <c r="H32" s="2"/>
      <c r="I32" s="14"/>
      <c r="J32" s="55"/>
      <c r="K32" s="55"/>
      <c r="L32" s="55"/>
      <c r="M32" s="55"/>
      <c r="N32" s="55"/>
      <c r="O32" s="55"/>
      <c r="P32" s="55"/>
      <c r="Q32" s="55"/>
      <c r="R32" s="55"/>
      <c r="S32" s="55"/>
      <c r="T32" s="55"/>
      <c r="U32" s="96"/>
      <c r="V32" s="55"/>
      <c r="W32" s="55"/>
      <c r="X32" s="55"/>
      <c r="Y32" s="55"/>
      <c r="Z32" s="55"/>
      <c r="AA32" s="55"/>
      <c r="AB32" s="55"/>
      <c r="AC32" s="55"/>
      <c r="AD32" s="55"/>
      <c r="AE32" s="55"/>
      <c r="AF32" s="55"/>
      <c r="AG32" s="102"/>
      <c r="AH32" s="55"/>
      <c r="AI32" s="55"/>
      <c r="AJ32" s="55"/>
      <c r="AK32" s="55"/>
      <c r="AL32" s="55"/>
      <c r="AM32" s="55"/>
      <c r="AN32" s="55"/>
      <c r="AO32" s="55"/>
      <c r="AP32" s="55"/>
      <c r="AQ32" s="55"/>
      <c r="AR32" s="55"/>
      <c r="AS32" s="108"/>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row>
    <row r="33" spans="1:129" x14ac:dyDescent="0.45">
      <c r="A33" s="3"/>
      <c r="B33" s="2"/>
      <c r="C33" s="125" t="s">
        <v>270</v>
      </c>
      <c r="D33" s="17"/>
      <c r="E33" s="2"/>
      <c r="F33" s="2"/>
      <c r="G33" s="2"/>
      <c r="H33" s="2"/>
      <c r="I33" s="14"/>
      <c r="J33" s="55"/>
      <c r="K33" s="55"/>
      <c r="L33" s="55"/>
      <c r="M33" s="55"/>
      <c r="N33" s="55"/>
      <c r="O33" s="55"/>
      <c r="P33" s="55"/>
      <c r="Q33" s="55"/>
      <c r="R33" s="55"/>
      <c r="S33" s="55"/>
      <c r="T33" s="55"/>
      <c r="U33" s="96"/>
      <c r="V33" s="55"/>
      <c r="W33" s="55"/>
      <c r="X33" s="55"/>
      <c r="Y33" s="55"/>
      <c r="Z33" s="55"/>
      <c r="AA33" s="55"/>
      <c r="AB33" s="55"/>
      <c r="AC33" s="55"/>
      <c r="AD33" s="55"/>
      <c r="AE33" s="55"/>
      <c r="AF33" s="55"/>
      <c r="AG33" s="102"/>
      <c r="AH33" s="55"/>
      <c r="AI33" s="55"/>
      <c r="AJ33" s="55"/>
      <c r="AK33" s="55"/>
      <c r="AL33" s="55"/>
      <c r="AM33" s="55"/>
      <c r="AN33" s="55"/>
      <c r="AO33" s="55"/>
      <c r="AP33" s="55"/>
      <c r="AQ33" s="55"/>
      <c r="AR33" s="55"/>
      <c r="AS33" s="108"/>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row>
    <row r="34" spans="1:129" x14ac:dyDescent="0.45">
      <c r="A34" s="3">
        <v>46022</v>
      </c>
      <c r="B34" s="2" t="s">
        <v>0</v>
      </c>
      <c r="C34" s="4" t="s">
        <v>11</v>
      </c>
      <c r="D34" s="17">
        <v>0.05</v>
      </c>
      <c r="E34" s="2" t="s">
        <v>47</v>
      </c>
      <c r="F34" s="2">
        <v>84</v>
      </c>
      <c r="G34" s="2" t="s">
        <v>47</v>
      </c>
      <c r="H34" s="2">
        <v>84</v>
      </c>
      <c r="I34" s="13">
        <v>28</v>
      </c>
      <c r="J34" s="58">
        <f t="shared" si="29"/>
        <v>28</v>
      </c>
      <c r="K34" s="58">
        <f t="shared" si="29"/>
        <v>28</v>
      </c>
      <c r="L34" s="58">
        <f t="shared" si="29"/>
        <v>28</v>
      </c>
      <c r="M34" s="58">
        <f t="shared" si="29"/>
        <v>28</v>
      </c>
      <c r="N34" s="58">
        <f t="shared" si="29"/>
        <v>28</v>
      </c>
      <c r="O34" s="58">
        <f t="shared" si="29"/>
        <v>28</v>
      </c>
      <c r="P34" s="58">
        <f t="shared" si="29"/>
        <v>28</v>
      </c>
      <c r="Q34" s="58">
        <f t="shared" si="29"/>
        <v>28</v>
      </c>
      <c r="R34" s="58">
        <f t="shared" si="29"/>
        <v>28</v>
      </c>
      <c r="S34" s="58">
        <f t="shared" si="29"/>
        <v>28</v>
      </c>
      <c r="T34" s="58">
        <f t="shared" si="29"/>
        <v>28</v>
      </c>
      <c r="U34" s="97">
        <f t="shared" si="29"/>
        <v>28</v>
      </c>
      <c r="V34" s="58">
        <f t="shared" si="29"/>
        <v>28</v>
      </c>
      <c r="W34" s="58">
        <f t="shared" si="29"/>
        <v>28</v>
      </c>
      <c r="X34" s="58">
        <f t="shared" si="29"/>
        <v>28</v>
      </c>
      <c r="Y34" s="58">
        <f t="shared" si="29"/>
        <v>28</v>
      </c>
      <c r="Z34" s="58">
        <f t="shared" si="30"/>
        <v>28</v>
      </c>
      <c r="AA34" s="58">
        <f t="shared" si="30"/>
        <v>28</v>
      </c>
      <c r="AB34" s="58">
        <f t="shared" si="30"/>
        <v>28</v>
      </c>
      <c r="AC34" s="58">
        <f t="shared" si="30"/>
        <v>28</v>
      </c>
      <c r="AD34" s="58">
        <f t="shared" si="30"/>
        <v>28</v>
      </c>
      <c r="AE34" s="58">
        <f t="shared" si="30"/>
        <v>28</v>
      </c>
      <c r="AF34" s="58">
        <f t="shared" si="30"/>
        <v>28</v>
      </c>
      <c r="AG34" s="103">
        <f t="shared" si="30"/>
        <v>28</v>
      </c>
      <c r="AH34" s="58">
        <f t="shared" si="30"/>
        <v>28</v>
      </c>
      <c r="AI34" s="58">
        <f t="shared" si="30"/>
        <v>28</v>
      </c>
      <c r="AJ34" s="58">
        <f t="shared" si="30"/>
        <v>28</v>
      </c>
      <c r="AK34" s="58">
        <f t="shared" si="30"/>
        <v>28</v>
      </c>
      <c r="AL34" s="58">
        <f t="shared" si="30"/>
        <v>28</v>
      </c>
      <c r="AM34" s="58">
        <f t="shared" si="30"/>
        <v>28</v>
      </c>
      <c r="AN34" s="58">
        <f t="shared" si="30"/>
        <v>28</v>
      </c>
      <c r="AO34" s="58">
        <f t="shared" si="30"/>
        <v>28</v>
      </c>
      <c r="AP34" s="58">
        <f t="shared" si="30"/>
        <v>28</v>
      </c>
      <c r="AQ34" s="58">
        <f t="shared" si="30"/>
        <v>28</v>
      </c>
      <c r="AR34" s="58">
        <f t="shared" si="30"/>
        <v>28</v>
      </c>
      <c r="AS34" s="109">
        <f t="shared" si="30"/>
        <v>28</v>
      </c>
      <c r="AT34" s="58">
        <f t="shared" si="30"/>
        <v>28</v>
      </c>
      <c r="AU34" s="58">
        <f t="shared" si="30"/>
        <v>28</v>
      </c>
      <c r="AV34" s="58">
        <f t="shared" si="30"/>
        <v>28</v>
      </c>
      <c r="AW34" s="58">
        <f t="shared" si="30"/>
        <v>28</v>
      </c>
      <c r="AX34" s="58">
        <f t="shared" si="30"/>
        <v>28</v>
      </c>
      <c r="AY34" s="58">
        <f t="shared" si="30"/>
        <v>28</v>
      </c>
      <c r="AZ34" s="58">
        <f t="shared" si="30"/>
        <v>28</v>
      </c>
      <c r="BA34" s="58">
        <f t="shared" si="30"/>
        <v>28</v>
      </c>
      <c r="BB34" s="58">
        <f t="shared" si="30"/>
        <v>28</v>
      </c>
      <c r="BC34" s="58">
        <f t="shared" si="30"/>
        <v>28</v>
      </c>
      <c r="BD34" s="58">
        <f t="shared" si="30"/>
        <v>28</v>
      </c>
      <c r="BE34" s="58">
        <f t="shared" si="30"/>
        <v>28</v>
      </c>
      <c r="BF34" s="58">
        <f t="shared" si="30"/>
        <v>28</v>
      </c>
      <c r="BG34" s="58">
        <f t="shared" si="30"/>
        <v>28</v>
      </c>
      <c r="BH34" s="58">
        <f t="shared" si="30"/>
        <v>28</v>
      </c>
      <c r="BI34" s="58">
        <f t="shared" si="30"/>
        <v>28</v>
      </c>
      <c r="BJ34" s="58">
        <f t="shared" si="30"/>
        <v>28</v>
      </c>
      <c r="BK34" s="58">
        <f t="shared" si="30"/>
        <v>28</v>
      </c>
      <c r="BL34" s="58">
        <f t="shared" si="30"/>
        <v>28</v>
      </c>
      <c r="BM34" s="58">
        <f t="shared" si="30"/>
        <v>28</v>
      </c>
      <c r="BN34" s="58">
        <f t="shared" si="30"/>
        <v>28</v>
      </c>
      <c r="BO34" s="58">
        <f t="shared" si="30"/>
        <v>28</v>
      </c>
      <c r="BP34" s="58">
        <f t="shared" si="30"/>
        <v>28</v>
      </c>
      <c r="BQ34" s="58">
        <f t="shared" si="30"/>
        <v>28</v>
      </c>
      <c r="BR34" s="58">
        <f t="shared" si="30"/>
        <v>28</v>
      </c>
      <c r="BS34" s="58">
        <f t="shared" si="30"/>
        <v>28</v>
      </c>
      <c r="BT34" s="58">
        <f t="shared" si="30"/>
        <v>28</v>
      </c>
      <c r="BU34" s="58">
        <f t="shared" si="30"/>
        <v>28</v>
      </c>
      <c r="BV34" s="58">
        <f t="shared" si="30"/>
        <v>28</v>
      </c>
      <c r="BW34" s="58">
        <f t="shared" si="30"/>
        <v>28</v>
      </c>
      <c r="BX34" s="58">
        <f t="shared" si="30"/>
        <v>28</v>
      </c>
      <c r="BY34" s="58">
        <f t="shared" si="30"/>
        <v>28</v>
      </c>
      <c r="BZ34" s="58">
        <f t="shared" si="30"/>
        <v>28</v>
      </c>
      <c r="CA34" s="58">
        <f t="shared" si="30"/>
        <v>28</v>
      </c>
      <c r="CB34" s="58">
        <f t="shared" si="30"/>
        <v>28</v>
      </c>
      <c r="CC34" s="58">
        <f t="shared" si="30"/>
        <v>28</v>
      </c>
      <c r="CD34" s="58">
        <f t="shared" si="30"/>
        <v>28</v>
      </c>
      <c r="CE34" s="58">
        <f t="shared" si="30"/>
        <v>28</v>
      </c>
      <c r="CF34" s="58">
        <f t="shared" si="30"/>
        <v>28</v>
      </c>
      <c r="CG34" s="58">
        <f t="shared" si="30"/>
        <v>28</v>
      </c>
      <c r="CH34" s="58">
        <f t="shared" si="30"/>
        <v>28</v>
      </c>
      <c r="CI34" s="58">
        <f t="shared" si="30"/>
        <v>28</v>
      </c>
      <c r="CJ34" s="58">
        <f t="shared" si="30"/>
        <v>28</v>
      </c>
      <c r="CK34" s="58">
        <f t="shared" si="30"/>
        <v>28</v>
      </c>
      <c r="CL34" s="58">
        <f t="shared" si="31"/>
        <v>28</v>
      </c>
      <c r="CM34" s="58">
        <f t="shared" si="31"/>
        <v>28</v>
      </c>
      <c r="CN34" s="58">
        <f t="shared" si="31"/>
        <v>28</v>
      </c>
      <c r="CO34" s="58">
        <f t="shared" si="31"/>
        <v>0</v>
      </c>
      <c r="CP34" s="58">
        <f t="shared" si="31"/>
        <v>0</v>
      </c>
      <c r="CQ34" s="58">
        <f t="shared" si="31"/>
        <v>0</v>
      </c>
      <c r="CR34" s="58">
        <f t="shared" si="31"/>
        <v>0</v>
      </c>
      <c r="CS34" s="58">
        <f t="shared" si="31"/>
        <v>0</v>
      </c>
      <c r="CT34" s="58">
        <f t="shared" si="31"/>
        <v>0</v>
      </c>
      <c r="CU34" s="58">
        <f t="shared" si="31"/>
        <v>0</v>
      </c>
      <c r="CV34" s="58">
        <f t="shared" si="31"/>
        <v>0</v>
      </c>
      <c r="CW34" s="58">
        <f t="shared" si="31"/>
        <v>0</v>
      </c>
      <c r="CX34" s="58">
        <f t="shared" si="31"/>
        <v>0</v>
      </c>
      <c r="CY34" s="58">
        <f t="shared" si="31"/>
        <v>0</v>
      </c>
      <c r="CZ34" s="58">
        <f t="shared" si="31"/>
        <v>0</v>
      </c>
      <c r="DA34" s="58">
        <f t="shared" si="31"/>
        <v>0</v>
      </c>
      <c r="DB34" s="58">
        <f t="shared" si="31"/>
        <v>0</v>
      </c>
      <c r="DC34" s="58">
        <f t="shared" si="31"/>
        <v>0</v>
      </c>
      <c r="DD34" s="58">
        <f t="shared" si="31"/>
        <v>0</v>
      </c>
      <c r="DE34" s="58">
        <f t="shared" si="31"/>
        <v>0</v>
      </c>
      <c r="DF34" s="58">
        <f t="shared" si="31"/>
        <v>0</v>
      </c>
      <c r="DG34" s="58">
        <f t="shared" si="31"/>
        <v>0</v>
      </c>
      <c r="DH34" s="58">
        <f t="shared" si="31"/>
        <v>0</v>
      </c>
      <c r="DI34" s="58">
        <f t="shared" si="31"/>
        <v>0</v>
      </c>
      <c r="DJ34" s="58">
        <f t="shared" si="31"/>
        <v>0</v>
      </c>
      <c r="DK34" s="58">
        <f t="shared" si="31"/>
        <v>0</v>
      </c>
      <c r="DL34" s="58">
        <f t="shared" si="31"/>
        <v>0</v>
      </c>
      <c r="DM34" s="58">
        <f t="shared" si="31"/>
        <v>0</v>
      </c>
      <c r="DN34" s="58">
        <f t="shared" si="31"/>
        <v>0</v>
      </c>
      <c r="DO34" s="58">
        <f t="shared" si="31"/>
        <v>0</v>
      </c>
      <c r="DP34" s="58">
        <f t="shared" si="31"/>
        <v>0</v>
      </c>
      <c r="DQ34" s="58">
        <f t="shared" si="31"/>
        <v>0</v>
      </c>
      <c r="DR34" s="58">
        <f t="shared" si="31"/>
        <v>0</v>
      </c>
      <c r="DS34" s="58">
        <f t="shared" si="31"/>
        <v>0</v>
      </c>
      <c r="DT34" s="58">
        <f t="shared" si="31"/>
        <v>0</v>
      </c>
      <c r="DU34" s="58">
        <f t="shared" si="31"/>
        <v>0</v>
      </c>
      <c r="DV34" s="58">
        <f t="shared" si="31"/>
        <v>0</v>
      </c>
      <c r="DW34" s="58">
        <f t="shared" si="31"/>
        <v>0</v>
      </c>
      <c r="DX34" s="58">
        <f t="shared" si="31"/>
        <v>0</v>
      </c>
      <c r="DY34" s="58">
        <f t="shared" si="31"/>
        <v>0</v>
      </c>
    </row>
    <row r="35" spans="1:129" x14ac:dyDescent="0.45">
      <c r="A35" s="3"/>
      <c r="B35" s="2"/>
      <c r="C35" s="121" t="s">
        <v>265</v>
      </c>
      <c r="D35" s="17"/>
      <c r="E35" s="2"/>
      <c r="F35" s="2"/>
      <c r="G35" s="2"/>
      <c r="H35" s="2"/>
      <c r="I35" s="13"/>
      <c r="J35" s="58"/>
      <c r="K35" s="58"/>
      <c r="L35" s="58"/>
      <c r="M35" s="58"/>
      <c r="N35" s="58"/>
      <c r="O35" s="58"/>
      <c r="P35" s="58"/>
      <c r="Q35" s="58"/>
      <c r="R35" s="58"/>
      <c r="S35" s="58"/>
      <c r="T35" s="58"/>
      <c r="U35" s="97">
        <f>'Plan Moyen Terme (PMT)'!C13-U34</f>
        <v>0</v>
      </c>
      <c r="V35" s="127">
        <f>IF(AND($U1&lt;V$1, V$1&lt;$F$34),$U$35,0)</f>
        <v>0</v>
      </c>
      <c r="W35" s="127">
        <f>IF(AND($U1&lt;W$1, W$1&lt;$F$34),$U$35,0)</f>
        <v>0</v>
      </c>
      <c r="X35" s="127">
        <f t="shared" ref="X35:CI35" si="32">IF(AND($U1&lt;X$1, X$1&lt;$F$34),$U$35,0)</f>
        <v>0</v>
      </c>
      <c r="Y35" s="127">
        <f t="shared" si="32"/>
        <v>0</v>
      </c>
      <c r="Z35" s="127">
        <f t="shared" si="32"/>
        <v>0</v>
      </c>
      <c r="AA35" s="127">
        <f t="shared" si="32"/>
        <v>0</v>
      </c>
      <c r="AB35" s="127">
        <f t="shared" si="32"/>
        <v>0</v>
      </c>
      <c r="AC35" s="127">
        <f t="shared" si="32"/>
        <v>0</v>
      </c>
      <c r="AD35" s="127">
        <f t="shared" si="32"/>
        <v>0</v>
      </c>
      <c r="AE35" s="127">
        <f t="shared" si="32"/>
        <v>0</v>
      </c>
      <c r="AF35" s="127">
        <f t="shared" si="32"/>
        <v>0</v>
      </c>
      <c r="AG35" s="127">
        <f t="shared" si="32"/>
        <v>0</v>
      </c>
      <c r="AH35" s="127">
        <f t="shared" si="32"/>
        <v>0</v>
      </c>
      <c r="AI35" s="127">
        <f t="shared" si="32"/>
        <v>0</v>
      </c>
      <c r="AJ35" s="127">
        <f t="shared" si="32"/>
        <v>0</v>
      </c>
      <c r="AK35" s="127">
        <f t="shared" si="32"/>
        <v>0</v>
      </c>
      <c r="AL35" s="127">
        <f t="shared" si="32"/>
        <v>0</v>
      </c>
      <c r="AM35" s="127">
        <f t="shared" si="32"/>
        <v>0</v>
      </c>
      <c r="AN35" s="127">
        <f t="shared" si="32"/>
        <v>0</v>
      </c>
      <c r="AO35" s="127">
        <f t="shared" si="32"/>
        <v>0</v>
      </c>
      <c r="AP35" s="127">
        <f t="shared" si="32"/>
        <v>0</v>
      </c>
      <c r="AQ35" s="127">
        <f t="shared" si="32"/>
        <v>0</v>
      </c>
      <c r="AR35" s="127">
        <f t="shared" si="32"/>
        <v>0</v>
      </c>
      <c r="AS35" s="127">
        <f t="shared" si="32"/>
        <v>0</v>
      </c>
      <c r="AT35" s="127">
        <f t="shared" si="32"/>
        <v>0</v>
      </c>
      <c r="AU35" s="127">
        <f t="shared" si="32"/>
        <v>0</v>
      </c>
      <c r="AV35" s="127">
        <f t="shared" si="32"/>
        <v>0</v>
      </c>
      <c r="AW35" s="127">
        <f t="shared" si="32"/>
        <v>0</v>
      </c>
      <c r="AX35" s="127">
        <f t="shared" si="32"/>
        <v>0</v>
      </c>
      <c r="AY35" s="127">
        <f t="shared" si="32"/>
        <v>0</v>
      </c>
      <c r="AZ35" s="127">
        <f t="shared" si="32"/>
        <v>0</v>
      </c>
      <c r="BA35" s="127">
        <f t="shared" si="32"/>
        <v>0</v>
      </c>
      <c r="BB35" s="127">
        <f t="shared" si="32"/>
        <v>0</v>
      </c>
      <c r="BC35" s="127">
        <f t="shared" si="32"/>
        <v>0</v>
      </c>
      <c r="BD35" s="127">
        <f t="shared" si="32"/>
        <v>0</v>
      </c>
      <c r="BE35" s="127">
        <f t="shared" si="32"/>
        <v>0</v>
      </c>
      <c r="BF35" s="127">
        <f t="shared" si="32"/>
        <v>0</v>
      </c>
      <c r="BG35" s="127">
        <f t="shared" si="32"/>
        <v>0</v>
      </c>
      <c r="BH35" s="127">
        <f t="shared" si="32"/>
        <v>0</v>
      </c>
      <c r="BI35" s="127">
        <f t="shared" si="32"/>
        <v>0</v>
      </c>
      <c r="BJ35" s="127">
        <f t="shared" si="32"/>
        <v>0</v>
      </c>
      <c r="BK35" s="127">
        <f t="shared" si="32"/>
        <v>0</v>
      </c>
      <c r="BL35" s="127">
        <f t="shared" si="32"/>
        <v>0</v>
      </c>
      <c r="BM35" s="127">
        <f t="shared" si="32"/>
        <v>0</v>
      </c>
      <c r="BN35" s="127">
        <f t="shared" si="32"/>
        <v>0</v>
      </c>
      <c r="BO35" s="127">
        <f t="shared" si="32"/>
        <v>0</v>
      </c>
      <c r="BP35" s="127">
        <f t="shared" si="32"/>
        <v>0</v>
      </c>
      <c r="BQ35" s="127">
        <f t="shared" si="32"/>
        <v>0</v>
      </c>
      <c r="BR35" s="127">
        <f t="shared" si="32"/>
        <v>0</v>
      </c>
      <c r="BS35" s="127">
        <f t="shared" si="32"/>
        <v>0</v>
      </c>
      <c r="BT35" s="127">
        <f t="shared" si="32"/>
        <v>0</v>
      </c>
      <c r="BU35" s="127">
        <f t="shared" si="32"/>
        <v>0</v>
      </c>
      <c r="BV35" s="127">
        <f t="shared" si="32"/>
        <v>0</v>
      </c>
      <c r="BW35" s="127">
        <f t="shared" si="32"/>
        <v>0</v>
      </c>
      <c r="BX35" s="127">
        <f t="shared" si="32"/>
        <v>0</v>
      </c>
      <c r="BY35" s="127">
        <f t="shared" si="32"/>
        <v>0</v>
      </c>
      <c r="BZ35" s="127">
        <f t="shared" si="32"/>
        <v>0</v>
      </c>
      <c r="CA35" s="127">
        <f t="shared" si="32"/>
        <v>0</v>
      </c>
      <c r="CB35" s="127">
        <f t="shared" si="32"/>
        <v>0</v>
      </c>
      <c r="CC35" s="127">
        <f t="shared" si="32"/>
        <v>0</v>
      </c>
      <c r="CD35" s="127">
        <f t="shared" si="32"/>
        <v>0</v>
      </c>
      <c r="CE35" s="127">
        <f t="shared" si="32"/>
        <v>0</v>
      </c>
      <c r="CF35" s="127">
        <f t="shared" si="32"/>
        <v>0</v>
      </c>
      <c r="CG35" s="127">
        <f t="shared" si="32"/>
        <v>0</v>
      </c>
      <c r="CH35" s="127">
        <f t="shared" si="32"/>
        <v>0</v>
      </c>
      <c r="CI35" s="127">
        <f t="shared" si="32"/>
        <v>0</v>
      </c>
      <c r="CJ35" s="127">
        <f t="shared" ref="CJ35:CO35" si="33">IF(AND($U1&lt;CJ$1, CJ$1&lt;$F$34),$U$35,0)</f>
        <v>0</v>
      </c>
      <c r="CK35" s="127">
        <f t="shared" si="33"/>
        <v>0</v>
      </c>
      <c r="CL35" s="127">
        <f t="shared" si="33"/>
        <v>0</v>
      </c>
      <c r="CM35" s="127">
        <f t="shared" si="33"/>
        <v>0</v>
      </c>
      <c r="CN35" s="127">
        <f t="shared" si="33"/>
        <v>0</v>
      </c>
      <c r="CO35" s="127">
        <f t="shared" si="33"/>
        <v>0</v>
      </c>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row>
    <row r="36" spans="1:129" x14ac:dyDescent="0.45">
      <c r="A36" s="3"/>
      <c r="B36" s="2"/>
      <c r="C36" s="122" t="s">
        <v>266</v>
      </c>
      <c r="D36" s="17"/>
      <c r="E36" s="2"/>
      <c r="F36" s="2"/>
      <c r="G36" s="2"/>
      <c r="H36" s="2"/>
      <c r="I36" s="13"/>
      <c r="J36" s="58"/>
      <c r="K36" s="58"/>
      <c r="L36" s="58"/>
      <c r="M36" s="58"/>
      <c r="N36" s="58"/>
      <c r="O36" s="58"/>
      <c r="P36" s="58"/>
      <c r="Q36" s="58"/>
      <c r="R36" s="58"/>
      <c r="S36" s="58"/>
      <c r="T36" s="58"/>
      <c r="U36" s="97"/>
      <c r="V36" s="58"/>
      <c r="W36" s="58"/>
      <c r="X36" s="58"/>
      <c r="Y36" s="58"/>
      <c r="Z36" s="58"/>
      <c r="AA36" s="58"/>
      <c r="AB36" s="58"/>
      <c r="AC36" s="58"/>
      <c r="AD36" s="58"/>
      <c r="AE36" s="58"/>
      <c r="AF36" s="58"/>
      <c r="AG36" s="103">
        <f>'Plan Moyen Terme (PMT)'!D13-BAU_Liquidité_Dynamique!AG34</f>
        <v>9184</v>
      </c>
      <c r="AH36" s="123">
        <f>IF(AND($AG1&lt;AH$1, AH$1&lt;$F$34),$AG$36,0)</f>
        <v>9184</v>
      </c>
      <c r="AI36" s="123">
        <f>IF(AND($AG1&lt;AI$1, AI$1&lt;$F$34),$AG$36,0)</f>
        <v>9184</v>
      </c>
      <c r="AJ36" s="123">
        <f>IF(AND($AG1&lt;AJ$1, AJ$1&lt;$F$34),$AG$36,0)</f>
        <v>9184</v>
      </c>
      <c r="AK36" s="123">
        <f>IF(AND($AG1&lt;AK$1, AK$1&lt;$F$34),$AG$36,0)</f>
        <v>9184</v>
      </c>
      <c r="AL36" s="123">
        <f>IF(AND($AG1&lt;AL$1, AL$1&lt;$F$34),$AG$36,0)</f>
        <v>9184</v>
      </c>
      <c r="AM36" s="123">
        <f>IF(AND($AG1&lt;AM$1, AM$1&lt;$F$34),$AG$36,0)</f>
        <v>9184</v>
      </c>
      <c r="AN36" s="123">
        <f>IF(AND($AG1&lt;AN$1, AN$1&lt;$F$34),$AG$36,0)</f>
        <v>9184</v>
      </c>
      <c r="AO36" s="123">
        <f>IF(AND($AG1&lt;AO$1, AO$1&lt;$F$34),$AG$36,0)</f>
        <v>9184</v>
      </c>
      <c r="AP36" s="123">
        <f>IF(AND($AG1&lt;AP$1, AP$1&lt;$F$34),$AG$36,0)</f>
        <v>9184</v>
      </c>
      <c r="AQ36" s="123">
        <f>IF(AND($AG1&lt;AQ$1, AQ$1&lt;$F$34),$AG$36,0)</f>
        <v>9184</v>
      </c>
      <c r="AR36" s="123">
        <f>IF(AND($AG1&lt;AR$1, AR$1&lt;$F$34),$AG$36,0)</f>
        <v>9184</v>
      </c>
      <c r="AS36" s="123">
        <f>IF(AND($AG1&lt;AS$1, AS$1&lt;$F$34),$AG$36,0)</f>
        <v>9184</v>
      </c>
      <c r="AT36" s="123">
        <f>IF(AND($AG1&lt;AT$1, AT$1&lt;$F$34),$AG$36,0)</f>
        <v>9184</v>
      </c>
      <c r="AU36" s="123">
        <f>IF(AND($AG1&lt;AU$1, AU$1&lt;$F$34),$AG$36,0)</f>
        <v>9184</v>
      </c>
      <c r="AV36" s="123">
        <f>IF(AND($AG1&lt;AV$1, AV$1&lt;$F$34),$AG$36,0)</f>
        <v>9184</v>
      </c>
      <c r="AW36" s="123">
        <f>IF(AND($AG1&lt;AW$1, AW$1&lt;$F$34),$AG$36,0)</f>
        <v>9184</v>
      </c>
      <c r="AX36" s="123">
        <f>IF(AND($AG1&lt;AX$1, AX$1&lt;$F$34),$AG$36,0)</f>
        <v>9184</v>
      </c>
      <c r="AY36" s="123">
        <f>IF(AND($AG1&lt;AY$1, AY$1&lt;$F$34),$AG$36,0)</f>
        <v>9184</v>
      </c>
      <c r="AZ36" s="123">
        <f>IF(AND($AG1&lt;AZ$1, AZ$1&lt;$F$34),$AG$36,0)</f>
        <v>9184</v>
      </c>
      <c r="BA36" s="123">
        <f>IF(AND($AG1&lt;BA$1, BA$1&lt;$F$34),$AG$36,0)</f>
        <v>9184</v>
      </c>
      <c r="BB36" s="123">
        <f>IF(AND($AG1&lt;BB$1, BB$1&lt;$F$34),$AG$36,0)</f>
        <v>9184</v>
      </c>
      <c r="BC36" s="123">
        <f>IF(AND($AG1&lt;BC$1, BC$1&lt;$F$34),$AG$36,0)</f>
        <v>9184</v>
      </c>
      <c r="BD36" s="123">
        <f>IF(AND($AG1&lt;BD$1, BD$1&lt;$F$34),$AG$36,0)</f>
        <v>9184</v>
      </c>
      <c r="BE36" s="123">
        <f>IF(AND($AG1&lt;BE$1, BE$1&lt;$F$34),$AG$36,0)</f>
        <v>9184</v>
      </c>
      <c r="BF36" s="123">
        <f>IF(AND($AG1&lt;BF$1, BF$1&lt;$F$34),$AG$36,0)</f>
        <v>9184</v>
      </c>
      <c r="BG36" s="123">
        <f>IF(AND($AG1&lt;BG$1, BG$1&lt;$F$34),$AG$36,0)</f>
        <v>9184</v>
      </c>
      <c r="BH36" s="123">
        <f>IF(AND($AG1&lt;BH$1, BH$1&lt;$F$34),$AG$36,0)</f>
        <v>9184</v>
      </c>
      <c r="BI36" s="123">
        <f>IF(AND($AG1&lt;BI$1, BI$1&lt;$F$34),$AG$36,0)</f>
        <v>9184</v>
      </c>
      <c r="BJ36" s="123">
        <f>IF(AND($AG1&lt;BJ$1, BJ$1&lt;$F$34),$AG$36,0)</f>
        <v>9184</v>
      </c>
      <c r="BK36" s="123">
        <f>IF(AND($AG1&lt;BK$1, BK$1&lt;$F$34),$AG$36,0)</f>
        <v>9184</v>
      </c>
      <c r="BL36" s="123">
        <f>IF(AND($AG1&lt;BL$1, BL$1&lt;$F$34),$AG$36,0)</f>
        <v>9184</v>
      </c>
      <c r="BM36" s="123">
        <f>IF(AND($AG1&lt;BM$1, BM$1&lt;$F$34),$AG$36,0)</f>
        <v>9184</v>
      </c>
      <c r="BN36" s="123">
        <f>IF(AND($AG1&lt;BN$1, BN$1&lt;$F$34),$AG$36,0)</f>
        <v>9184</v>
      </c>
      <c r="BO36" s="123">
        <f>IF(AND($AG1&lt;BO$1, BO$1&lt;$F$34),$AG$36,0)</f>
        <v>9184</v>
      </c>
      <c r="BP36" s="123">
        <f>IF(AND($AG1&lt;BP$1, BP$1&lt;$F$34),$AG$36,0)</f>
        <v>9184</v>
      </c>
      <c r="BQ36" s="123">
        <f>IF(AND($AG1&lt;BQ$1, BQ$1&lt;$F$34),$AG$36,0)</f>
        <v>9184</v>
      </c>
      <c r="BR36" s="123">
        <f>IF(AND($AG1&lt;BR$1, BR$1&lt;$F$34),$AG$36,0)</f>
        <v>9184</v>
      </c>
      <c r="BS36" s="123">
        <f>IF(AND($AG1&lt;BS$1, BS$1&lt;$F$34),$AG$36,0)</f>
        <v>9184</v>
      </c>
      <c r="BT36" s="123">
        <f>IF(AND($AG1&lt;BT$1, BT$1&lt;$F$34),$AG$36,0)</f>
        <v>9184</v>
      </c>
      <c r="BU36" s="123">
        <f>IF(AND($AG1&lt;BU$1, BU$1&lt;$F$34),$AG$36,0)</f>
        <v>9184</v>
      </c>
      <c r="BV36" s="123">
        <f>IF(AND($AG1&lt;BV$1, BV$1&lt;$F$34),$AG$36,0)</f>
        <v>9184</v>
      </c>
      <c r="BW36" s="123">
        <f>IF(AND($AG1&lt;BW$1, BW$1&lt;$F$34),$AG$36,0)</f>
        <v>9184</v>
      </c>
      <c r="BX36" s="123">
        <f>IF(AND($AG1&lt;BX$1, BX$1&lt;$F$34),$AG$36,0)</f>
        <v>9184</v>
      </c>
      <c r="BY36" s="123">
        <f>IF(AND($AG1&lt;BY$1, BY$1&lt;$F$34),$AG$36,0)</f>
        <v>9184</v>
      </c>
      <c r="BZ36" s="123">
        <f>IF(AND($AG1&lt;BZ$1, BZ$1&lt;$F$34),$AG$36,0)</f>
        <v>9184</v>
      </c>
      <c r="CA36" s="123">
        <f>IF(AND($AG1&lt;CA$1, CA$1&lt;$F$34),$AG$36,0)</f>
        <v>9184</v>
      </c>
      <c r="CB36" s="123">
        <f>IF(AND($AG1&lt;CB$1, CB$1&lt;$F$34),$AG$36,0)</f>
        <v>9184</v>
      </c>
      <c r="CC36" s="123">
        <f>IF(AND($AG1&lt;CC$1, CC$1&lt;$F$34),$AG$36,0)</f>
        <v>9184</v>
      </c>
      <c r="CD36" s="123">
        <f>IF(AND($AG1&lt;CD$1, CD$1&lt;$F$34),$AG$36,0)</f>
        <v>9184</v>
      </c>
      <c r="CE36" s="123">
        <f>IF(AND($AG1&lt;CE$1, CE$1&lt;$F$34),$AG$36,0)</f>
        <v>9184</v>
      </c>
      <c r="CF36" s="123">
        <f>IF(AND($AG1&lt;CF$1, CF$1&lt;$F$34),$AG$36,0)</f>
        <v>9184</v>
      </c>
      <c r="CG36" s="123">
        <f>IF(AND($AG1&lt;CG$1, CG$1&lt;$F$34),$AG$36,0)</f>
        <v>9184</v>
      </c>
      <c r="CH36" s="123">
        <f>IF(AND($AG1&lt;CH$1, CH$1&lt;$F$34),$AG$36,0)</f>
        <v>9184</v>
      </c>
      <c r="CI36" s="123">
        <f>IF(AND($AG1&lt;CI$1, CI$1&lt;$F$34),$AG$36,0)</f>
        <v>9184</v>
      </c>
      <c r="CJ36" s="123">
        <f>IF(AND($AG1&lt;CJ$1, CJ$1&lt;$F$34),$AG$36,0)</f>
        <v>9184</v>
      </c>
      <c r="CK36" s="123">
        <f>IF(AND($AG1&lt;CK$1, CK$1&lt;$F$34),$AG$36,0)</f>
        <v>9184</v>
      </c>
      <c r="CL36" s="123">
        <f>IF(AND($AG1&lt;CL$1, CL$1&lt;$F$34),$AG$36,0)</f>
        <v>9184</v>
      </c>
      <c r="CM36" s="123">
        <f>IF(AND($AG1&lt;CM$1, CM$1&lt;$F$34),$AG$36,0)</f>
        <v>9184</v>
      </c>
      <c r="CN36" s="123">
        <f>IF(AND($AG1&lt;CN$1, CN$1&lt;$F$34),$AG$36,0)</f>
        <v>9184</v>
      </c>
      <c r="CO36" s="123">
        <f>IF(AND($AG1&lt;CO$1, CO$1&lt;$F$34),$AG$36,0)</f>
        <v>0</v>
      </c>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row>
    <row r="37" spans="1:129" x14ac:dyDescent="0.45">
      <c r="A37" s="3"/>
      <c r="B37" s="2"/>
      <c r="C37" s="125" t="s">
        <v>267</v>
      </c>
      <c r="D37" s="17"/>
      <c r="E37" s="2"/>
      <c r="F37" s="2"/>
      <c r="G37" s="2"/>
      <c r="H37" s="2"/>
      <c r="I37" s="13"/>
      <c r="J37" s="58"/>
      <c r="K37" s="58"/>
      <c r="L37" s="58"/>
      <c r="M37" s="58"/>
      <c r="N37" s="58"/>
      <c r="O37" s="58"/>
      <c r="P37" s="58"/>
      <c r="Q37" s="58"/>
      <c r="R37" s="58"/>
      <c r="S37" s="58"/>
      <c r="T37" s="58"/>
      <c r="U37" s="97"/>
      <c r="V37" s="58"/>
      <c r="W37" s="58"/>
      <c r="X37" s="58"/>
      <c r="Y37" s="58"/>
      <c r="Z37" s="58"/>
      <c r="AA37" s="58"/>
      <c r="AB37" s="58"/>
      <c r="AC37" s="58"/>
      <c r="AD37" s="58"/>
      <c r="AE37" s="58"/>
      <c r="AF37" s="58"/>
      <c r="AG37" s="103"/>
      <c r="AH37" s="58"/>
      <c r="AI37" s="58"/>
      <c r="AJ37" s="58"/>
      <c r="AK37" s="58"/>
      <c r="AL37" s="58"/>
      <c r="AM37" s="58"/>
      <c r="AN37" s="58"/>
      <c r="AO37" s="58"/>
      <c r="AP37" s="58"/>
      <c r="AQ37" s="58"/>
      <c r="AR37" s="58"/>
      <c r="AS37" s="109">
        <f>'Plan Moyen Terme (PMT)'!E13-BAU_Liquidité_Dynamique!AS34</f>
        <v>9478</v>
      </c>
      <c r="AT37" s="128">
        <f>IF(AND($AS1&lt;AT$1, AT$1&lt;$F$34),$AS$37,0)</f>
        <v>9478</v>
      </c>
      <c r="AU37" s="128">
        <f t="shared" ref="AU37:CO37" si="34">IF(AND($AS1&lt;AU$1, AU$1&lt;$F$34),$AS$37,0)</f>
        <v>9478</v>
      </c>
      <c r="AV37" s="128">
        <f t="shared" si="34"/>
        <v>9478</v>
      </c>
      <c r="AW37" s="128">
        <f t="shared" si="34"/>
        <v>9478</v>
      </c>
      <c r="AX37" s="128">
        <f t="shared" si="34"/>
        <v>9478</v>
      </c>
      <c r="AY37" s="128">
        <f t="shared" si="34"/>
        <v>9478</v>
      </c>
      <c r="AZ37" s="128">
        <f t="shared" si="34"/>
        <v>9478</v>
      </c>
      <c r="BA37" s="128">
        <f t="shared" si="34"/>
        <v>9478</v>
      </c>
      <c r="BB37" s="128">
        <f t="shared" si="34"/>
        <v>9478</v>
      </c>
      <c r="BC37" s="128">
        <f t="shared" si="34"/>
        <v>9478</v>
      </c>
      <c r="BD37" s="128">
        <f t="shared" si="34"/>
        <v>9478</v>
      </c>
      <c r="BE37" s="128">
        <f t="shared" si="34"/>
        <v>9478</v>
      </c>
      <c r="BF37" s="128">
        <f t="shared" si="34"/>
        <v>9478</v>
      </c>
      <c r="BG37" s="128">
        <f t="shared" si="34"/>
        <v>9478</v>
      </c>
      <c r="BH37" s="128">
        <f t="shared" si="34"/>
        <v>9478</v>
      </c>
      <c r="BI37" s="128">
        <f t="shared" si="34"/>
        <v>9478</v>
      </c>
      <c r="BJ37" s="128">
        <f t="shared" si="34"/>
        <v>9478</v>
      </c>
      <c r="BK37" s="128">
        <f t="shared" si="34"/>
        <v>9478</v>
      </c>
      <c r="BL37" s="128">
        <f t="shared" si="34"/>
        <v>9478</v>
      </c>
      <c r="BM37" s="128">
        <f t="shared" si="34"/>
        <v>9478</v>
      </c>
      <c r="BN37" s="128">
        <f t="shared" si="34"/>
        <v>9478</v>
      </c>
      <c r="BO37" s="128">
        <f t="shared" si="34"/>
        <v>9478</v>
      </c>
      <c r="BP37" s="128">
        <f t="shared" si="34"/>
        <v>9478</v>
      </c>
      <c r="BQ37" s="128">
        <f t="shared" si="34"/>
        <v>9478</v>
      </c>
      <c r="BR37" s="128">
        <f t="shared" si="34"/>
        <v>9478</v>
      </c>
      <c r="BS37" s="128">
        <f t="shared" si="34"/>
        <v>9478</v>
      </c>
      <c r="BT37" s="128">
        <f t="shared" si="34"/>
        <v>9478</v>
      </c>
      <c r="BU37" s="128">
        <f t="shared" si="34"/>
        <v>9478</v>
      </c>
      <c r="BV37" s="128">
        <f t="shared" si="34"/>
        <v>9478</v>
      </c>
      <c r="BW37" s="128">
        <f t="shared" si="34"/>
        <v>9478</v>
      </c>
      <c r="BX37" s="128">
        <f t="shared" si="34"/>
        <v>9478</v>
      </c>
      <c r="BY37" s="128">
        <f t="shared" si="34"/>
        <v>9478</v>
      </c>
      <c r="BZ37" s="128">
        <f t="shared" si="34"/>
        <v>9478</v>
      </c>
      <c r="CA37" s="128">
        <f t="shared" si="34"/>
        <v>9478</v>
      </c>
      <c r="CB37" s="128">
        <f t="shared" si="34"/>
        <v>9478</v>
      </c>
      <c r="CC37" s="128">
        <f t="shared" si="34"/>
        <v>9478</v>
      </c>
      <c r="CD37" s="128">
        <f t="shared" si="34"/>
        <v>9478</v>
      </c>
      <c r="CE37" s="128">
        <f t="shared" si="34"/>
        <v>9478</v>
      </c>
      <c r="CF37" s="128">
        <f t="shared" si="34"/>
        <v>9478</v>
      </c>
      <c r="CG37" s="128">
        <f t="shared" si="34"/>
        <v>9478</v>
      </c>
      <c r="CH37" s="128">
        <f t="shared" si="34"/>
        <v>9478</v>
      </c>
      <c r="CI37" s="128">
        <f t="shared" si="34"/>
        <v>9478</v>
      </c>
      <c r="CJ37" s="128">
        <f t="shared" si="34"/>
        <v>9478</v>
      </c>
      <c r="CK37" s="128">
        <f t="shared" si="34"/>
        <v>9478</v>
      </c>
      <c r="CL37" s="128">
        <f t="shared" si="34"/>
        <v>9478</v>
      </c>
      <c r="CM37" s="128">
        <f t="shared" si="34"/>
        <v>9478</v>
      </c>
      <c r="CN37" s="128">
        <f t="shared" si="34"/>
        <v>9478</v>
      </c>
      <c r="CO37" s="128">
        <f t="shared" si="34"/>
        <v>0</v>
      </c>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row>
    <row r="38" spans="1:129" x14ac:dyDescent="0.45">
      <c r="A38" s="3">
        <v>46022</v>
      </c>
      <c r="B38" s="2" t="s">
        <v>0</v>
      </c>
      <c r="C38" s="4" t="s">
        <v>12</v>
      </c>
      <c r="D38" s="17"/>
      <c r="E38" s="2" t="s">
        <v>43</v>
      </c>
      <c r="F38" s="2">
        <v>120</v>
      </c>
      <c r="G38" s="2" t="s">
        <v>43</v>
      </c>
      <c r="H38" s="2">
        <v>120</v>
      </c>
      <c r="I38" s="13">
        <v>82</v>
      </c>
      <c r="J38" s="58">
        <f t="shared" ref="J38:Y42" si="35">IF(J$1&lt;$F38,$I38*(($F38-J$1)/$F38),0)</f>
        <v>81.316666666666663</v>
      </c>
      <c r="K38" s="58">
        <f t="shared" si="35"/>
        <v>80.633333333333326</v>
      </c>
      <c r="L38" s="58">
        <f t="shared" si="35"/>
        <v>79.95</v>
      </c>
      <c r="M38" s="58">
        <f t="shared" si="35"/>
        <v>79.266666666666666</v>
      </c>
      <c r="N38" s="58">
        <f t="shared" si="35"/>
        <v>78.583333333333343</v>
      </c>
      <c r="O38" s="58">
        <f t="shared" si="35"/>
        <v>77.899999999999991</v>
      </c>
      <c r="P38" s="58">
        <f t="shared" si="35"/>
        <v>77.216666666666669</v>
      </c>
      <c r="Q38" s="58">
        <f t="shared" si="35"/>
        <v>76.533333333333331</v>
      </c>
      <c r="R38" s="58">
        <f t="shared" si="35"/>
        <v>75.850000000000009</v>
      </c>
      <c r="S38" s="58">
        <f t="shared" si="35"/>
        <v>75.166666666666657</v>
      </c>
      <c r="T38" s="58">
        <f t="shared" si="35"/>
        <v>74.483333333333334</v>
      </c>
      <c r="U38" s="97">
        <f t="shared" si="35"/>
        <v>73.8</v>
      </c>
      <c r="V38" s="58">
        <f t="shared" si="35"/>
        <v>73.116666666666674</v>
      </c>
      <c r="W38" s="58">
        <f t="shared" si="35"/>
        <v>72.433333333333337</v>
      </c>
      <c r="X38" s="58">
        <f t="shared" si="35"/>
        <v>71.75</v>
      </c>
      <c r="Y38" s="58">
        <f t="shared" si="35"/>
        <v>71.066666666666663</v>
      </c>
      <c r="Z38" s="58">
        <f t="shared" ref="Z38:CK42" si="36">IF(Z$1&lt;$F38,$I38*(($F38-Z$1)/$F38),0)</f>
        <v>70.383333333333326</v>
      </c>
      <c r="AA38" s="58">
        <f t="shared" si="36"/>
        <v>69.7</v>
      </c>
      <c r="AB38" s="58">
        <f t="shared" si="36"/>
        <v>69.016666666666666</v>
      </c>
      <c r="AC38" s="58">
        <f t="shared" si="36"/>
        <v>68.333333333333343</v>
      </c>
      <c r="AD38" s="58">
        <f t="shared" si="36"/>
        <v>67.649999999999991</v>
      </c>
      <c r="AE38" s="58">
        <f t="shared" si="36"/>
        <v>66.966666666666669</v>
      </c>
      <c r="AF38" s="58">
        <f t="shared" si="36"/>
        <v>66.283333333333331</v>
      </c>
      <c r="AG38" s="103">
        <f t="shared" si="36"/>
        <v>65.600000000000009</v>
      </c>
      <c r="AH38" s="58">
        <f t="shared" si="36"/>
        <v>64.916666666666657</v>
      </c>
      <c r="AI38" s="58">
        <f t="shared" si="36"/>
        <v>64.233333333333334</v>
      </c>
      <c r="AJ38" s="58">
        <f t="shared" si="36"/>
        <v>63.550000000000004</v>
      </c>
      <c r="AK38" s="58">
        <f t="shared" si="36"/>
        <v>62.866666666666674</v>
      </c>
      <c r="AL38" s="58">
        <f t="shared" si="36"/>
        <v>62.18333333333333</v>
      </c>
      <c r="AM38" s="58">
        <f t="shared" si="36"/>
        <v>61.5</v>
      </c>
      <c r="AN38" s="58">
        <f t="shared" si="36"/>
        <v>60.81666666666667</v>
      </c>
      <c r="AO38" s="58">
        <f t="shared" si="36"/>
        <v>60.133333333333326</v>
      </c>
      <c r="AP38" s="58">
        <f t="shared" si="36"/>
        <v>59.449999999999996</v>
      </c>
      <c r="AQ38" s="58">
        <f t="shared" si="36"/>
        <v>58.766666666666666</v>
      </c>
      <c r="AR38" s="58">
        <f t="shared" si="36"/>
        <v>58.083333333333336</v>
      </c>
      <c r="AS38" s="109">
        <f t="shared" si="36"/>
        <v>57.4</v>
      </c>
      <c r="AT38" s="58">
        <f t="shared" si="36"/>
        <v>56.716666666666669</v>
      </c>
      <c r="AU38" s="58">
        <f t="shared" si="36"/>
        <v>56.033333333333331</v>
      </c>
      <c r="AV38" s="58">
        <f t="shared" si="36"/>
        <v>55.35</v>
      </c>
      <c r="AW38" s="58">
        <f t="shared" si="36"/>
        <v>54.666666666666664</v>
      </c>
      <c r="AX38" s="58">
        <f t="shared" si="36"/>
        <v>53.983333333333334</v>
      </c>
      <c r="AY38" s="58">
        <f t="shared" si="36"/>
        <v>53.300000000000004</v>
      </c>
      <c r="AZ38" s="58">
        <f t="shared" si="36"/>
        <v>52.616666666666674</v>
      </c>
      <c r="BA38" s="58">
        <f t="shared" si="36"/>
        <v>51.93333333333333</v>
      </c>
      <c r="BB38" s="58">
        <f t="shared" si="36"/>
        <v>51.25</v>
      </c>
      <c r="BC38" s="58">
        <f t="shared" si="36"/>
        <v>50.56666666666667</v>
      </c>
      <c r="BD38" s="58">
        <f t="shared" si="36"/>
        <v>49.883333333333326</v>
      </c>
      <c r="BE38" s="58">
        <f t="shared" si="36"/>
        <v>49.199999999999996</v>
      </c>
      <c r="BF38" s="58">
        <f t="shared" si="36"/>
        <v>48.516666666666666</v>
      </c>
      <c r="BG38" s="58">
        <f t="shared" si="36"/>
        <v>47.833333333333336</v>
      </c>
      <c r="BH38" s="58">
        <f t="shared" si="36"/>
        <v>47.15</v>
      </c>
      <c r="BI38" s="58">
        <f t="shared" si="36"/>
        <v>46.466666666666669</v>
      </c>
      <c r="BJ38" s="58">
        <f t="shared" si="36"/>
        <v>45.783333333333331</v>
      </c>
      <c r="BK38" s="58">
        <f t="shared" si="36"/>
        <v>45.1</v>
      </c>
      <c r="BL38" s="58">
        <f t="shared" si="36"/>
        <v>44.416666666666664</v>
      </c>
      <c r="BM38" s="58">
        <f t="shared" si="36"/>
        <v>43.733333333333334</v>
      </c>
      <c r="BN38" s="58">
        <f t="shared" si="36"/>
        <v>43.050000000000004</v>
      </c>
      <c r="BO38" s="58">
        <f t="shared" si="36"/>
        <v>42.366666666666674</v>
      </c>
      <c r="BP38" s="58">
        <f t="shared" si="36"/>
        <v>41.68333333333333</v>
      </c>
      <c r="BQ38" s="58">
        <f t="shared" si="36"/>
        <v>41</v>
      </c>
      <c r="BR38" s="58">
        <f t="shared" si="36"/>
        <v>40.316666666666663</v>
      </c>
      <c r="BS38" s="58">
        <f t="shared" si="36"/>
        <v>39.633333333333333</v>
      </c>
      <c r="BT38" s="58">
        <f t="shared" si="36"/>
        <v>38.949999999999996</v>
      </c>
      <c r="BU38" s="58">
        <f t="shared" si="36"/>
        <v>38.266666666666666</v>
      </c>
      <c r="BV38" s="58">
        <f t="shared" si="36"/>
        <v>37.583333333333329</v>
      </c>
      <c r="BW38" s="58">
        <f t="shared" si="36"/>
        <v>36.9</v>
      </c>
      <c r="BX38" s="58">
        <f t="shared" si="36"/>
        <v>36.216666666666669</v>
      </c>
      <c r="BY38" s="58">
        <f t="shared" si="36"/>
        <v>35.533333333333331</v>
      </c>
      <c r="BZ38" s="58">
        <f t="shared" si="36"/>
        <v>34.85</v>
      </c>
      <c r="CA38" s="58">
        <f t="shared" si="36"/>
        <v>34.166666666666671</v>
      </c>
      <c r="CB38" s="58">
        <f t="shared" si="36"/>
        <v>33.483333333333334</v>
      </c>
      <c r="CC38" s="58">
        <f t="shared" si="36"/>
        <v>32.800000000000004</v>
      </c>
      <c r="CD38" s="58">
        <f t="shared" si="36"/>
        <v>32.116666666666667</v>
      </c>
      <c r="CE38" s="58">
        <f t="shared" si="36"/>
        <v>31.433333333333337</v>
      </c>
      <c r="CF38" s="58">
        <f t="shared" si="36"/>
        <v>30.75</v>
      </c>
      <c r="CG38" s="58">
        <f t="shared" si="36"/>
        <v>30.066666666666663</v>
      </c>
      <c r="CH38" s="58">
        <f t="shared" si="36"/>
        <v>29.383333333333333</v>
      </c>
      <c r="CI38" s="58">
        <f t="shared" si="36"/>
        <v>28.7</v>
      </c>
      <c r="CJ38" s="58">
        <f t="shared" si="36"/>
        <v>28.016666666666666</v>
      </c>
      <c r="CK38" s="58">
        <f t="shared" si="36"/>
        <v>27.333333333333332</v>
      </c>
      <c r="CL38" s="58">
        <f t="shared" ref="CL38:DY42" si="37">IF(CL$1&lt;$F38,$I38*(($F38-CL$1)/$F38),0)</f>
        <v>26.650000000000002</v>
      </c>
      <c r="CM38" s="58">
        <f t="shared" si="37"/>
        <v>25.966666666666665</v>
      </c>
      <c r="CN38" s="58">
        <f t="shared" si="37"/>
        <v>25.283333333333335</v>
      </c>
      <c r="CO38" s="58">
        <f t="shared" si="37"/>
        <v>24.599999999999998</v>
      </c>
      <c r="CP38" s="58">
        <f t="shared" si="37"/>
        <v>23.916666666666668</v>
      </c>
      <c r="CQ38" s="58">
        <f t="shared" si="37"/>
        <v>23.233333333333334</v>
      </c>
      <c r="CR38" s="58">
        <f t="shared" si="37"/>
        <v>22.55</v>
      </c>
      <c r="CS38" s="58">
        <f t="shared" si="37"/>
        <v>21.866666666666667</v>
      </c>
      <c r="CT38" s="58">
        <f t="shared" si="37"/>
        <v>21.183333333333337</v>
      </c>
      <c r="CU38" s="58">
        <f t="shared" si="37"/>
        <v>20.5</v>
      </c>
      <c r="CV38" s="58">
        <f t="shared" si="37"/>
        <v>19.816666666666666</v>
      </c>
      <c r="CW38" s="58">
        <f t="shared" si="37"/>
        <v>19.133333333333333</v>
      </c>
      <c r="CX38" s="58">
        <f t="shared" si="37"/>
        <v>18.45</v>
      </c>
      <c r="CY38" s="58">
        <f t="shared" si="37"/>
        <v>17.766666666666666</v>
      </c>
      <c r="CZ38" s="58">
        <f t="shared" si="37"/>
        <v>17.083333333333336</v>
      </c>
      <c r="DA38" s="58">
        <f t="shared" si="37"/>
        <v>16.400000000000002</v>
      </c>
      <c r="DB38" s="58">
        <f t="shared" si="37"/>
        <v>15.716666666666669</v>
      </c>
      <c r="DC38" s="58">
        <f t="shared" si="37"/>
        <v>15.033333333333331</v>
      </c>
      <c r="DD38" s="58">
        <f t="shared" si="37"/>
        <v>14.35</v>
      </c>
      <c r="DE38" s="58">
        <f t="shared" si="37"/>
        <v>13.666666666666666</v>
      </c>
      <c r="DF38" s="58">
        <f t="shared" si="37"/>
        <v>12.983333333333333</v>
      </c>
      <c r="DG38" s="58">
        <f t="shared" si="37"/>
        <v>12.299999999999999</v>
      </c>
      <c r="DH38" s="58">
        <f t="shared" si="37"/>
        <v>11.616666666666667</v>
      </c>
      <c r="DI38" s="58">
        <f t="shared" si="37"/>
        <v>10.933333333333334</v>
      </c>
      <c r="DJ38" s="58">
        <f t="shared" si="37"/>
        <v>10.25</v>
      </c>
      <c r="DK38" s="58">
        <f t="shared" si="37"/>
        <v>9.5666666666666664</v>
      </c>
      <c r="DL38" s="58">
        <f t="shared" si="37"/>
        <v>8.8833333333333329</v>
      </c>
      <c r="DM38" s="58">
        <f t="shared" si="37"/>
        <v>8.2000000000000011</v>
      </c>
      <c r="DN38" s="58">
        <f t="shared" si="37"/>
        <v>7.5166666666666657</v>
      </c>
      <c r="DO38" s="58">
        <f t="shared" si="37"/>
        <v>6.833333333333333</v>
      </c>
      <c r="DP38" s="58">
        <f t="shared" si="37"/>
        <v>6.1499999999999995</v>
      </c>
      <c r="DQ38" s="58">
        <f t="shared" si="37"/>
        <v>5.4666666666666668</v>
      </c>
      <c r="DR38" s="58">
        <f t="shared" si="37"/>
        <v>4.7833333333333332</v>
      </c>
      <c r="DS38" s="58">
        <f t="shared" si="37"/>
        <v>4.1000000000000005</v>
      </c>
      <c r="DT38" s="58">
        <f t="shared" si="37"/>
        <v>3.4166666666666665</v>
      </c>
      <c r="DU38" s="58">
        <f t="shared" si="37"/>
        <v>2.7333333333333334</v>
      </c>
      <c r="DV38" s="58">
        <f t="shared" si="37"/>
        <v>2.0500000000000003</v>
      </c>
      <c r="DW38" s="58">
        <f t="shared" si="37"/>
        <v>1.3666666666666667</v>
      </c>
      <c r="DX38" s="58">
        <f t="shared" si="37"/>
        <v>0.68333333333333335</v>
      </c>
      <c r="DY38" s="58">
        <f t="shared" si="37"/>
        <v>0</v>
      </c>
    </row>
    <row r="39" spans="1:129" x14ac:dyDescent="0.45">
      <c r="A39" s="3"/>
      <c r="B39" s="2"/>
      <c r="C39" s="121" t="s">
        <v>265</v>
      </c>
      <c r="D39" s="17"/>
      <c r="E39" s="2"/>
      <c r="F39" s="2"/>
      <c r="G39" s="2"/>
      <c r="H39" s="2"/>
      <c r="I39" s="13"/>
      <c r="J39" s="58"/>
      <c r="K39" s="58"/>
      <c r="L39" s="58"/>
      <c r="M39" s="58"/>
      <c r="N39" s="58"/>
      <c r="O39" s="58"/>
      <c r="P39" s="58"/>
      <c r="Q39" s="58"/>
      <c r="R39" s="58"/>
      <c r="S39" s="58"/>
      <c r="T39" s="58"/>
      <c r="U39" s="119">
        <f>'Plan Moyen Terme (PMT)'!C14-BAU_Liquidité_Dynamique!U38</f>
        <v>-13.799999999999997</v>
      </c>
      <c r="V39" s="120">
        <f>IF(AND(U$1&lt;V$1, V$1&lt;=$F38),$U39*($F38-V$1)/($F38-$U$1),0)</f>
        <v>-13.672222222222219</v>
      </c>
      <c r="W39" s="120">
        <f t="shared" ref="W39:CH39" si="38">IF(AND(V$1&lt;W$1, W$1&lt;=$F38),$U39*($F38-W$1)/($F38-$U$1),0)</f>
        <v>-13.544444444444443</v>
      </c>
      <c r="X39" s="120">
        <f t="shared" si="38"/>
        <v>-13.416666666666664</v>
      </c>
      <c r="Y39" s="120">
        <f t="shared" si="38"/>
        <v>-13.288888888888888</v>
      </c>
      <c r="Z39" s="120">
        <f t="shared" si="38"/>
        <v>-13.161111111111108</v>
      </c>
      <c r="AA39" s="120">
        <f t="shared" si="38"/>
        <v>-13.03333333333333</v>
      </c>
      <c r="AB39" s="120">
        <f t="shared" si="38"/>
        <v>-12.905555555555553</v>
      </c>
      <c r="AC39" s="120">
        <f t="shared" si="38"/>
        <v>-12.777777777777775</v>
      </c>
      <c r="AD39" s="120">
        <f t="shared" si="38"/>
        <v>-12.649999999999999</v>
      </c>
      <c r="AE39" s="120">
        <f t="shared" si="38"/>
        <v>-12.522222222222219</v>
      </c>
      <c r="AF39" s="120">
        <f t="shared" si="38"/>
        <v>-12.394444444444442</v>
      </c>
      <c r="AG39" s="120">
        <f t="shared" si="38"/>
        <v>-12.266666666666664</v>
      </c>
      <c r="AH39" s="120">
        <f t="shared" si="38"/>
        <v>-12.138888888888888</v>
      </c>
      <c r="AI39" s="120">
        <f t="shared" si="38"/>
        <v>-12.011111111111109</v>
      </c>
      <c r="AJ39" s="120">
        <f t="shared" si="38"/>
        <v>-11.883333333333329</v>
      </c>
      <c r="AK39" s="120">
        <f t="shared" si="38"/>
        <v>-11.755555555555553</v>
      </c>
      <c r="AL39" s="120">
        <f t="shared" si="38"/>
        <v>-11.627777777777775</v>
      </c>
      <c r="AM39" s="120">
        <f t="shared" si="38"/>
        <v>-11.499999999999998</v>
      </c>
      <c r="AN39" s="120">
        <f t="shared" si="38"/>
        <v>-11.37222222222222</v>
      </c>
      <c r="AO39" s="120">
        <f t="shared" si="38"/>
        <v>-11.244444444444442</v>
      </c>
      <c r="AP39" s="120">
        <f t="shared" si="38"/>
        <v>-11.116666666666664</v>
      </c>
      <c r="AQ39" s="120">
        <f t="shared" si="38"/>
        <v>-10.988888888888887</v>
      </c>
      <c r="AR39" s="120">
        <f t="shared" si="38"/>
        <v>-10.861111111111109</v>
      </c>
      <c r="AS39" s="120">
        <f t="shared" si="38"/>
        <v>-10.733333333333333</v>
      </c>
      <c r="AT39" s="120">
        <f t="shared" si="38"/>
        <v>-10.605555555555554</v>
      </c>
      <c r="AU39" s="120">
        <f t="shared" si="38"/>
        <v>-10.477777777777774</v>
      </c>
      <c r="AV39" s="120">
        <f t="shared" si="38"/>
        <v>-10.349999999999998</v>
      </c>
      <c r="AW39" s="120">
        <f t="shared" si="38"/>
        <v>-10.22222222222222</v>
      </c>
      <c r="AX39" s="120">
        <f t="shared" si="38"/>
        <v>-10.094444444444443</v>
      </c>
      <c r="AY39" s="120">
        <f t="shared" si="38"/>
        <v>-9.966666666666665</v>
      </c>
      <c r="AZ39" s="120">
        <f t="shared" si="38"/>
        <v>-9.8388888888888868</v>
      </c>
      <c r="BA39" s="120">
        <f t="shared" si="38"/>
        <v>-9.7111111111111086</v>
      </c>
      <c r="BB39" s="120">
        <f t="shared" si="38"/>
        <v>-9.5833333333333304</v>
      </c>
      <c r="BC39" s="120">
        <f t="shared" si="38"/>
        <v>-9.4555555555555539</v>
      </c>
      <c r="BD39" s="120">
        <f t="shared" si="38"/>
        <v>-9.3277777777777757</v>
      </c>
      <c r="BE39" s="120">
        <f t="shared" si="38"/>
        <v>-9.1999999999999975</v>
      </c>
      <c r="BF39" s="120">
        <f t="shared" si="38"/>
        <v>-9.0722222222222211</v>
      </c>
      <c r="BG39" s="120">
        <f t="shared" si="38"/>
        <v>-8.9444444444444429</v>
      </c>
      <c r="BH39" s="120">
        <f t="shared" si="38"/>
        <v>-8.8166666666666647</v>
      </c>
      <c r="BI39" s="120">
        <f t="shared" si="38"/>
        <v>-8.6888888888888882</v>
      </c>
      <c r="BJ39" s="120">
        <f t="shared" si="38"/>
        <v>-8.56111111111111</v>
      </c>
      <c r="BK39" s="120">
        <f t="shared" si="38"/>
        <v>-8.4333333333333318</v>
      </c>
      <c r="BL39" s="120">
        <f t="shared" si="38"/>
        <v>-8.3055555555555536</v>
      </c>
      <c r="BM39" s="120">
        <f t="shared" si="38"/>
        <v>-8.1777777777777754</v>
      </c>
      <c r="BN39" s="120">
        <f t="shared" si="38"/>
        <v>-8.0499999999999989</v>
      </c>
      <c r="BO39" s="120">
        <f t="shared" si="38"/>
        <v>-7.9222222222222207</v>
      </c>
      <c r="BP39" s="120">
        <f t="shared" si="38"/>
        <v>-7.7944444444444434</v>
      </c>
      <c r="BQ39" s="120">
        <f t="shared" si="38"/>
        <v>-7.6666666666666643</v>
      </c>
      <c r="BR39" s="120">
        <f t="shared" si="38"/>
        <v>-7.538888888888887</v>
      </c>
      <c r="BS39" s="120">
        <f t="shared" si="38"/>
        <v>-7.4111111111111097</v>
      </c>
      <c r="BT39" s="120">
        <f t="shared" si="38"/>
        <v>-7.2833333333333314</v>
      </c>
      <c r="BU39" s="120">
        <f t="shared" si="38"/>
        <v>-7.1555555555555541</v>
      </c>
      <c r="BV39" s="120">
        <f t="shared" si="38"/>
        <v>-7.0277777777777768</v>
      </c>
      <c r="BW39" s="120">
        <f t="shared" si="38"/>
        <v>-6.8999999999999986</v>
      </c>
      <c r="BX39" s="120">
        <f t="shared" si="38"/>
        <v>-6.7722222222222213</v>
      </c>
      <c r="BY39" s="120">
        <f t="shared" si="38"/>
        <v>-6.6444444444444439</v>
      </c>
      <c r="BZ39" s="120">
        <f t="shared" si="38"/>
        <v>-6.5166666666666648</v>
      </c>
      <c r="CA39" s="120">
        <f t="shared" si="38"/>
        <v>-6.3888888888888875</v>
      </c>
      <c r="CB39" s="120">
        <f t="shared" si="38"/>
        <v>-6.2611111111111093</v>
      </c>
      <c r="CC39" s="120">
        <f t="shared" si="38"/>
        <v>-6.133333333333332</v>
      </c>
      <c r="CD39" s="120">
        <f t="shared" si="38"/>
        <v>-6.0055555555555546</v>
      </c>
      <c r="CE39" s="120">
        <f t="shared" si="38"/>
        <v>-5.8777777777777764</v>
      </c>
      <c r="CF39" s="120">
        <f t="shared" si="38"/>
        <v>-5.7499999999999991</v>
      </c>
      <c r="CG39" s="120">
        <f t="shared" si="38"/>
        <v>-5.6222222222222209</v>
      </c>
      <c r="CH39" s="120">
        <f t="shared" si="38"/>
        <v>-5.4944444444444436</v>
      </c>
      <c r="CI39" s="120">
        <f t="shared" ref="CI39:DY39" si="39">IF(AND(CH$1&lt;CI$1, CI$1&lt;=$F38),$U39*($F38-CI$1)/($F38-$U$1),0)</f>
        <v>-5.3666666666666663</v>
      </c>
      <c r="CJ39" s="120">
        <f t="shared" si="39"/>
        <v>-5.2388888888888872</v>
      </c>
      <c r="CK39" s="120">
        <f t="shared" si="39"/>
        <v>-5.1111111111111098</v>
      </c>
      <c r="CL39" s="120">
        <f t="shared" si="39"/>
        <v>-4.9833333333333325</v>
      </c>
      <c r="CM39" s="120">
        <f t="shared" si="39"/>
        <v>-4.8555555555555543</v>
      </c>
      <c r="CN39" s="120">
        <f t="shared" si="39"/>
        <v>-4.727777777777777</v>
      </c>
      <c r="CO39" s="120">
        <f t="shared" si="39"/>
        <v>-4.5999999999999988</v>
      </c>
      <c r="CP39" s="120">
        <f t="shared" si="39"/>
        <v>-4.4722222222222214</v>
      </c>
      <c r="CQ39" s="120">
        <f t="shared" si="39"/>
        <v>-4.3444444444444441</v>
      </c>
      <c r="CR39" s="120">
        <f t="shared" si="39"/>
        <v>-4.2166666666666659</v>
      </c>
      <c r="CS39" s="120">
        <f t="shared" si="39"/>
        <v>-4.0888888888888877</v>
      </c>
      <c r="CT39" s="120">
        <f t="shared" si="39"/>
        <v>-3.9611111111111104</v>
      </c>
      <c r="CU39" s="120">
        <f t="shared" si="39"/>
        <v>-3.8333333333333321</v>
      </c>
      <c r="CV39" s="120">
        <f t="shared" si="39"/>
        <v>-3.7055555555555548</v>
      </c>
      <c r="CW39" s="120">
        <f t="shared" si="39"/>
        <v>-3.5777777777777771</v>
      </c>
      <c r="CX39" s="120">
        <f t="shared" si="39"/>
        <v>-3.4499999999999993</v>
      </c>
      <c r="CY39" s="120">
        <f t="shared" si="39"/>
        <v>-3.322222222222222</v>
      </c>
      <c r="CZ39" s="120">
        <f t="shared" si="39"/>
        <v>-3.1944444444444438</v>
      </c>
      <c r="DA39" s="120">
        <f t="shared" si="39"/>
        <v>-3.066666666666666</v>
      </c>
      <c r="DB39" s="120">
        <f t="shared" si="39"/>
        <v>-2.9388888888888882</v>
      </c>
      <c r="DC39" s="120">
        <f t="shared" si="39"/>
        <v>-2.8111111111111104</v>
      </c>
      <c r="DD39" s="120">
        <f t="shared" si="39"/>
        <v>-2.6833333333333331</v>
      </c>
      <c r="DE39" s="120">
        <f t="shared" si="39"/>
        <v>-2.5555555555555549</v>
      </c>
      <c r="DF39" s="120">
        <f t="shared" si="39"/>
        <v>-2.4277777777777771</v>
      </c>
      <c r="DG39" s="120">
        <f t="shared" si="39"/>
        <v>-2.2999999999999994</v>
      </c>
      <c r="DH39" s="120">
        <f t="shared" si="39"/>
        <v>-2.1722222222222221</v>
      </c>
      <c r="DI39" s="120">
        <f t="shared" si="39"/>
        <v>-2.0444444444444438</v>
      </c>
      <c r="DJ39" s="120">
        <f t="shared" si="39"/>
        <v>-1.9166666666666661</v>
      </c>
      <c r="DK39" s="120">
        <f t="shared" si="39"/>
        <v>-1.7888888888888885</v>
      </c>
      <c r="DL39" s="120">
        <f t="shared" si="39"/>
        <v>-1.661111111111111</v>
      </c>
      <c r="DM39" s="120">
        <f t="shared" si="39"/>
        <v>-1.533333333333333</v>
      </c>
      <c r="DN39" s="120">
        <f t="shared" si="39"/>
        <v>-1.4055555555555552</v>
      </c>
      <c r="DO39" s="120">
        <f t="shared" si="39"/>
        <v>-1.2777777777777775</v>
      </c>
      <c r="DP39" s="120">
        <f t="shared" si="39"/>
        <v>-1.1499999999999997</v>
      </c>
      <c r="DQ39" s="120">
        <f t="shared" si="39"/>
        <v>-1.0222222222222219</v>
      </c>
      <c r="DR39" s="120">
        <f t="shared" si="39"/>
        <v>-0.89444444444444426</v>
      </c>
      <c r="DS39" s="120">
        <f t="shared" si="39"/>
        <v>-0.7666666666666665</v>
      </c>
      <c r="DT39" s="120">
        <f t="shared" si="39"/>
        <v>-0.63888888888888873</v>
      </c>
      <c r="DU39" s="120">
        <f t="shared" si="39"/>
        <v>-0.51111111111111096</v>
      </c>
      <c r="DV39" s="120">
        <f t="shared" si="39"/>
        <v>-0.38333333333333325</v>
      </c>
      <c r="DW39" s="120">
        <f t="shared" si="39"/>
        <v>-0.25555555555555548</v>
      </c>
      <c r="DX39" s="120">
        <f t="shared" si="39"/>
        <v>-0.12777777777777774</v>
      </c>
      <c r="DY39" s="120">
        <f t="shared" si="39"/>
        <v>0</v>
      </c>
    </row>
    <row r="40" spans="1:129" x14ac:dyDescent="0.45">
      <c r="A40" s="3"/>
      <c r="B40" s="2"/>
      <c r="C40" s="122" t="s">
        <v>266</v>
      </c>
      <c r="D40" s="17"/>
      <c r="E40" s="2"/>
      <c r="F40" s="2"/>
      <c r="G40" s="2"/>
      <c r="H40" s="2"/>
      <c r="I40" s="13"/>
      <c r="J40" s="58"/>
      <c r="K40" s="58"/>
      <c r="L40" s="58"/>
      <c r="M40" s="58"/>
      <c r="N40" s="58"/>
      <c r="O40" s="58"/>
      <c r="P40" s="58"/>
      <c r="Q40" s="58"/>
      <c r="R40" s="58"/>
      <c r="S40" s="58"/>
      <c r="T40" s="58"/>
      <c r="U40" s="95"/>
      <c r="V40" s="91"/>
      <c r="W40" s="91"/>
      <c r="X40" s="91"/>
      <c r="Y40" s="91"/>
      <c r="Z40" s="55"/>
      <c r="AA40" s="55"/>
      <c r="AB40" s="55"/>
      <c r="AC40" s="55"/>
      <c r="AD40" s="55"/>
      <c r="AE40" s="55"/>
      <c r="AF40" s="55"/>
      <c r="AG40" s="129">
        <f>'Plan Moyen Terme (PMT)'!D14-BAU_Liquidité_Dynamique!AG38</f>
        <v>1.3999999999999915</v>
      </c>
      <c r="AH40" s="124">
        <f>IF(AND(AG$1&lt;AH$1, AH$1&lt;=$F38),$AG40*($F38-AH$1)/($F38-$AG$1),0)</f>
        <v>1.3854166666666583</v>
      </c>
      <c r="AI40" s="124">
        <f t="shared" ref="AI40:CT40" si="40">IF(AND(AH$1&lt;AI$1, AI$1&lt;=$F38),$AG40*($F38-AI$1)/($F38-$AG$1),0)</f>
        <v>1.3708333333333249</v>
      </c>
      <c r="AJ40" s="124">
        <f t="shared" si="40"/>
        <v>1.3562499999999915</v>
      </c>
      <c r="AK40" s="124">
        <f t="shared" si="40"/>
        <v>1.3416666666666586</v>
      </c>
      <c r="AL40" s="124">
        <f t="shared" si="40"/>
        <v>1.3270833333333252</v>
      </c>
      <c r="AM40" s="124">
        <f t="shared" si="40"/>
        <v>1.312499999999992</v>
      </c>
      <c r="AN40" s="124">
        <f t="shared" si="40"/>
        <v>1.2979166666666588</v>
      </c>
      <c r="AO40" s="124">
        <f t="shared" si="40"/>
        <v>1.2833333333333254</v>
      </c>
      <c r="AP40" s="124">
        <f t="shared" si="40"/>
        <v>1.2687499999999923</v>
      </c>
      <c r="AQ40" s="124">
        <f t="shared" si="40"/>
        <v>1.2541666666666591</v>
      </c>
      <c r="AR40" s="124">
        <f t="shared" si="40"/>
        <v>1.2395833333333257</v>
      </c>
      <c r="AS40" s="124">
        <f t="shared" si="40"/>
        <v>1.2249999999999925</v>
      </c>
      <c r="AT40" s="124">
        <f t="shared" si="40"/>
        <v>1.2104166666666594</v>
      </c>
      <c r="AU40" s="124">
        <f t="shared" si="40"/>
        <v>1.195833333333326</v>
      </c>
      <c r="AV40" s="124">
        <f t="shared" si="40"/>
        <v>1.1812499999999928</v>
      </c>
      <c r="AW40" s="124">
        <f t="shared" si="40"/>
        <v>1.1666666666666596</v>
      </c>
      <c r="AX40" s="124">
        <f t="shared" si="40"/>
        <v>1.1520833333333262</v>
      </c>
      <c r="AY40" s="124">
        <f t="shared" si="40"/>
        <v>1.1374999999999931</v>
      </c>
      <c r="AZ40" s="124">
        <f t="shared" si="40"/>
        <v>1.1229166666666599</v>
      </c>
      <c r="BA40" s="124">
        <f t="shared" si="40"/>
        <v>1.1083333333333265</v>
      </c>
      <c r="BB40" s="124">
        <f t="shared" si="40"/>
        <v>1.0937499999999933</v>
      </c>
      <c r="BC40" s="124">
        <f t="shared" si="40"/>
        <v>1.0791666666666602</v>
      </c>
      <c r="BD40" s="124">
        <f t="shared" si="40"/>
        <v>1.0645833333333268</v>
      </c>
      <c r="BE40" s="124">
        <f t="shared" si="40"/>
        <v>1.0499999999999936</v>
      </c>
      <c r="BF40" s="124">
        <f t="shared" si="40"/>
        <v>1.0354166666666604</v>
      </c>
      <c r="BG40" s="124">
        <f t="shared" si="40"/>
        <v>1.020833333333327</v>
      </c>
      <c r="BH40" s="124">
        <f t="shared" si="40"/>
        <v>1.0062499999999939</v>
      </c>
      <c r="BI40" s="124">
        <f t="shared" si="40"/>
        <v>0.99166666666666059</v>
      </c>
      <c r="BJ40" s="124">
        <f t="shared" si="40"/>
        <v>0.97708333333332742</v>
      </c>
      <c r="BK40" s="124">
        <f t="shared" si="40"/>
        <v>0.96249999999999414</v>
      </c>
      <c r="BL40" s="124">
        <f t="shared" si="40"/>
        <v>0.94791666666666086</v>
      </c>
      <c r="BM40" s="124">
        <f t="shared" si="40"/>
        <v>0.93333333333332769</v>
      </c>
      <c r="BN40" s="124">
        <f t="shared" si="40"/>
        <v>0.9187499999999944</v>
      </c>
      <c r="BO40" s="124">
        <f t="shared" si="40"/>
        <v>0.90416666666666112</v>
      </c>
      <c r="BP40" s="124">
        <f t="shared" si="40"/>
        <v>0.88958333333332795</v>
      </c>
      <c r="BQ40" s="124">
        <f t="shared" si="40"/>
        <v>0.87499999999999467</v>
      </c>
      <c r="BR40" s="124">
        <f t="shared" si="40"/>
        <v>0.86041666666666139</v>
      </c>
      <c r="BS40" s="124">
        <f t="shared" si="40"/>
        <v>0.84583333333332822</v>
      </c>
      <c r="BT40" s="124">
        <f t="shared" si="40"/>
        <v>0.83124999999999494</v>
      </c>
      <c r="BU40" s="124">
        <f t="shared" si="40"/>
        <v>0.81666666666666166</v>
      </c>
      <c r="BV40" s="124">
        <f t="shared" si="40"/>
        <v>0.80208333333332849</v>
      </c>
      <c r="BW40" s="124">
        <f t="shared" si="40"/>
        <v>0.7874999999999952</v>
      </c>
      <c r="BX40" s="124">
        <f t="shared" si="40"/>
        <v>0.77291666666666192</v>
      </c>
      <c r="BY40" s="124">
        <f t="shared" si="40"/>
        <v>0.75833333333332875</v>
      </c>
      <c r="BZ40" s="124">
        <f t="shared" si="40"/>
        <v>0.74374999999999547</v>
      </c>
      <c r="CA40" s="124">
        <f t="shared" si="40"/>
        <v>0.72916666666666219</v>
      </c>
      <c r="CB40" s="124">
        <f t="shared" si="40"/>
        <v>0.71458333333332902</v>
      </c>
      <c r="CC40" s="124">
        <f t="shared" si="40"/>
        <v>0.69999999999999574</v>
      </c>
      <c r="CD40" s="124">
        <f t="shared" si="40"/>
        <v>0.68541666666666246</v>
      </c>
      <c r="CE40" s="124">
        <f t="shared" si="40"/>
        <v>0.67083333333332928</v>
      </c>
      <c r="CF40" s="124">
        <f t="shared" si="40"/>
        <v>0.656249999999996</v>
      </c>
      <c r="CG40" s="124">
        <f t="shared" si="40"/>
        <v>0.64166666666666272</v>
      </c>
      <c r="CH40" s="124">
        <f t="shared" si="40"/>
        <v>0.62708333333332955</v>
      </c>
      <c r="CI40" s="124">
        <f t="shared" si="40"/>
        <v>0.61249999999999627</v>
      </c>
      <c r="CJ40" s="124">
        <f t="shared" si="40"/>
        <v>0.59791666666666299</v>
      </c>
      <c r="CK40" s="124">
        <f t="shared" si="40"/>
        <v>0.58333333333332982</v>
      </c>
      <c r="CL40" s="124">
        <f t="shared" si="40"/>
        <v>0.56874999999999654</v>
      </c>
      <c r="CM40" s="124">
        <f t="shared" si="40"/>
        <v>0.55416666666666325</v>
      </c>
      <c r="CN40" s="124">
        <f t="shared" si="40"/>
        <v>0.53958333333333008</v>
      </c>
      <c r="CO40" s="124">
        <f t="shared" si="40"/>
        <v>0.5249999999999968</v>
      </c>
      <c r="CP40" s="124">
        <f t="shared" si="40"/>
        <v>0.51041666666666352</v>
      </c>
      <c r="CQ40" s="124">
        <f t="shared" si="40"/>
        <v>0.4958333333333303</v>
      </c>
      <c r="CR40" s="124">
        <f t="shared" si="40"/>
        <v>0.48124999999999707</v>
      </c>
      <c r="CS40" s="124">
        <f t="shared" si="40"/>
        <v>0.46666666666666384</v>
      </c>
      <c r="CT40" s="124">
        <f t="shared" si="40"/>
        <v>0.45208333333333056</v>
      </c>
      <c r="CU40" s="124">
        <f t="shared" ref="CU40:DY40" si="41">IF(AND(CT$1&lt;CU$1, CU$1&lt;=$F38),$AG40*($F38-CU$1)/($F38-$AG$1),0)</f>
        <v>0.43749999999999734</v>
      </c>
      <c r="CV40" s="124">
        <f t="shared" si="41"/>
        <v>0.42291666666666411</v>
      </c>
      <c r="CW40" s="124">
        <f t="shared" si="41"/>
        <v>0.40833333333333083</v>
      </c>
      <c r="CX40" s="124">
        <f t="shared" si="41"/>
        <v>0.3937499999999976</v>
      </c>
      <c r="CY40" s="124">
        <f t="shared" si="41"/>
        <v>0.37916666666666438</v>
      </c>
      <c r="CZ40" s="124">
        <f t="shared" si="41"/>
        <v>0.36458333333333109</v>
      </c>
      <c r="DA40" s="124">
        <f t="shared" si="41"/>
        <v>0.34999999999999787</v>
      </c>
      <c r="DB40" s="124">
        <f t="shared" si="41"/>
        <v>0.33541666666666464</v>
      </c>
      <c r="DC40" s="124">
        <f t="shared" si="41"/>
        <v>0.32083333333333136</v>
      </c>
      <c r="DD40" s="124">
        <f t="shared" si="41"/>
        <v>0.30624999999999813</v>
      </c>
      <c r="DE40" s="124">
        <f t="shared" si="41"/>
        <v>0.29166666666666491</v>
      </c>
      <c r="DF40" s="124">
        <f t="shared" si="41"/>
        <v>0.27708333333333163</v>
      </c>
      <c r="DG40" s="124">
        <f t="shared" si="41"/>
        <v>0.2624999999999984</v>
      </c>
      <c r="DH40" s="124">
        <f t="shared" si="41"/>
        <v>0.24791666666666515</v>
      </c>
      <c r="DI40" s="124">
        <f t="shared" si="41"/>
        <v>0.23333333333333192</v>
      </c>
      <c r="DJ40" s="124">
        <f t="shared" si="41"/>
        <v>0.21874999999999867</v>
      </c>
      <c r="DK40" s="124">
        <f t="shared" si="41"/>
        <v>0.20416666666666541</v>
      </c>
      <c r="DL40" s="124">
        <f t="shared" si="41"/>
        <v>0.18958333333333219</v>
      </c>
      <c r="DM40" s="124">
        <f t="shared" si="41"/>
        <v>0.17499999999999893</v>
      </c>
      <c r="DN40" s="124">
        <f t="shared" si="41"/>
        <v>0.16041666666666568</v>
      </c>
      <c r="DO40" s="124">
        <f t="shared" si="41"/>
        <v>0.14583333333333245</v>
      </c>
      <c r="DP40" s="124">
        <f t="shared" si="41"/>
        <v>0.1312499999999992</v>
      </c>
      <c r="DQ40" s="124">
        <f t="shared" si="41"/>
        <v>0.11666666666666596</v>
      </c>
      <c r="DR40" s="124">
        <f t="shared" si="41"/>
        <v>0.10208333333333271</v>
      </c>
      <c r="DS40" s="124">
        <f t="shared" si="41"/>
        <v>8.7499999999999467E-2</v>
      </c>
      <c r="DT40" s="124">
        <f t="shared" si="41"/>
        <v>7.2916666666666227E-2</v>
      </c>
      <c r="DU40" s="124">
        <f t="shared" si="41"/>
        <v>5.833333333333298E-2</v>
      </c>
      <c r="DV40" s="124">
        <f t="shared" si="41"/>
        <v>4.3749999999999734E-2</v>
      </c>
      <c r="DW40" s="124">
        <f t="shared" si="41"/>
        <v>2.916666666666649E-2</v>
      </c>
      <c r="DX40" s="124">
        <f t="shared" si="41"/>
        <v>1.4583333333333245E-2</v>
      </c>
      <c r="DY40" s="124">
        <f t="shared" si="41"/>
        <v>0</v>
      </c>
    </row>
    <row r="41" spans="1:129" x14ac:dyDescent="0.45">
      <c r="A41" s="3"/>
      <c r="B41" s="2"/>
      <c r="C41" s="125" t="s">
        <v>267</v>
      </c>
      <c r="D41" s="17"/>
      <c r="E41" s="2"/>
      <c r="F41" s="2"/>
      <c r="G41" s="2"/>
      <c r="H41" s="2"/>
      <c r="I41" s="13"/>
      <c r="J41" s="58"/>
      <c r="K41" s="58"/>
      <c r="L41" s="58"/>
      <c r="M41" s="58"/>
      <c r="N41" s="58"/>
      <c r="O41" s="58"/>
      <c r="P41" s="58"/>
      <c r="Q41" s="58"/>
      <c r="R41" s="58"/>
      <c r="S41" s="58"/>
      <c r="T41" s="58"/>
      <c r="U41" s="96"/>
      <c r="V41" s="55"/>
      <c r="W41" s="55"/>
      <c r="X41" s="55"/>
      <c r="Y41" s="55"/>
      <c r="Z41" s="55"/>
      <c r="AA41" s="55"/>
      <c r="AB41" s="55"/>
      <c r="AC41" s="55"/>
      <c r="AD41" s="55"/>
      <c r="AE41" s="55"/>
      <c r="AF41" s="55"/>
      <c r="AG41" s="102"/>
      <c r="AH41" s="91"/>
      <c r="AI41" s="91"/>
      <c r="AJ41" s="91"/>
      <c r="AK41" s="55"/>
      <c r="AL41" s="55"/>
      <c r="AM41" s="55"/>
      <c r="AN41" s="55"/>
      <c r="AO41" s="55"/>
      <c r="AP41" s="55"/>
      <c r="AQ41" s="55"/>
      <c r="AR41" s="55"/>
      <c r="AS41" s="130">
        <f>'Plan Moyen Terme (PMT)'!E14-BAU_Liquidité_Dynamique!AS38</f>
        <v>-4.3999999999999986</v>
      </c>
      <c r="AT41" s="126">
        <f>IF(AND(AS$1&lt;AT$1, AT$1&lt;=$F38),$AS41*($F38-AT$1)/($F38-$AS$1),0)</f>
        <v>-4.3476190476190464</v>
      </c>
      <c r="AU41" s="126">
        <f t="shared" ref="AU41:DF41" si="42">IF(AND(AT$1&lt;AU$1, AU$1&lt;=$F38),$AS41*($F38-AU$1)/($F38-$AS$1),0)</f>
        <v>-4.2952380952380942</v>
      </c>
      <c r="AV41" s="126">
        <f t="shared" si="42"/>
        <v>-4.2428571428571411</v>
      </c>
      <c r="AW41" s="126">
        <f t="shared" si="42"/>
        <v>-4.1904761904761889</v>
      </c>
      <c r="AX41" s="126">
        <f t="shared" si="42"/>
        <v>-4.1380952380952367</v>
      </c>
      <c r="AY41" s="126">
        <f t="shared" si="42"/>
        <v>-4.0857142857142845</v>
      </c>
      <c r="AZ41" s="126">
        <f t="shared" si="42"/>
        <v>-4.0333333333333323</v>
      </c>
      <c r="BA41" s="126">
        <f t="shared" si="42"/>
        <v>-3.9809523809523792</v>
      </c>
      <c r="BB41" s="126">
        <f t="shared" si="42"/>
        <v>-3.928571428571427</v>
      </c>
      <c r="BC41" s="126">
        <f t="shared" si="42"/>
        <v>-3.8761904761904753</v>
      </c>
      <c r="BD41" s="126">
        <f t="shared" si="42"/>
        <v>-3.8238095238095222</v>
      </c>
      <c r="BE41" s="126">
        <f t="shared" si="42"/>
        <v>-3.77142857142857</v>
      </c>
      <c r="BF41" s="126">
        <f t="shared" si="42"/>
        <v>-3.7190476190476183</v>
      </c>
      <c r="BG41" s="126">
        <f t="shared" si="42"/>
        <v>-3.6666666666666652</v>
      </c>
      <c r="BH41" s="126">
        <f t="shared" si="42"/>
        <v>-3.614285714285713</v>
      </c>
      <c r="BI41" s="126">
        <f t="shared" si="42"/>
        <v>-3.5619047619047612</v>
      </c>
      <c r="BJ41" s="126">
        <f t="shared" si="42"/>
        <v>-3.5095238095238082</v>
      </c>
      <c r="BK41" s="126">
        <f t="shared" si="42"/>
        <v>-3.4571428571428564</v>
      </c>
      <c r="BL41" s="126">
        <f t="shared" si="42"/>
        <v>-3.4047619047619033</v>
      </c>
      <c r="BM41" s="126">
        <f t="shared" si="42"/>
        <v>-3.3523809523809511</v>
      </c>
      <c r="BN41" s="126">
        <f t="shared" si="42"/>
        <v>-3.2999999999999994</v>
      </c>
      <c r="BO41" s="126">
        <f t="shared" si="42"/>
        <v>-3.2476190476190463</v>
      </c>
      <c r="BP41" s="126">
        <f t="shared" si="42"/>
        <v>-3.1952380952380941</v>
      </c>
      <c r="BQ41" s="126">
        <f t="shared" si="42"/>
        <v>-3.1428571428571415</v>
      </c>
      <c r="BR41" s="126">
        <f t="shared" si="42"/>
        <v>-3.0904761904761893</v>
      </c>
      <c r="BS41" s="126">
        <f t="shared" si="42"/>
        <v>-3.0380952380952371</v>
      </c>
      <c r="BT41" s="126">
        <f t="shared" si="42"/>
        <v>-2.9857142857142849</v>
      </c>
      <c r="BU41" s="126">
        <f t="shared" si="42"/>
        <v>-2.9333333333333322</v>
      </c>
      <c r="BV41" s="126">
        <f t="shared" si="42"/>
        <v>-2.88095238095238</v>
      </c>
      <c r="BW41" s="126">
        <f t="shared" si="42"/>
        <v>-2.8285714285714274</v>
      </c>
      <c r="BX41" s="126">
        <f t="shared" si="42"/>
        <v>-2.7761904761904752</v>
      </c>
      <c r="BY41" s="126">
        <f t="shared" si="42"/>
        <v>-2.723809523809523</v>
      </c>
      <c r="BZ41" s="126">
        <f t="shared" si="42"/>
        <v>-2.6714285714285704</v>
      </c>
      <c r="CA41" s="126">
        <f t="shared" si="42"/>
        <v>-2.6190476190476182</v>
      </c>
      <c r="CB41" s="126">
        <f t="shared" si="42"/>
        <v>-2.566666666666666</v>
      </c>
      <c r="CC41" s="126">
        <f t="shared" si="42"/>
        <v>-2.5142857142857133</v>
      </c>
      <c r="CD41" s="126">
        <f t="shared" si="42"/>
        <v>-2.4619047619047612</v>
      </c>
      <c r="CE41" s="126">
        <f t="shared" si="42"/>
        <v>-2.4095238095238085</v>
      </c>
      <c r="CF41" s="126">
        <f t="shared" si="42"/>
        <v>-2.3571428571428563</v>
      </c>
      <c r="CG41" s="126">
        <f t="shared" si="42"/>
        <v>-2.3047619047619041</v>
      </c>
      <c r="CH41" s="126">
        <f t="shared" si="42"/>
        <v>-2.2523809523809515</v>
      </c>
      <c r="CI41" s="126">
        <f t="shared" si="42"/>
        <v>-2.1999999999999993</v>
      </c>
      <c r="CJ41" s="126">
        <f t="shared" si="42"/>
        <v>-2.1476190476190471</v>
      </c>
      <c r="CK41" s="126">
        <f t="shared" si="42"/>
        <v>-2.0952380952380945</v>
      </c>
      <c r="CL41" s="126">
        <f t="shared" si="42"/>
        <v>-2.0428571428571423</v>
      </c>
      <c r="CM41" s="126">
        <f t="shared" si="42"/>
        <v>-1.9904761904761896</v>
      </c>
      <c r="CN41" s="126">
        <f t="shared" si="42"/>
        <v>-1.9380952380952376</v>
      </c>
      <c r="CO41" s="126">
        <f t="shared" si="42"/>
        <v>-1.885714285714285</v>
      </c>
      <c r="CP41" s="126">
        <f t="shared" si="42"/>
        <v>-1.8333333333333326</v>
      </c>
      <c r="CQ41" s="126">
        <f t="shared" si="42"/>
        <v>-1.7809523809523806</v>
      </c>
      <c r="CR41" s="126">
        <f t="shared" si="42"/>
        <v>-1.7285714285714282</v>
      </c>
      <c r="CS41" s="126">
        <f t="shared" si="42"/>
        <v>-1.6761904761904756</v>
      </c>
      <c r="CT41" s="126">
        <f t="shared" si="42"/>
        <v>-1.6238095238095231</v>
      </c>
      <c r="CU41" s="126">
        <f t="shared" si="42"/>
        <v>-1.5714285714285707</v>
      </c>
      <c r="CV41" s="126">
        <f t="shared" si="42"/>
        <v>-1.5190476190476185</v>
      </c>
      <c r="CW41" s="126">
        <f t="shared" si="42"/>
        <v>-1.4666666666666661</v>
      </c>
      <c r="CX41" s="126">
        <f t="shared" si="42"/>
        <v>-1.4142857142857137</v>
      </c>
      <c r="CY41" s="126">
        <f t="shared" si="42"/>
        <v>-1.3619047619047615</v>
      </c>
      <c r="CZ41" s="126">
        <f t="shared" si="42"/>
        <v>-1.3095238095238091</v>
      </c>
      <c r="DA41" s="126">
        <f t="shared" si="42"/>
        <v>-1.2571428571428567</v>
      </c>
      <c r="DB41" s="126">
        <f t="shared" si="42"/>
        <v>-1.2047619047619043</v>
      </c>
      <c r="DC41" s="126">
        <f t="shared" si="42"/>
        <v>-1.1523809523809521</v>
      </c>
      <c r="DD41" s="126">
        <f t="shared" si="42"/>
        <v>-1.0999999999999996</v>
      </c>
      <c r="DE41" s="126">
        <f t="shared" si="42"/>
        <v>-1.0476190476190472</v>
      </c>
      <c r="DF41" s="126">
        <f t="shared" si="42"/>
        <v>-0.99523809523809481</v>
      </c>
      <c r="DG41" s="126">
        <f t="shared" ref="DG41:DY41" si="43">IF(AND(DF$1&lt;DG$1, DG$1&lt;=$F38),$AS41*($F38-DG$1)/($F38-$AS$1),0)</f>
        <v>-0.94285714285714251</v>
      </c>
      <c r="DH41" s="126">
        <f t="shared" si="43"/>
        <v>-0.89047619047619031</v>
      </c>
      <c r="DI41" s="126">
        <f t="shared" si="43"/>
        <v>-0.83809523809523778</v>
      </c>
      <c r="DJ41" s="126">
        <f t="shared" si="43"/>
        <v>-0.78571428571428537</v>
      </c>
      <c r="DK41" s="126">
        <f t="shared" si="43"/>
        <v>-0.73333333333333306</v>
      </c>
      <c r="DL41" s="126">
        <f t="shared" si="43"/>
        <v>-0.68095238095238075</v>
      </c>
      <c r="DM41" s="126">
        <f t="shared" si="43"/>
        <v>-0.62857142857142834</v>
      </c>
      <c r="DN41" s="126">
        <f t="shared" si="43"/>
        <v>-0.57619047619047603</v>
      </c>
      <c r="DO41" s="126">
        <f t="shared" si="43"/>
        <v>-0.52380952380952361</v>
      </c>
      <c r="DP41" s="126">
        <f t="shared" si="43"/>
        <v>-0.47142857142857125</v>
      </c>
      <c r="DQ41" s="126">
        <f t="shared" si="43"/>
        <v>-0.41904761904761889</v>
      </c>
      <c r="DR41" s="126">
        <f t="shared" si="43"/>
        <v>-0.36666666666666653</v>
      </c>
      <c r="DS41" s="126">
        <f t="shared" si="43"/>
        <v>-0.31428571428571417</v>
      </c>
      <c r="DT41" s="126">
        <f t="shared" si="43"/>
        <v>-0.26190476190476181</v>
      </c>
      <c r="DU41" s="126">
        <f t="shared" si="43"/>
        <v>-0.20952380952380945</v>
      </c>
      <c r="DV41" s="126">
        <f t="shared" si="43"/>
        <v>-0.15714285714285708</v>
      </c>
      <c r="DW41" s="126">
        <f t="shared" si="43"/>
        <v>-0.10476190476190472</v>
      </c>
      <c r="DX41" s="126">
        <f t="shared" si="43"/>
        <v>-5.2380952380952361E-2</v>
      </c>
      <c r="DY41" s="126">
        <f t="shared" si="43"/>
        <v>0</v>
      </c>
    </row>
    <row r="42" spans="1:129" x14ac:dyDescent="0.45">
      <c r="A42" s="3">
        <v>46022</v>
      </c>
      <c r="B42" s="2" t="s">
        <v>0</v>
      </c>
      <c r="C42" s="4" t="s">
        <v>13</v>
      </c>
      <c r="D42" s="17"/>
      <c r="E42" s="2" t="s">
        <v>43</v>
      </c>
      <c r="F42" s="2">
        <v>120</v>
      </c>
      <c r="G42" s="2" t="s">
        <v>43</v>
      </c>
      <c r="H42" s="2">
        <v>120</v>
      </c>
      <c r="I42" s="13">
        <v>570</v>
      </c>
      <c r="J42" s="58">
        <f t="shared" si="35"/>
        <v>565.25</v>
      </c>
      <c r="K42" s="58">
        <f t="shared" si="35"/>
        <v>560.5</v>
      </c>
      <c r="L42" s="58">
        <f t="shared" si="35"/>
        <v>555.75</v>
      </c>
      <c r="M42" s="58">
        <f t="shared" si="35"/>
        <v>551</v>
      </c>
      <c r="N42" s="58">
        <f t="shared" si="35"/>
        <v>546.25</v>
      </c>
      <c r="O42" s="58">
        <f t="shared" si="35"/>
        <v>541.5</v>
      </c>
      <c r="P42" s="58">
        <f t="shared" si="35"/>
        <v>536.75</v>
      </c>
      <c r="Q42" s="58">
        <f t="shared" si="35"/>
        <v>532</v>
      </c>
      <c r="R42" s="58">
        <f t="shared" si="35"/>
        <v>527.25</v>
      </c>
      <c r="S42" s="58">
        <f t="shared" si="35"/>
        <v>522.5</v>
      </c>
      <c r="T42" s="58">
        <f t="shared" si="35"/>
        <v>517.75</v>
      </c>
      <c r="U42" s="97">
        <f t="shared" si="35"/>
        <v>513</v>
      </c>
      <c r="V42" s="58">
        <f t="shared" si="35"/>
        <v>508.25000000000006</v>
      </c>
      <c r="W42" s="58">
        <f t="shared" si="35"/>
        <v>503.5</v>
      </c>
      <c r="X42" s="58">
        <f t="shared" si="35"/>
        <v>498.75</v>
      </c>
      <c r="Y42" s="58">
        <f t="shared" si="35"/>
        <v>494</v>
      </c>
      <c r="Z42" s="58">
        <f t="shared" si="36"/>
        <v>489.24999999999994</v>
      </c>
      <c r="AA42" s="58">
        <f t="shared" si="36"/>
        <v>484.5</v>
      </c>
      <c r="AB42" s="58">
        <f t="shared" si="36"/>
        <v>479.75</v>
      </c>
      <c r="AC42" s="58">
        <f t="shared" si="36"/>
        <v>475</v>
      </c>
      <c r="AD42" s="58">
        <f t="shared" si="36"/>
        <v>470.25</v>
      </c>
      <c r="AE42" s="58">
        <f t="shared" si="36"/>
        <v>465.5</v>
      </c>
      <c r="AF42" s="58">
        <f t="shared" si="36"/>
        <v>460.75</v>
      </c>
      <c r="AG42" s="103">
        <f t="shared" si="36"/>
        <v>456</v>
      </c>
      <c r="AH42" s="58">
        <f t="shared" si="36"/>
        <v>451.25</v>
      </c>
      <c r="AI42" s="58">
        <f t="shared" si="36"/>
        <v>446.5</v>
      </c>
      <c r="AJ42" s="58">
        <f t="shared" si="36"/>
        <v>441.75</v>
      </c>
      <c r="AK42" s="58">
        <f t="shared" si="36"/>
        <v>437.00000000000006</v>
      </c>
      <c r="AL42" s="58">
        <f t="shared" si="36"/>
        <v>432.25</v>
      </c>
      <c r="AM42" s="58">
        <f t="shared" si="36"/>
        <v>427.5</v>
      </c>
      <c r="AN42" s="58">
        <f t="shared" si="36"/>
        <v>422.75</v>
      </c>
      <c r="AO42" s="58">
        <f t="shared" si="36"/>
        <v>417.99999999999994</v>
      </c>
      <c r="AP42" s="58">
        <f t="shared" si="36"/>
        <v>413.25</v>
      </c>
      <c r="AQ42" s="58">
        <f t="shared" si="36"/>
        <v>408.5</v>
      </c>
      <c r="AR42" s="58">
        <f t="shared" si="36"/>
        <v>403.75</v>
      </c>
      <c r="AS42" s="109">
        <f t="shared" si="36"/>
        <v>399</v>
      </c>
      <c r="AT42" s="58">
        <f t="shared" si="36"/>
        <v>394.25</v>
      </c>
      <c r="AU42" s="58">
        <f t="shared" si="36"/>
        <v>389.5</v>
      </c>
      <c r="AV42" s="58">
        <f t="shared" si="36"/>
        <v>384.75</v>
      </c>
      <c r="AW42" s="58">
        <f t="shared" si="36"/>
        <v>380</v>
      </c>
      <c r="AX42" s="58">
        <f t="shared" si="36"/>
        <v>375.25</v>
      </c>
      <c r="AY42" s="58">
        <f t="shared" si="36"/>
        <v>370.5</v>
      </c>
      <c r="AZ42" s="58">
        <f t="shared" si="36"/>
        <v>365.75000000000006</v>
      </c>
      <c r="BA42" s="58">
        <f t="shared" si="36"/>
        <v>361</v>
      </c>
      <c r="BB42" s="58">
        <f t="shared" si="36"/>
        <v>356.25</v>
      </c>
      <c r="BC42" s="58">
        <f t="shared" si="36"/>
        <v>351.5</v>
      </c>
      <c r="BD42" s="58">
        <f t="shared" si="36"/>
        <v>346.74999999999994</v>
      </c>
      <c r="BE42" s="58">
        <f t="shared" si="36"/>
        <v>342</v>
      </c>
      <c r="BF42" s="58">
        <f t="shared" si="36"/>
        <v>337.25</v>
      </c>
      <c r="BG42" s="58">
        <f t="shared" si="36"/>
        <v>332.5</v>
      </c>
      <c r="BH42" s="58">
        <f t="shared" si="36"/>
        <v>327.75</v>
      </c>
      <c r="BI42" s="58">
        <f t="shared" si="36"/>
        <v>323</v>
      </c>
      <c r="BJ42" s="58">
        <f t="shared" si="36"/>
        <v>318.25</v>
      </c>
      <c r="BK42" s="58">
        <f t="shared" si="36"/>
        <v>313.5</v>
      </c>
      <c r="BL42" s="58">
        <f t="shared" si="36"/>
        <v>308.75</v>
      </c>
      <c r="BM42" s="58">
        <f t="shared" si="36"/>
        <v>304</v>
      </c>
      <c r="BN42" s="58">
        <f t="shared" si="36"/>
        <v>299.25</v>
      </c>
      <c r="BO42" s="58">
        <f t="shared" si="36"/>
        <v>294.50000000000006</v>
      </c>
      <c r="BP42" s="58">
        <f t="shared" si="36"/>
        <v>289.75</v>
      </c>
      <c r="BQ42" s="58">
        <f t="shared" si="36"/>
        <v>285</v>
      </c>
      <c r="BR42" s="58">
        <f t="shared" si="36"/>
        <v>280.25</v>
      </c>
      <c r="BS42" s="58">
        <f t="shared" si="36"/>
        <v>275.5</v>
      </c>
      <c r="BT42" s="58">
        <f t="shared" si="36"/>
        <v>270.75</v>
      </c>
      <c r="BU42" s="58">
        <f t="shared" si="36"/>
        <v>266</v>
      </c>
      <c r="BV42" s="58">
        <f t="shared" si="36"/>
        <v>261.25</v>
      </c>
      <c r="BW42" s="58">
        <f t="shared" si="36"/>
        <v>256.5</v>
      </c>
      <c r="BX42" s="58">
        <f t="shared" si="36"/>
        <v>251.75</v>
      </c>
      <c r="BY42" s="58">
        <f t="shared" si="36"/>
        <v>247</v>
      </c>
      <c r="BZ42" s="58">
        <f t="shared" si="36"/>
        <v>242.25</v>
      </c>
      <c r="CA42" s="58">
        <f t="shared" si="36"/>
        <v>237.5</v>
      </c>
      <c r="CB42" s="58">
        <f t="shared" si="36"/>
        <v>232.75</v>
      </c>
      <c r="CC42" s="58">
        <f t="shared" si="36"/>
        <v>228</v>
      </c>
      <c r="CD42" s="58">
        <f t="shared" si="36"/>
        <v>223.25</v>
      </c>
      <c r="CE42" s="58">
        <f t="shared" si="36"/>
        <v>218.50000000000003</v>
      </c>
      <c r="CF42" s="58">
        <f t="shared" si="36"/>
        <v>213.75</v>
      </c>
      <c r="CG42" s="58">
        <f t="shared" si="36"/>
        <v>208.99999999999997</v>
      </c>
      <c r="CH42" s="58">
        <f t="shared" si="36"/>
        <v>204.25</v>
      </c>
      <c r="CI42" s="58">
        <f t="shared" si="36"/>
        <v>199.5</v>
      </c>
      <c r="CJ42" s="58">
        <f t="shared" si="36"/>
        <v>194.75</v>
      </c>
      <c r="CK42" s="58">
        <f t="shared" si="36"/>
        <v>190</v>
      </c>
      <c r="CL42" s="58">
        <f t="shared" si="37"/>
        <v>185.25</v>
      </c>
      <c r="CM42" s="58">
        <f t="shared" si="37"/>
        <v>180.5</v>
      </c>
      <c r="CN42" s="58">
        <f t="shared" si="37"/>
        <v>175.75</v>
      </c>
      <c r="CO42" s="58">
        <f t="shared" si="37"/>
        <v>171</v>
      </c>
      <c r="CP42" s="58">
        <f t="shared" si="37"/>
        <v>166.25</v>
      </c>
      <c r="CQ42" s="58">
        <f t="shared" si="37"/>
        <v>161.5</v>
      </c>
      <c r="CR42" s="58">
        <f t="shared" si="37"/>
        <v>156.75</v>
      </c>
      <c r="CS42" s="58">
        <f t="shared" si="37"/>
        <v>152</v>
      </c>
      <c r="CT42" s="58">
        <f t="shared" si="37"/>
        <v>147.25000000000003</v>
      </c>
      <c r="CU42" s="58">
        <f t="shared" si="37"/>
        <v>142.5</v>
      </c>
      <c r="CV42" s="58">
        <f t="shared" si="37"/>
        <v>137.75</v>
      </c>
      <c r="CW42" s="58">
        <f t="shared" si="37"/>
        <v>133</v>
      </c>
      <c r="CX42" s="58">
        <f t="shared" si="37"/>
        <v>128.25</v>
      </c>
      <c r="CY42" s="58">
        <f t="shared" si="37"/>
        <v>123.5</v>
      </c>
      <c r="CZ42" s="58">
        <f t="shared" si="37"/>
        <v>118.75</v>
      </c>
      <c r="DA42" s="58">
        <f t="shared" si="37"/>
        <v>114</v>
      </c>
      <c r="DB42" s="58">
        <f t="shared" si="37"/>
        <v>109.25000000000001</v>
      </c>
      <c r="DC42" s="58">
        <f t="shared" si="37"/>
        <v>104.49999999999999</v>
      </c>
      <c r="DD42" s="58">
        <f t="shared" si="37"/>
        <v>99.75</v>
      </c>
      <c r="DE42" s="58">
        <f t="shared" si="37"/>
        <v>95</v>
      </c>
      <c r="DF42" s="58">
        <f t="shared" si="37"/>
        <v>90.25</v>
      </c>
      <c r="DG42" s="58">
        <f t="shared" si="37"/>
        <v>85.5</v>
      </c>
      <c r="DH42" s="58">
        <f t="shared" si="37"/>
        <v>80.75</v>
      </c>
      <c r="DI42" s="58">
        <f t="shared" si="37"/>
        <v>76</v>
      </c>
      <c r="DJ42" s="58">
        <f t="shared" si="37"/>
        <v>71.25</v>
      </c>
      <c r="DK42" s="58">
        <f t="shared" si="37"/>
        <v>66.5</v>
      </c>
      <c r="DL42" s="58">
        <f t="shared" si="37"/>
        <v>61.75</v>
      </c>
      <c r="DM42" s="58">
        <f t="shared" si="37"/>
        <v>57</v>
      </c>
      <c r="DN42" s="58">
        <f t="shared" si="37"/>
        <v>52.249999999999993</v>
      </c>
      <c r="DO42" s="58">
        <f t="shared" si="37"/>
        <v>47.5</v>
      </c>
      <c r="DP42" s="58">
        <f t="shared" si="37"/>
        <v>42.75</v>
      </c>
      <c r="DQ42" s="58">
        <f t="shared" si="37"/>
        <v>38</v>
      </c>
      <c r="DR42" s="58">
        <f t="shared" si="37"/>
        <v>33.25</v>
      </c>
      <c r="DS42" s="58">
        <f t="shared" si="37"/>
        <v>28.5</v>
      </c>
      <c r="DT42" s="58">
        <f t="shared" si="37"/>
        <v>23.75</v>
      </c>
      <c r="DU42" s="58">
        <f t="shared" si="37"/>
        <v>19</v>
      </c>
      <c r="DV42" s="58">
        <f t="shared" si="37"/>
        <v>14.25</v>
      </c>
      <c r="DW42" s="58">
        <f t="shared" si="37"/>
        <v>9.5</v>
      </c>
      <c r="DX42" s="58">
        <f t="shared" si="37"/>
        <v>4.75</v>
      </c>
      <c r="DY42" s="58">
        <f t="shared" si="37"/>
        <v>0</v>
      </c>
    </row>
    <row r="43" spans="1:129" x14ac:dyDescent="0.45">
      <c r="A43" s="3"/>
      <c r="B43" s="2"/>
      <c r="C43" s="121" t="s">
        <v>265</v>
      </c>
      <c r="D43" s="17"/>
      <c r="E43" s="2"/>
      <c r="F43" s="2"/>
      <c r="G43" s="2"/>
      <c r="H43" s="2"/>
      <c r="I43" s="13"/>
      <c r="J43" s="58"/>
      <c r="K43" s="58"/>
      <c r="L43" s="58"/>
      <c r="M43" s="58"/>
      <c r="N43" s="58"/>
      <c r="O43" s="58"/>
      <c r="P43" s="58"/>
      <c r="Q43" s="58"/>
      <c r="R43" s="58"/>
      <c r="S43" s="58"/>
      <c r="T43" s="58"/>
      <c r="U43" s="119">
        <f>'Plan Moyen Terme (PMT)'!C15-BAU_Liquidité_Dynamique!U42</f>
        <v>-3</v>
      </c>
      <c r="V43" s="120">
        <f>IF(AND(U$1&lt;V$1, V$1&lt;=$F42),$U43*($F42-V$1)/($F42-$U$1),0)</f>
        <v>-2.9722222222222223</v>
      </c>
      <c r="W43" s="120">
        <f>IF(AND(V$1&lt;W$1, W$1&lt;=$F42),$U43*($F42-W$1)/($F42-$U$1),0)</f>
        <v>-2.9444444444444446</v>
      </c>
      <c r="X43" s="120">
        <f t="shared" ref="X43:CI43" si="44">IF(AND(W$1&lt;X$1, X$1&lt;=$F42),$U43*($F42-X$1)/($F42-$U$1),0)</f>
        <v>-2.9166666666666665</v>
      </c>
      <c r="Y43" s="120">
        <f t="shared" si="44"/>
        <v>-2.8888888888888888</v>
      </c>
      <c r="Z43" s="120">
        <f t="shared" si="44"/>
        <v>-2.8611111111111112</v>
      </c>
      <c r="AA43" s="120">
        <f t="shared" si="44"/>
        <v>-2.8333333333333335</v>
      </c>
      <c r="AB43" s="120">
        <f t="shared" si="44"/>
        <v>-2.8055555555555554</v>
      </c>
      <c r="AC43" s="120">
        <f t="shared" si="44"/>
        <v>-2.7777777777777777</v>
      </c>
      <c r="AD43" s="120">
        <f t="shared" si="44"/>
        <v>-2.75</v>
      </c>
      <c r="AE43" s="120">
        <f t="shared" si="44"/>
        <v>-2.7222222222222223</v>
      </c>
      <c r="AF43" s="120">
        <f t="shared" si="44"/>
        <v>-2.6944444444444446</v>
      </c>
      <c r="AG43" s="120">
        <f t="shared" si="44"/>
        <v>-2.6666666666666665</v>
      </c>
      <c r="AH43" s="120">
        <f t="shared" si="44"/>
        <v>-2.6388888888888888</v>
      </c>
      <c r="AI43" s="120">
        <f t="shared" si="44"/>
        <v>-2.6111111111111112</v>
      </c>
      <c r="AJ43" s="120">
        <f t="shared" si="44"/>
        <v>-2.5833333333333335</v>
      </c>
      <c r="AK43" s="120">
        <f t="shared" si="44"/>
        <v>-2.5555555555555554</v>
      </c>
      <c r="AL43" s="120">
        <f t="shared" si="44"/>
        <v>-2.5277777777777777</v>
      </c>
      <c r="AM43" s="120">
        <f t="shared" si="44"/>
        <v>-2.5</v>
      </c>
      <c r="AN43" s="120">
        <f t="shared" si="44"/>
        <v>-2.4722222222222223</v>
      </c>
      <c r="AO43" s="120">
        <f t="shared" si="44"/>
        <v>-2.4444444444444446</v>
      </c>
      <c r="AP43" s="120">
        <f t="shared" si="44"/>
        <v>-2.4166666666666665</v>
      </c>
      <c r="AQ43" s="120">
        <f t="shared" si="44"/>
        <v>-2.3888888888888888</v>
      </c>
      <c r="AR43" s="120">
        <f t="shared" si="44"/>
        <v>-2.3611111111111112</v>
      </c>
      <c r="AS43" s="120">
        <f t="shared" si="44"/>
        <v>-2.3333333333333335</v>
      </c>
      <c r="AT43" s="120">
        <f t="shared" si="44"/>
        <v>-2.3055555555555554</v>
      </c>
      <c r="AU43" s="120">
        <f t="shared" si="44"/>
        <v>-2.2777777777777777</v>
      </c>
      <c r="AV43" s="120">
        <f t="shared" si="44"/>
        <v>-2.25</v>
      </c>
      <c r="AW43" s="120">
        <f t="shared" si="44"/>
        <v>-2.2222222222222223</v>
      </c>
      <c r="AX43" s="120">
        <f t="shared" si="44"/>
        <v>-2.1944444444444446</v>
      </c>
      <c r="AY43" s="120">
        <f t="shared" si="44"/>
        <v>-2.1666666666666665</v>
      </c>
      <c r="AZ43" s="120">
        <f t="shared" si="44"/>
        <v>-2.1388888888888888</v>
      </c>
      <c r="BA43" s="120">
        <f t="shared" si="44"/>
        <v>-2.1111111111111112</v>
      </c>
      <c r="BB43" s="120">
        <f t="shared" si="44"/>
        <v>-2.0833333333333335</v>
      </c>
      <c r="BC43" s="120">
        <f t="shared" si="44"/>
        <v>-2.0555555555555554</v>
      </c>
      <c r="BD43" s="120">
        <f t="shared" si="44"/>
        <v>-2.0277777777777777</v>
      </c>
      <c r="BE43" s="120">
        <f t="shared" si="44"/>
        <v>-2</v>
      </c>
      <c r="BF43" s="120">
        <f t="shared" si="44"/>
        <v>-1.9722222222222223</v>
      </c>
      <c r="BG43" s="120">
        <f t="shared" si="44"/>
        <v>-1.9444444444444444</v>
      </c>
      <c r="BH43" s="120">
        <f t="shared" si="44"/>
        <v>-1.9166666666666667</v>
      </c>
      <c r="BI43" s="120">
        <f t="shared" si="44"/>
        <v>-1.8888888888888888</v>
      </c>
      <c r="BJ43" s="120">
        <f t="shared" si="44"/>
        <v>-1.8611111111111112</v>
      </c>
      <c r="BK43" s="120">
        <f t="shared" si="44"/>
        <v>-1.8333333333333333</v>
      </c>
      <c r="BL43" s="120">
        <f t="shared" si="44"/>
        <v>-1.8055555555555556</v>
      </c>
      <c r="BM43" s="120">
        <f t="shared" si="44"/>
        <v>-1.7777777777777777</v>
      </c>
      <c r="BN43" s="120">
        <f t="shared" si="44"/>
        <v>-1.75</v>
      </c>
      <c r="BO43" s="120">
        <f t="shared" si="44"/>
        <v>-1.7222222222222223</v>
      </c>
      <c r="BP43" s="120">
        <f t="shared" si="44"/>
        <v>-1.6944444444444444</v>
      </c>
      <c r="BQ43" s="120">
        <f t="shared" si="44"/>
        <v>-1.6666666666666667</v>
      </c>
      <c r="BR43" s="120">
        <f t="shared" si="44"/>
        <v>-1.6388888888888888</v>
      </c>
      <c r="BS43" s="120">
        <f t="shared" si="44"/>
        <v>-1.6111111111111112</v>
      </c>
      <c r="BT43" s="120">
        <f t="shared" si="44"/>
        <v>-1.5833333333333333</v>
      </c>
      <c r="BU43" s="120">
        <f t="shared" si="44"/>
        <v>-1.5555555555555556</v>
      </c>
      <c r="BV43" s="120">
        <f t="shared" si="44"/>
        <v>-1.5277777777777777</v>
      </c>
      <c r="BW43" s="120">
        <f t="shared" si="44"/>
        <v>-1.5</v>
      </c>
      <c r="BX43" s="120">
        <f t="shared" si="44"/>
        <v>-1.4722222222222223</v>
      </c>
      <c r="BY43" s="120">
        <f t="shared" si="44"/>
        <v>-1.4444444444444444</v>
      </c>
      <c r="BZ43" s="120">
        <f t="shared" si="44"/>
        <v>-1.4166666666666667</v>
      </c>
      <c r="CA43" s="120">
        <f t="shared" si="44"/>
        <v>-1.3888888888888888</v>
      </c>
      <c r="CB43" s="120">
        <f t="shared" si="44"/>
        <v>-1.3611111111111112</v>
      </c>
      <c r="CC43" s="120">
        <f t="shared" si="44"/>
        <v>-1.3333333333333333</v>
      </c>
      <c r="CD43" s="120">
        <f t="shared" si="44"/>
        <v>-1.3055555555555556</v>
      </c>
      <c r="CE43" s="120">
        <f t="shared" si="44"/>
        <v>-1.2777777777777777</v>
      </c>
      <c r="CF43" s="120">
        <f t="shared" si="44"/>
        <v>-1.25</v>
      </c>
      <c r="CG43" s="120">
        <f t="shared" si="44"/>
        <v>-1.2222222222222223</v>
      </c>
      <c r="CH43" s="120">
        <f t="shared" si="44"/>
        <v>-1.1944444444444444</v>
      </c>
      <c r="CI43" s="120">
        <f t="shared" si="44"/>
        <v>-1.1666666666666667</v>
      </c>
      <c r="CJ43" s="120">
        <f t="shared" ref="CJ43:DY43" si="45">IF(AND(CI$1&lt;CJ$1, CJ$1&lt;=$F42),$U43*($F42-CJ$1)/($F42-$U$1),0)</f>
        <v>-1.1388888888888888</v>
      </c>
      <c r="CK43" s="120">
        <f t="shared" si="45"/>
        <v>-1.1111111111111112</v>
      </c>
      <c r="CL43" s="120">
        <f t="shared" si="45"/>
        <v>-1.0833333333333333</v>
      </c>
      <c r="CM43" s="120">
        <f t="shared" si="45"/>
        <v>-1.0555555555555556</v>
      </c>
      <c r="CN43" s="120">
        <f t="shared" si="45"/>
        <v>-1.0277777777777777</v>
      </c>
      <c r="CO43" s="120">
        <f t="shared" si="45"/>
        <v>-1</v>
      </c>
      <c r="CP43" s="120">
        <f t="shared" si="45"/>
        <v>-0.97222222222222221</v>
      </c>
      <c r="CQ43" s="120">
        <f t="shared" si="45"/>
        <v>-0.94444444444444442</v>
      </c>
      <c r="CR43" s="120">
        <f t="shared" si="45"/>
        <v>-0.91666666666666663</v>
      </c>
      <c r="CS43" s="120">
        <f t="shared" si="45"/>
        <v>-0.88888888888888884</v>
      </c>
      <c r="CT43" s="120">
        <f t="shared" si="45"/>
        <v>-0.86111111111111116</v>
      </c>
      <c r="CU43" s="120">
        <f t="shared" si="45"/>
        <v>-0.83333333333333337</v>
      </c>
      <c r="CV43" s="120">
        <f t="shared" si="45"/>
        <v>-0.80555555555555558</v>
      </c>
      <c r="CW43" s="120">
        <f t="shared" si="45"/>
        <v>-0.77777777777777779</v>
      </c>
      <c r="CX43" s="120">
        <f t="shared" si="45"/>
        <v>-0.75</v>
      </c>
      <c r="CY43" s="120">
        <f t="shared" si="45"/>
        <v>-0.72222222222222221</v>
      </c>
      <c r="CZ43" s="120">
        <f t="shared" si="45"/>
        <v>-0.69444444444444442</v>
      </c>
      <c r="DA43" s="120">
        <f t="shared" si="45"/>
        <v>-0.66666666666666663</v>
      </c>
      <c r="DB43" s="120">
        <f t="shared" si="45"/>
        <v>-0.63888888888888884</v>
      </c>
      <c r="DC43" s="120">
        <f t="shared" si="45"/>
        <v>-0.61111111111111116</v>
      </c>
      <c r="DD43" s="120">
        <f t="shared" si="45"/>
        <v>-0.58333333333333337</v>
      </c>
      <c r="DE43" s="120">
        <f t="shared" si="45"/>
        <v>-0.55555555555555558</v>
      </c>
      <c r="DF43" s="120">
        <f t="shared" si="45"/>
        <v>-0.52777777777777779</v>
      </c>
      <c r="DG43" s="120">
        <f t="shared" si="45"/>
        <v>-0.5</v>
      </c>
      <c r="DH43" s="120">
        <f t="shared" si="45"/>
        <v>-0.47222222222222221</v>
      </c>
      <c r="DI43" s="120">
        <f t="shared" si="45"/>
        <v>-0.44444444444444442</v>
      </c>
      <c r="DJ43" s="120">
        <f t="shared" si="45"/>
        <v>-0.41666666666666669</v>
      </c>
      <c r="DK43" s="120">
        <f t="shared" si="45"/>
        <v>-0.3888888888888889</v>
      </c>
      <c r="DL43" s="120">
        <f t="shared" si="45"/>
        <v>-0.3611111111111111</v>
      </c>
      <c r="DM43" s="120">
        <f t="shared" si="45"/>
        <v>-0.33333333333333331</v>
      </c>
      <c r="DN43" s="120">
        <f t="shared" si="45"/>
        <v>-0.30555555555555558</v>
      </c>
      <c r="DO43" s="120">
        <f t="shared" si="45"/>
        <v>-0.27777777777777779</v>
      </c>
      <c r="DP43" s="120">
        <f t="shared" si="45"/>
        <v>-0.25</v>
      </c>
      <c r="DQ43" s="120">
        <f t="shared" si="45"/>
        <v>-0.22222222222222221</v>
      </c>
      <c r="DR43" s="120">
        <f t="shared" si="45"/>
        <v>-0.19444444444444445</v>
      </c>
      <c r="DS43" s="120">
        <f t="shared" si="45"/>
        <v>-0.16666666666666666</v>
      </c>
      <c r="DT43" s="120">
        <f t="shared" si="45"/>
        <v>-0.1388888888888889</v>
      </c>
      <c r="DU43" s="120">
        <f t="shared" si="45"/>
        <v>-0.1111111111111111</v>
      </c>
      <c r="DV43" s="120">
        <f t="shared" si="45"/>
        <v>-8.3333333333333329E-2</v>
      </c>
      <c r="DW43" s="120">
        <f t="shared" si="45"/>
        <v>-5.5555555555555552E-2</v>
      </c>
      <c r="DX43" s="120">
        <f t="shared" si="45"/>
        <v>-2.7777777777777776E-2</v>
      </c>
      <c r="DY43" s="120">
        <f t="shared" si="45"/>
        <v>0</v>
      </c>
    </row>
    <row r="44" spans="1:129" x14ac:dyDescent="0.45">
      <c r="A44" s="3"/>
      <c r="B44" s="2"/>
      <c r="C44" s="122" t="s">
        <v>266</v>
      </c>
      <c r="D44" s="17"/>
      <c r="E44" s="2"/>
      <c r="F44" s="2"/>
      <c r="G44" s="2"/>
      <c r="H44" s="2"/>
      <c r="I44" s="13"/>
      <c r="J44" s="58"/>
      <c r="K44" s="58"/>
      <c r="L44" s="58"/>
      <c r="M44" s="58"/>
      <c r="N44" s="58"/>
      <c r="O44" s="58"/>
      <c r="P44" s="58"/>
      <c r="Q44" s="58"/>
      <c r="R44" s="58"/>
      <c r="S44" s="58"/>
      <c r="T44" s="58"/>
      <c r="U44" s="95"/>
      <c r="V44" s="91"/>
      <c r="W44" s="91"/>
      <c r="X44" s="91"/>
      <c r="Y44" s="91"/>
      <c r="Z44" s="55"/>
      <c r="AA44" s="55"/>
      <c r="AB44" s="55"/>
      <c r="AC44" s="55"/>
      <c r="AD44" s="55"/>
      <c r="AE44" s="55"/>
      <c r="AF44" s="55"/>
      <c r="AG44" s="129">
        <f>'Plan Moyen Terme (PMT)'!D15-BAU_Liquidité_Dynamique!AG42</f>
        <v>688</v>
      </c>
      <c r="AH44" s="124">
        <f>IF(AND(AG$1&lt;AH$1, AH$1&lt;=$F42),$AG44*($F42-AH$1)/($F42-$AG$1),0)</f>
        <v>680.83333333333337</v>
      </c>
      <c r="AI44" s="124">
        <f>IF(AND(AH$1&lt;AI$1, AI$1&lt;=$F42),$AG44*($F42-AI$1)/($F42-$AG$1),0)</f>
        <v>673.66666666666663</v>
      </c>
      <c r="AJ44" s="124">
        <f t="shared" ref="AJ44:CU44" si="46">IF(AND(AI$1&lt;AJ$1, AJ$1&lt;=$F42),$AG44*($F42-AJ$1)/($F42-$AG$1),0)</f>
        <v>666.5</v>
      </c>
      <c r="AK44" s="124">
        <f t="shared" si="46"/>
        <v>659.33333333333337</v>
      </c>
      <c r="AL44" s="124">
        <f t="shared" si="46"/>
        <v>652.16666666666663</v>
      </c>
      <c r="AM44" s="124">
        <f t="shared" si="46"/>
        <v>645</v>
      </c>
      <c r="AN44" s="124">
        <f t="shared" si="46"/>
        <v>637.83333333333337</v>
      </c>
      <c r="AO44" s="124">
        <f t="shared" si="46"/>
        <v>630.66666666666663</v>
      </c>
      <c r="AP44" s="124">
        <f t="shared" si="46"/>
        <v>623.5</v>
      </c>
      <c r="AQ44" s="124">
        <f t="shared" si="46"/>
        <v>616.33333333333337</v>
      </c>
      <c r="AR44" s="124">
        <f t="shared" si="46"/>
        <v>609.16666666666663</v>
      </c>
      <c r="AS44" s="124">
        <f t="shared" si="46"/>
        <v>602</v>
      </c>
      <c r="AT44" s="124">
        <f t="shared" si="46"/>
        <v>594.83333333333337</v>
      </c>
      <c r="AU44" s="124">
        <f t="shared" si="46"/>
        <v>587.66666666666663</v>
      </c>
      <c r="AV44" s="124">
        <f t="shared" si="46"/>
        <v>580.5</v>
      </c>
      <c r="AW44" s="124">
        <f t="shared" si="46"/>
        <v>573.33333333333337</v>
      </c>
      <c r="AX44" s="124">
        <f t="shared" si="46"/>
        <v>566.16666666666663</v>
      </c>
      <c r="AY44" s="124">
        <f t="shared" si="46"/>
        <v>559</v>
      </c>
      <c r="AZ44" s="124">
        <f t="shared" si="46"/>
        <v>551.83333333333337</v>
      </c>
      <c r="BA44" s="124">
        <f t="shared" si="46"/>
        <v>544.66666666666663</v>
      </c>
      <c r="BB44" s="124">
        <f t="shared" si="46"/>
        <v>537.5</v>
      </c>
      <c r="BC44" s="124">
        <f t="shared" si="46"/>
        <v>530.33333333333337</v>
      </c>
      <c r="BD44" s="124">
        <f t="shared" si="46"/>
        <v>523.16666666666663</v>
      </c>
      <c r="BE44" s="124">
        <f t="shared" si="46"/>
        <v>516</v>
      </c>
      <c r="BF44" s="124">
        <f t="shared" si="46"/>
        <v>508.83333333333331</v>
      </c>
      <c r="BG44" s="124">
        <f t="shared" si="46"/>
        <v>501.66666666666669</v>
      </c>
      <c r="BH44" s="124">
        <f t="shared" si="46"/>
        <v>494.5</v>
      </c>
      <c r="BI44" s="124">
        <f t="shared" si="46"/>
        <v>487.33333333333331</v>
      </c>
      <c r="BJ44" s="124">
        <f t="shared" si="46"/>
        <v>480.16666666666669</v>
      </c>
      <c r="BK44" s="124">
        <f t="shared" si="46"/>
        <v>473</v>
      </c>
      <c r="BL44" s="124">
        <f t="shared" si="46"/>
        <v>465.83333333333331</v>
      </c>
      <c r="BM44" s="124">
        <f t="shared" si="46"/>
        <v>458.66666666666669</v>
      </c>
      <c r="BN44" s="124">
        <f t="shared" si="46"/>
        <v>451.5</v>
      </c>
      <c r="BO44" s="124">
        <f t="shared" si="46"/>
        <v>444.33333333333331</v>
      </c>
      <c r="BP44" s="124">
        <f t="shared" si="46"/>
        <v>437.16666666666669</v>
      </c>
      <c r="BQ44" s="124">
        <f t="shared" si="46"/>
        <v>430</v>
      </c>
      <c r="BR44" s="124">
        <f t="shared" si="46"/>
        <v>422.83333333333331</v>
      </c>
      <c r="BS44" s="124">
        <f t="shared" si="46"/>
        <v>415.66666666666669</v>
      </c>
      <c r="BT44" s="124">
        <f t="shared" si="46"/>
        <v>408.5</v>
      </c>
      <c r="BU44" s="124">
        <f t="shared" si="46"/>
        <v>401.33333333333331</v>
      </c>
      <c r="BV44" s="124">
        <f t="shared" si="46"/>
        <v>394.16666666666669</v>
      </c>
      <c r="BW44" s="124">
        <f t="shared" si="46"/>
        <v>387</v>
      </c>
      <c r="BX44" s="124">
        <f t="shared" si="46"/>
        <v>379.83333333333331</v>
      </c>
      <c r="BY44" s="124">
        <f t="shared" si="46"/>
        <v>372.66666666666669</v>
      </c>
      <c r="BZ44" s="124">
        <f t="shared" si="46"/>
        <v>365.5</v>
      </c>
      <c r="CA44" s="124">
        <f t="shared" si="46"/>
        <v>358.33333333333331</v>
      </c>
      <c r="CB44" s="124">
        <f t="shared" si="46"/>
        <v>351.16666666666669</v>
      </c>
      <c r="CC44" s="124">
        <f t="shared" si="46"/>
        <v>344</v>
      </c>
      <c r="CD44" s="124">
        <f t="shared" si="46"/>
        <v>336.83333333333331</v>
      </c>
      <c r="CE44" s="124">
        <f t="shared" si="46"/>
        <v>329.66666666666669</v>
      </c>
      <c r="CF44" s="124">
        <f t="shared" si="46"/>
        <v>322.5</v>
      </c>
      <c r="CG44" s="124">
        <f t="shared" si="46"/>
        <v>315.33333333333331</v>
      </c>
      <c r="CH44" s="124">
        <f t="shared" si="46"/>
        <v>308.16666666666669</v>
      </c>
      <c r="CI44" s="124">
        <f t="shared" si="46"/>
        <v>301</v>
      </c>
      <c r="CJ44" s="124">
        <f t="shared" si="46"/>
        <v>293.83333333333331</v>
      </c>
      <c r="CK44" s="124">
        <f t="shared" si="46"/>
        <v>286.66666666666669</v>
      </c>
      <c r="CL44" s="124">
        <f t="shared" si="46"/>
        <v>279.5</v>
      </c>
      <c r="CM44" s="124">
        <f t="shared" si="46"/>
        <v>272.33333333333331</v>
      </c>
      <c r="CN44" s="124">
        <f t="shared" si="46"/>
        <v>265.16666666666669</v>
      </c>
      <c r="CO44" s="124">
        <f t="shared" si="46"/>
        <v>258</v>
      </c>
      <c r="CP44" s="124">
        <f t="shared" si="46"/>
        <v>250.83333333333334</v>
      </c>
      <c r="CQ44" s="124">
        <f t="shared" si="46"/>
        <v>243.66666666666666</v>
      </c>
      <c r="CR44" s="124">
        <f t="shared" si="46"/>
        <v>236.5</v>
      </c>
      <c r="CS44" s="124">
        <f t="shared" si="46"/>
        <v>229.33333333333334</v>
      </c>
      <c r="CT44" s="124">
        <f t="shared" si="46"/>
        <v>222.16666666666666</v>
      </c>
      <c r="CU44" s="124">
        <f t="shared" si="46"/>
        <v>215</v>
      </c>
      <c r="CV44" s="124">
        <f t="shared" ref="CV44:DZ44" si="47">IF(AND(CU$1&lt;CV$1, CV$1&lt;=$F42),$AG44*($F42-CV$1)/($F42-$AG$1),0)</f>
        <v>207.83333333333334</v>
      </c>
      <c r="CW44" s="124">
        <f t="shared" si="47"/>
        <v>200.66666666666666</v>
      </c>
      <c r="CX44" s="124">
        <f t="shared" si="47"/>
        <v>193.5</v>
      </c>
      <c r="CY44" s="124">
        <f t="shared" si="47"/>
        <v>186.33333333333334</v>
      </c>
      <c r="CZ44" s="124">
        <f t="shared" si="47"/>
        <v>179.16666666666666</v>
      </c>
      <c r="DA44" s="124">
        <f t="shared" si="47"/>
        <v>172</v>
      </c>
      <c r="DB44" s="124">
        <f t="shared" si="47"/>
        <v>164.83333333333334</v>
      </c>
      <c r="DC44" s="124">
        <f t="shared" si="47"/>
        <v>157.66666666666666</v>
      </c>
      <c r="DD44" s="124">
        <f t="shared" si="47"/>
        <v>150.5</v>
      </c>
      <c r="DE44" s="124">
        <f t="shared" si="47"/>
        <v>143.33333333333334</v>
      </c>
      <c r="DF44" s="124">
        <f t="shared" si="47"/>
        <v>136.16666666666666</v>
      </c>
      <c r="DG44" s="124">
        <f t="shared" si="47"/>
        <v>129</v>
      </c>
      <c r="DH44" s="124">
        <f t="shared" si="47"/>
        <v>121.83333333333333</v>
      </c>
      <c r="DI44" s="124">
        <f t="shared" si="47"/>
        <v>114.66666666666667</v>
      </c>
      <c r="DJ44" s="124">
        <f t="shared" si="47"/>
        <v>107.5</v>
      </c>
      <c r="DK44" s="124">
        <f t="shared" si="47"/>
        <v>100.33333333333333</v>
      </c>
      <c r="DL44" s="124">
        <f t="shared" si="47"/>
        <v>93.166666666666671</v>
      </c>
      <c r="DM44" s="124">
        <f t="shared" si="47"/>
        <v>86</v>
      </c>
      <c r="DN44" s="124">
        <f t="shared" si="47"/>
        <v>78.833333333333329</v>
      </c>
      <c r="DO44" s="124">
        <f t="shared" si="47"/>
        <v>71.666666666666671</v>
      </c>
      <c r="DP44" s="124">
        <f t="shared" si="47"/>
        <v>64.5</v>
      </c>
      <c r="DQ44" s="124">
        <f t="shared" si="47"/>
        <v>57.333333333333336</v>
      </c>
      <c r="DR44" s="124">
        <f t="shared" si="47"/>
        <v>50.166666666666664</v>
      </c>
      <c r="DS44" s="124">
        <f t="shared" si="47"/>
        <v>43</v>
      </c>
      <c r="DT44" s="124">
        <f t="shared" si="47"/>
        <v>35.833333333333336</v>
      </c>
      <c r="DU44" s="124">
        <f t="shared" si="47"/>
        <v>28.666666666666668</v>
      </c>
      <c r="DV44" s="124">
        <f t="shared" si="47"/>
        <v>21.5</v>
      </c>
      <c r="DW44" s="124">
        <f t="shared" si="47"/>
        <v>14.333333333333334</v>
      </c>
      <c r="DX44" s="124">
        <f t="shared" si="47"/>
        <v>7.166666666666667</v>
      </c>
      <c r="DY44" s="124">
        <f t="shared" si="47"/>
        <v>0</v>
      </c>
    </row>
    <row r="45" spans="1:129" x14ac:dyDescent="0.45">
      <c r="A45" s="3"/>
      <c r="B45" s="2"/>
      <c r="C45" s="125" t="s">
        <v>267</v>
      </c>
      <c r="D45" s="17"/>
      <c r="E45" s="2"/>
      <c r="F45" s="2"/>
      <c r="G45" s="2"/>
      <c r="H45" s="2"/>
      <c r="I45" s="13"/>
      <c r="J45" s="58"/>
      <c r="K45" s="58"/>
      <c r="L45" s="58"/>
      <c r="M45" s="58"/>
      <c r="N45" s="58"/>
      <c r="O45" s="58"/>
      <c r="P45" s="58"/>
      <c r="Q45" s="58"/>
      <c r="R45" s="58"/>
      <c r="S45" s="58"/>
      <c r="T45" s="58"/>
      <c r="U45" s="96"/>
      <c r="V45" s="55"/>
      <c r="W45" s="55"/>
      <c r="X45" s="55"/>
      <c r="Y45" s="55"/>
      <c r="Z45" s="55"/>
      <c r="AA45" s="55"/>
      <c r="AB45" s="55"/>
      <c r="AC45" s="55"/>
      <c r="AD45" s="55"/>
      <c r="AE45" s="55"/>
      <c r="AF45" s="55"/>
      <c r="AG45" s="102"/>
      <c r="AH45" s="91"/>
      <c r="AI45" s="91"/>
      <c r="AJ45" s="91"/>
      <c r="AK45" s="55"/>
      <c r="AL45" s="55"/>
      <c r="AM45" s="55"/>
      <c r="AN45" s="55"/>
      <c r="AO45" s="55"/>
      <c r="AP45" s="55"/>
      <c r="AQ45" s="55"/>
      <c r="AR45" s="55"/>
      <c r="AS45" s="130">
        <f>'Plan Moyen Terme (PMT)'!E15-BAU_Liquidité_Dynamique!AS42</f>
        <v>1628</v>
      </c>
      <c r="AT45" s="126">
        <f>IF(AND(AS$1&lt;AT$1, AT$1&lt;=$F42),$AS45*($F42-AT$1)/($F42-$AS$1),0)</f>
        <v>1608.6190476190477</v>
      </c>
      <c r="AU45" s="126">
        <f t="shared" ref="AU45:DF45" si="48">IF(AND(AT$1&lt;AU$1, AU$1&lt;=$F42),$AS45*($F42-AU$1)/($F42-$AS$1),0)</f>
        <v>1589.2380952380952</v>
      </c>
      <c r="AV45" s="126">
        <f t="shared" si="48"/>
        <v>1569.8571428571429</v>
      </c>
      <c r="AW45" s="126">
        <f t="shared" si="48"/>
        <v>1550.4761904761904</v>
      </c>
      <c r="AX45" s="126">
        <f t="shared" si="48"/>
        <v>1531.0952380952381</v>
      </c>
      <c r="AY45" s="126">
        <f t="shared" si="48"/>
        <v>1511.7142857142858</v>
      </c>
      <c r="AZ45" s="126">
        <f t="shared" si="48"/>
        <v>1492.3333333333333</v>
      </c>
      <c r="BA45" s="126">
        <f t="shared" si="48"/>
        <v>1472.952380952381</v>
      </c>
      <c r="BB45" s="126">
        <f t="shared" si="48"/>
        <v>1453.5714285714287</v>
      </c>
      <c r="BC45" s="126">
        <f t="shared" si="48"/>
        <v>1434.1904761904761</v>
      </c>
      <c r="BD45" s="126">
        <f t="shared" si="48"/>
        <v>1414.8095238095239</v>
      </c>
      <c r="BE45" s="126">
        <f t="shared" si="48"/>
        <v>1395.4285714285713</v>
      </c>
      <c r="BF45" s="126">
        <f t="shared" si="48"/>
        <v>1376.047619047619</v>
      </c>
      <c r="BG45" s="126">
        <f t="shared" si="48"/>
        <v>1356.6666666666667</v>
      </c>
      <c r="BH45" s="126">
        <f t="shared" si="48"/>
        <v>1337.2857142857142</v>
      </c>
      <c r="BI45" s="126">
        <f t="shared" si="48"/>
        <v>1317.9047619047619</v>
      </c>
      <c r="BJ45" s="126">
        <f t="shared" si="48"/>
        <v>1298.5238095238096</v>
      </c>
      <c r="BK45" s="126">
        <f t="shared" si="48"/>
        <v>1279.1428571428571</v>
      </c>
      <c r="BL45" s="126">
        <f t="shared" si="48"/>
        <v>1259.7619047619048</v>
      </c>
      <c r="BM45" s="126">
        <f t="shared" si="48"/>
        <v>1240.3809523809523</v>
      </c>
      <c r="BN45" s="126">
        <f t="shared" si="48"/>
        <v>1221</v>
      </c>
      <c r="BO45" s="126">
        <f t="shared" si="48"/>
        <v>1201.6190476190477</v>
      </c>
      <c r="BP45" s="126">
        <f t="shared" si="48"/>
        <v>1182.2380952380952</v>
      </c>
      <c r="BQ45" s="126">
        <f t="shared" si="48"/>
        <v>1162.8571428571429</v>
      </c>
      <c r="BR45" s="126">
        <f t="shared" si="48"/>
        <v>1143.4761904761904</v>
      </c>
      <c r="BS45" s="126">
        <f t="shared" si="48"/>
        <v>1124.0952380952381</v>
      </c>
      <c r="BT45" s="126">
        <f t="shared" si="48"/>
        <v>1104.7142857142858</v>
      </c>
      <c r="BU45" s="126">
        <f t="shared" si="48"/>
        <v>1085.3333333333333</v>
      </c>
      <c r="BV45" s="126">
        <f t="shared" si="48"/>
        <v>1065.952380952381</v>
      </c>
      <c r="BW45" s="126">
        <f t="shared" si="48"/>
        <v>1046.5714285714287</v>
      </c>
      <c r="BX45" s="126">
        <f t="shared" si="48"/>
        <v>1027.1904761904761</v>
      </c>
      <c r="BY45" s="126">
        <f t="shared" si="48"/>
        <v>1007.8095238095239</v>
      </c>
      <c r="BZ45" s="126">
        <f t="shared" si="48"/>
        <v>988.42857142857144</v>
      </c>
      <c r="CA45" s="126">
        <f t="shared" si="48"/>
        <v>969.04761904761904</v>
      </c>
      <c r="CB45" s="126">
        <f t="shared" si="48"/>
        <v>949.66666666666663</v>
      </c>
      <c r="CC45" s="126">
        <f t="shared" si="48"/>
        <v>930.28571428571433</v>
      </c>
      <c r="CD45" s="126">
        <f t="shared" si="48"/>
        <v>910.90476190476193</v>
      </c>
      <c r="CE45" s="126">
        <f t="shared" si="48"/>
        <v>891.52380952380952</v>
      </c>
      <c r="CF45" s="126">
        <f t="shared" si="48"/>
        <v>872.14285714285711</v>
      </c>
      <c r="CG45" s="126">
        <f t="shared" si="48"/>
        <v>852.76190476190482</v>
      </c>
      <c r="CH45" s="126">
        <f t="shared" si="48"/>
        <v>833.38095238095241</v>
      </c>
      <c r="CI45" s="126">
        <f t="shared" si="48"/>
        <v>814</v>
      </c>
      <c r="CJ45" s="126">
        <f t="shared" si="48"/>
        <v>794.61904761904759</v>
      </c>
      <c r="CK45" s="126">
        <f t="shared" si="48"/>
        <v>775.23809523809518</v>
      </c>
      <c r="CL45" s="126">
        <f t="shared" si="48"/>
        <v>755.85714285714289</v>
      </c>
      <c r="CM45" s="126">
        <f t="shared" si="48"/>
        <v>736.47619047619048</v>
      </c>
      <c r="CN45" s="126">
        <f t="shared" si="48"/>
        <v>717.09523809523807</v>
      </c>
      <c r="CO45" s="126">
        <f t="shared" si="48"/>
        <v>697.71428571428567</v>
      </c>
      <c r="CP45" s="126">
        <f t="shared" si="48"/>
        <v>678.33333333333337</v>
      </c>
      <c r="CQ45" s="126">
        <f t="shared" si="48"/>
        <v>658.95238095238096</v>
      </c>
      <c r="CR45" s="126">
        <f t="shared" si="48"/>
        <v>639.57142857142856</v>
      </c>
      <c r="CS45" s="126">
        <f t="shared" si="48"/>
        <v>620.19047619047615</v>
      </c>
      <c r="CT45" s="126">
        <f t="shared" si="48"/>
        <v>600.80952380952385</v>
      </c>
      <c r="CU45" s="126">
        <f t="shared" si="48"/>
        <v>581.42857142857144</v>
      </c>
      <c r="CV45" s="126">
        <f t="shared" si="48"/>
        <v>562.04761904761904</v>
      </c>
      <c r="CW45" s="126">
        <f t="shared" si="48"/>
        <v>542.66666666666663</v>
      </c>
      <c r="CX45" s="126">
        <f t="shared" si="48"/>
        <v>523.28571428571433</v>
      </c>
      <c r="CY45" s="126">
        <f t="shared" si="48"/>
        <v>503.90476190476193</v>
      </c>
      <c r="CZ45" s="126">
        <f t="shared" si="48"/>
        <v>484.52380952380952</v>
      </c>
      <c r="DA45" s="126">
        <f t="shared" si="48"/>
        <v>465.14285714285717</v>
      </c>
      <c r="DB45" s="126">
        <f t="shared" si="48"/>
        <v>445.76190476190476</v>
      </c>
      <c r="DC45" s="126">
        <f t="shared" si="48"/>
        <v>426.38095238095241</v>
      </c>
      <c r="DD45" s="126">
        <f t="shared" si="48"/>
        <v>407</v>
      </c>
      <c r="DE45" s="126">
        <f t="shared" si="48"/>
        <v>387.61904761904759</v>
      </c>
      <c r="DF45" s="126">
        <f t="shared" si="48"/>
        <v>368.23809523809524</v>
      </c>
      <c r="DG45" s="126">
        <f t="shared" ref="DG45:DY45" si="49">IF(AND(DF$1&lt;DG$1, DG$1&lt;=$F42),$AS45*($F42-DG$1)/($F42-$AS$1),0)</f>
        <v>348.85714285714283</v>
      </c>
      <c r="DH45" s="126">
        <f t="shared" si="49"/>
        <v>329.47619047619048</v>
      </c>
      <c r="DI45" s="126">
        <f t="shared" si="49"/>
        <v>310.09523809523807</v>
      </c>
      <c r="DJ45" s="126">
        <f t="shared" si="49"/>
        <v>290.71428571428572</v>
      </c>
      <c r="DK45" s="126">
        <f t="shared" si="49"/>
        <v>271.33333333333331</v>
      </c>
      <c r="DL45" s="126">
        <f t="shared" si="49"/>
        <v>251.95238095238096</v>
      </c>
      <c r="DM45" s="126">
        <f t="shared" si="49"/>
        <v>232.57142857142858</v>
      </c>
      <c r="DN45" s="126">
        <f t="shared" si="49"/>
        <v>213.1904761904762</v>
      </c>
      <c r="DO45" s="126">
        <f t="shared" si="49"/>
        <v>193.8095238095238</v>
      </c>
      <c r="DP45" s="126">
        <f t="shared" si="49"/>
        <v>174.42857142857142</v>
      </c>
      <c r="DQ45" s="126">
        <f t="shared" si="49"/>
        <v>155.04761904761904</v>
      </c>
      <c r="DR45" s="126">
        <f t="shared" si="49"/>
        <v>135.66666666666666</v>
      </c>
      <c r="DS45" s="126">
        <f t="shared" si="49"/>
        <v>116.28571428571429</v>
      </c>
      <c r="DT45" s="126">
        <f t="shared" si="49"/>
        <v>96.904761904761898</v>
      </c>
      <c r="DU45" s="126">
        <f t="shared" si="49"/>
        <v>77.523809523809518</v>
      </c>
      <c r="DV45" s="126">
        <f t="shared" si="49"/>
        <v>58.142857142857146</v>
      </c>
      <c r="DW45" s="126">
        <f t="shared" si="49"/>
        <v>38.761904761904759</v>
      </c>
      <c r="DX45" s="126">
        <f t="shared" si="49"/>
        <v>19.38095238095238</v>
      </c>
      <c r="DY45" s="126">
        <f t="shared" si="49"/>
        <v>0</v>
      </c>
    </row>
    <row r="46" spans="1:129" x14ac:dyDescent="0.45">
      <c r="A46" s="3"/>
      <c r="B46" s="2"/>
      <c r="C46" s="136" t="s">
        <v>271</v>
      </c>
      <c r="D46" s="17"/>
      <c r="E46" s="135"/>
      <c r="F46" s="135"/>
      <c r="G46" s="135"/>
      <c r="H46" s="135"/>
      <c r="I46" s="13">
        <f>SUM(I5+I9+I14+I18+I23+I27+I31+I35+I39+I43)</f>
        <v>0</v>
      </c>
      <c r="J46" s="13">
        <f t="shared" ref="J46:BU48" si="50">SUM(J5+J9+J14+J18+J23+J27+J31+J35+J39+J43)</f>
        <v>0</v>
      </c>
      <c r="K46" s="13">
        <f t="shared" si="50"/>
        <v>0</v>
      </c>
      <c r="L46" s="13">
        <f t="shared" si="50"/>
        <v>0</v>
      </c>
      <c r="M46" s="13">
        <f t="shared" si="50"/>
        <v>0</v>
      </c>
      <c r="N46" s="13">
        <f t="shared" si="50"/>
        <v>0</v>
      </c>
      <c r="O46" s="13">
        <f t="shared" si="50"/>
        <v>0</v>
      </c>
      <c r="P46" s="13">
        <f t="shared" si="50"/>
        <v>0</v>
      </c>
      <c r="Q46" s="13">
        <f t="shared" si="50"/>
        <v>0</v>
      </c>
      <c r="R46" s="13">
        <f t="shared" si="50"/>
        <v>0</v>
      </c>
      <c r="S46" s="13">
        <f t="shared" si="50"/>
        <v>0</v>
      </c>
      <c r="T46" s="13">
        <f t="shared" si="50"/>
        <v>0</v>
      </c>
      <c r="U46" s="13">
        <f t="shared" si="50"/>
        <v>5798.4007160870451</v>
      </c>
      <c r="V46" s="13">
        <f t="shared" si="50"/>
        <v>5690.2258085553322</v>
      </c>
      <c r="W46" s="13">
        <f t="shared" si="50"/>
        <v>5581.6196431839344</v>
      </c>
      <c r="X46" s="13">
        <f t="shared" si="50"/>
        <v>5472.5804790197571</v>
      </c>
      <c r="Y46" s="13">
        <f t="shared" si="50"/>
        <v>5363.1065680816164</v>
      </c>
      <c r="Z46" s="13">
        <f t="shared" si="50"/>
        <v>5253.1961553318706</v>
      </c>
      <c r="AA46" s="13">
        <f t="shared" si="50"/>
        <v>5142.8474786479337</v>
      </c>
      <c r="AB46" s="13">
        <f t="shared" si="50"/>
        <v>5032.0587687936695</v>
      </c>
      <c r="AC46" s="13">
        <f t="shared" si="50"/>
        <v>4920.8282493906827</v>
      </c>
      <c r="AD46" s="13">
        <f t="shared" si="50"/>
        <v>4809.1541368894768</v>
      </c>
      <c r="AE46" s="13">
        <f t="shared" si="50"/>
        <v>4697.0346405405153</v>
      </c>
      <c r="AF46" s="13">
        <f t="shared" si="50"/>
        <v>4584.4679623651464</v>
      </c>
      <c r="AG46" s="13">
        <f t="shared" si="50"/>
        <v>4471.4522971264259</v>
      </c>
      <c r="AH46" s="13">
        <f t="shared" si="50"/>
        <v>4357.9858322998125</v>
      </c>
      <c r="AI46" s="13">
        <f t="shared" si="50"/>
        <v>4244.0667480437478</v>
      </c>
      <c r="AJ46" s="13">
        <f t="shared" si="50"/>
        <v>4129.6932171701264</v>
      </c>
      <c r="AK46" s="13">
        <f t="shared" si="50"/>
        <v>4014.8634051146228</v>
      </c>
      <c r="AL46" s="13">
        <f t="shared" si="50"/>
        <v>3899.5754699069316</v>
      </c>
      <c r="AM46" s="13">
        <f t="shared" si="50"/>
        <v>3783.8275621408566</v>
      </c>
      <c r="AN46" s="13">
        <f t="shared" si="50"/>
        <v>3667.6178249443001</v>
      </c>
      <c r="AO46" s="13">
        <f t="shared" si="50"/>
        <v>3550.9443939491216</v>
      </c>
      <c r="AP46" s="13">
        <f t="shared" si="50"/>
        <v>3433.8053972608768</v>
      </c>
      <c r="AQ46" s="13">
        <f t="shared" si="50"/>
        <v>3316.1989554284341</v>
      </c>
      <c r="AR46" s="13">
        <f t="shared" si="50"/>
        <v>3198.1231814134699</v>
      </c>
      <c r="AS46" s="13">
        <f t="shared" si="50"/>
        <v>3079.5761805598395</v>
      </c>
      <c r="AT46" s="13">
        <f t="shared" si="50"/>
        <v>2960.5560505628232</v>
      </c>
      <c r="AU46" s="13">
        <f t="shared" si="50"/>
        <v>2841.0608814382504</v>
      </c>
      <c r="AV46" s="13">
        <f t="shared" si="50"/>
        <v>2721.0887554915003</v>
      </c>
      <c r="AW46" s="13">
        <f t="shared" si="50"/>
        <v>2600.6377472863724</v>
      </c>
      <c r="AX46" s="13">
        <f t="shared" si="50"/>
        <v>2479.7059236138357</v>
      </c>
      <c r="AY46" s="13">
        <f t="shared" si="50"/>
        <v>2358.2913434606508</v>
      </c>
      <c r="AZ46" s="13">
        <f t="shared" si="50"/>
        <v>2236.3920579778642</v>
      </c>
      <c r="BA46" s="13">
        <f t="shared" si="50"/>
        <v>2114.0061104491765</v>
      </c>
      <c r="BB46" s="13">
        <f t="shared" si="50"/>
        <v>1991.1315362591831</v>
      </c>
      <c r="BC46" s="13">
        <f t="shared" si="50"/>
        <v>1867.7663628614844</v>
      </c>
      <c r="BD46" s="13">
        <f t="shared" si="50"/>
        <v>1743.9086097466707</v>
      </c>
      <c r="BE46" s="13">
        <f t="shared" si="50"/>
        <v>1619.556288410176</v>
      </c>
      <c r="BF46" s="13">
        <f t="shared" si="50"/>
        <v>1494.7074023200014</v>
      </c>
      <c r="BG46" s="13">
        <f t="shared" si="50"/>
        <v>1369.3599468843101</v>
      </c>
      <c r="BH46" s="13">
        <f t="shared" si="50"/>
        <v>1243.5119094188881</v>
      </c>
      <c r="BI46" s="13">
        <f t="shared" si="50"/>
        <v>1117.1612691144799</v>
      </c>
      <c r="BJ46" s="13">
        <f t="shared" si="50"/>
        <v>990.30599700398488</v>
      </c>
      <c r="BK46" s="13">
        <f t="shared" si="50"/>
        <v>862.94405592952603</v>
      </c>
      <c r="BL46" s="13">
        <f t="shared" si="50"/>
        <v>735.07340050938467</v>
      </c>
      <c r="BM46" s="13">
        <f t="shared" si="50"/>
        <v>606.6919771048008</v>
      </c>
      <c r="BN46" s="13">
        <f t="shared" si="50"/>
        <v>477.79772378664126</v>
      </c>
      <c r="BO46" s="13">
        <f t="shared" si="50"/>
        <v>348.38857030193032</v>
      </c>
      <c r="BP46" s="13">
        <f t="shared" si="50"/>
        <v>218.46243804024883</v>
      </c>
      <c r="BQ46" s="13">
        <f t="shared" si="50"/>
        <v>88.017239999994914</v>
      </c>
      <c r="BR46" s="13">
        <f t="shared" si="50"/>
        <v>86.550286000000085</v>
      </c>
      <c r="BS46" s="13">
        <f t="shared" si="50"/>
        <v>85.08333200000007</v>
      </c>
      <c r="BT46" s="13">
        <f t="shared" si="50"/>
        <v>83.616378000000083</v>
      </c>
      <c r="BU46" s="13">
        <f t="shared" si="50"/>
        <v>82.149424000000081</v>
      </c>
      <c r="BV46" s="13">
        <f t="shared" ref="BV46:DY48" si="51">SUM(BV5+BV9+BV14+BV18+BV23+BV27+BV31+BV35+BV39+BV43)</f>
        <v>80.682470000000095</v>
      </c>
      <c r="BW46" s="13">
        <f t="shared" si="51"/>
        <v>79.215516000000093</v>
      </c>
      <c r="BX46" s="13">
        <f t="shared" si="51"/>
        <v>77.748562000000049</v>
      </c>
      <c r="BY46" s="13">
        <f t="shared" si="51"/>
        <v>76.281608000000062</v>
      </c>
      <c r="BZ46" s="13">
        <f t="shared" si="51"/>
        <v>74.814654000000061</v>
      </c>
      <c r="CA46" s="13">
        <f t="shared" si="51"/>
        <v>73.34770000000006</v>
      </c>
      <c r="CB46" s="13">
        <f t="shared" si="51"/>
        <v>71.880746000000059</v>
      </c>
      <c r="CC46" s="13">
        <f t="shared" si="51"/>
        <v>70.413792000000072</v>
      </c>
      <c r="CD46" s="13">
        <f t="shared" si="51"/>
        <v>68.946838000000056</v>
      </c>
      <c r="CE46" s="13">
        <f t="shared" si="51"/>
        <v>67.479884000000069</v>
      </c>
      <c r="CF46" s="13">
        <f t="shared" si="51"/>
        <v>66.012930000000054</v>
      </c>
      <c r="CG46" s="13">
        <f t="shared" si="51"/>
        <v>64.545976000000053</v>
      </c>
      <c r="CH46" s="13">
        <f t="shared" si="51"/>
        <v>63.079022000000066</v>
      </c>
      <c r="CI46" s="13">
        <f t="shared" si="51"/>
        <v>61.61206800000005</v>
      </c>
      <c r="CJ46" s="13">
        <f t="shared" si="51"/>
        <v>60.145114000000056</v>
      </c>
      <c r="CK46" s="13">
        <f t="shared" si="51"/>
        <v>58.678160000000055</v>
      </c>
      <c r="CL46" s="13">
        <f t="shared" si="51"/>
        <v>57.211206000000054</v>
      </c>
      <c r="CM46" s="13">
        <f t="shared" si="51"/>
        <v>55.744252000000053</v>
      </c>
      <c r="CN46" s="13">
        <f t="shared" si="51"/>
        <v>54.277298000000044</v>
      </c>
      <c r="CO46" s="13">
        <f t="shared" si="51"/>
        <v>52.810344000000043</v>
      </c>
      <c r="CP46" s="13">
        <f t="shared" si="51"/>
        <v>51.343390000000049</v>
      </c>
      <c r="CQ46" s="13">
        <f t="shared" si="51"/>
        <v>49.876436000000048</v>
      </c>
      <c r="CR46" s="13">
        <f t="shared" si="51"/>
        <v>48.40948200000004</v>
      </c>
      <c r="CS46" s="13">
        <f t="shared" si="51"/>
        <v>46.942528000000046</v>
      </c>
      <c r="CT46" s="13">
        <f t="shared" si="51"/>
        <v>45.475574000000044</v>
      </c>
      <c r="CU46" s="13">
        <f t="shared" si="51"/>
        <v>44.008620000000043</v>
      </c>
      <c r="CV46" s="13">
        <f t="shared" si="51"/>
        <v>42.541666000000035</v>
      </c>
      <c r="CW46" s="13">
        <f t="shared" si="51"/>
        <v>41.074712000000041</v>
      </c>
      <c r="CX46" s="13">
        <f t="shared" si="51"/>
        <v>39.607758000000047</v>
      </c>
      <c r="CY46" s="13">
        <f t="shared" si="51"/>
        <v>38.140804000000031</v>
      </c>
      <c r="CZ46" s="13">
        <f t="shared" si="51"/>
        <v>36.67385000000003</v>
      </c>
      <c r="DA46" s="13">
        <f t="shared" si="51"/>
        <v>35.206896000000036</v>
      </c>
      <c r="DB46" s="13">
        <f t="shared" si="51"/>
        <v>33.739942000000035</v>
      </c>
      <c r="DC46" s="13">
        <f t="shared" si="51"/>
        <v>32.272988000000026</v>
      </c>
      <c r="DD46" s="13">
        <f t="shared" si="51"/>
        <v>30.806034000000025</v>
      </c>
      <c r="DE46" s="13">
        <f t="shared" si="51"/>
        <v>29.339080000000028</v>
      </c>
      <c r="DF46" s="13">
        <f t="shared" si="51"/>
        <v>27.872126000000026</v>
      </c>
      <c r="DG46" s="13">
        <f t="shared" si="51"/>
        <v>26.405172000000022</v>
      </c>
      <c r="DH46" s="13">
        <f t="shared" si="51"/>
        <v>24.938218000000024</v>
      </c>
      <c r="DI46" s="13">
        <f t="shared" si="51"/>
        <v>23.471264000000023</v>
      </c>
      <c r="DJ46" s="13">
        <f t="shared" si="51"/>
        <v>22.004310000000022</v>
      </c>
      <c r="DK46" s="13">
        <f t="shared" si="51"/>
        <v>20.53735600000002</v>
      </c>
      <c r="DL46" s="13">
        <f t="shared" si="51"/>
        <v>19.070402000000016</v>
      </c>
      <c r="DM46" s="13">
        <f t="shared" si="51"/>
        <v>17.603448000000018</v>
      </c>
      <c r="DN46" s="13">
        <f t="shared" si="51"/>
        <v>16.136494000000013</v>
      </c>
      <c r="DO46" s="13">
        <f t="shared" si="51"/>
        <v>14.669540000000014</v>
      </c>
      <c r="DP46" s="13">
        <f t="shared" si="51"/>
        <v>13.202586000000011</v>
      </c>
      <c r="DQ46" s="13">
        <f t="shared" si="51"/>
        <v>11.735632000000011</v>
      </c>
      <c r="DR46" s="13">
        <f t="shared" si="51"/>
        <v>10.26867800000001</v>
      </c>
      <c r="DS46" s="13">
        <f t="shared" si="51"/>
        <v>8.801724000000009</v>
      </c>
      <c r="DT46" s="13">
        <f t="shared" si="51"/>
        <v>7.3347700000000069</v>
      </c>
      <c r="DU46" s="13">
        <f t="shared" si="51"/>
        <v>5.8678160000000057</v>
      </c>
      <c r="DV46" s="13">
        <f t="shared" si="51"/>
        <v>4.4008620000000045</v>
      </c>
      <c r="DW46" s="13">
        <f t="shared" si="51"/>
        <v>2.9339080000000028</v>
      </c>
      <c r="DX46" s="13">
        <f t="shared" si="51"/>
        <v>1.4669540000000014</v>
      </c>
      <c r="DY46" s="13">
        <f t="shared" si="51"/>
        <v>0</v>
      </c>
    </row>
    <row r="47" spans="1:129" x14ac:dyDescent="0.45">
      <c r="A47" s="3"/>
      <c r="B47" s="2"/>
      <c r="C47" s="136" t="s">
        <v>272</v>
      </c>
      <c r="D47" s="17"/>
      <c r="E47" s="135"/>
      <c r="F47" s="135"/>
      <c r="G47" s="135"/>
      <c r="H47" s="135"/>
      <c r="I47" s="13">
        <f>SUM(I6+I10+I15+I19+I24+I28+I32+I36+I40+I44)</f>
        <v>0</v>
      </c>
      <c r="J47" s="13">
        <f t="shared" si="50"/>
        <v>-6.7325942977056608</v>
      </c>
      <c r="K47" s="13">
        <f t="shared" si="50"/>
        <v>1.4456894285834425</v>
      </c>
      <c r="L47" s="13">
        <f t="shared" si="50"/>
        <v>0</v>
      </c>
      <c r="M47" s="13">
        <f t="shared" si="50"/>
        <v>0</v>
      </c>
      <c r="N47" s="13">
        <f t="shared" si="50"/>
        <v>0</v>
      </c>
      <c r="O47" s="13">
        <f t="shared" si="50"/>
        <v>0</v>
      </c>
      <c r="P47" s="13">
        <f t="shared" si="50"/>
        <v>0</v>
      </c>
      <c r="Q47" s="13">
        <f t="shared" si="50"/>
        <v>0</v>
      </c>
      <c r="R47" s="13">
        <f t="shared" si="50"/>
        <v>0</v>
      </c>
      <c r="S47" s="13">
        <f t="shared" si="50"/>
        <v>0</v>
      </c>
      <c r="T47" s="13">
        <f t="shared" si="50"/>
        <v>0</v>
      </c>
      <c r="U47" s="13">
        <f t="shared" si="50"/>
        <v>0</v>
      </c>
      <c r="V47" s="13">
        <f t="shared" si="50"/>
        <v>0</v>
      </c>
      <c r="W47" s="13">
        <f t="shared" si="50"/>
        <v>0</v>
      </c>
      <c r="X47" s="13">
        <f t="shared" si="50"/>
        <v>0</v>
      </c>
      <c r="Y47" s="13">
        <f t="shared" si="50"/>
        <v>0</v>
      </c>
      <c r="Z47" s="13">
        <f t="shared" si="50"/>
        <v>0</v>
      </c>
      <c r="AA47" s="13">
        <f t="shared" si="50"/>
        <v>0</v>
      </c>
      <c r="AB47" s="13">
        <f t="shared" si="50"/>
        <v>0</v>
      </c>
      <c r="AC47" s="13">
        <f t="shared" si="50"/>
        <v>0</v>
      </c>
      <c r="AD47" s="13">
        <f t="shared" si="50"/>
        <v>0</v>
      </c>
      <c r="AE47" s="13">
        <f t="shared" si="50"/>
        <v>0</v>
      </c>
      <c r="AF47" s="13">
        <f t="shared" si="50"/>
        <v>0</v>
      </c>
      <c r="AG47" s="13">
        <f t="shared" si="50"/>
        <v>19940.107982521593</v>
      </c>
      <c r="AH47" s="13">
        <f t="shared" si="50"/>
        <v>19765.45134748175</v>
      </c>
      <c r="AI47" s="13">
        <f t="shared" si="50"/>
        <v>19607.90360321568</v>
      </c>
      <c r="AJ47" s="13">
        <f t="shared" si="50"/>
        <v>19414.963488016601</v>
      </c>
      <c r="AK47" s="13">
        <f t="shared" si="50"/>
        <v>19239.129100318893</v>
      </c>
      <c r="AL47" s="13">
        <f t="shared" si="50"/>
        <v>19062.898954483651</v>
      </c>
      <c r="AM47" s="13">
        <f t="shared" si="50"/>
        <v>18886.271452867208</v>
      </c>
      <c r="AN47" s="13">
        <f t="shared" si="50"/>
        <v>18709.244991376345</v>
      </c>
      <c r="AO47" s="13">
        <f t="shared" si="50"/>
        <v>18531.817959442251</v>
      </c>
      <c r="AP47" s="13">
        <f t="shared" si="50"/>
        <v>18353.988739994358</v>
      </c>
      <c r="AQ47" s="13">
        <f t="shared" si="50"/>
        <v>18175.755709434143</v>
      </c>
      <c r="AR47" s="13">
        <f t="shared" si="50"/>
        <v>17997.117237608727</v>
      </c>
      <c r="AS47" s="13">
        <f t="shared" si="50"/>
        <v>17818.071687784446</v>
      </c>
      <c r="AT47" s="13">
        <f t="shared" si="50"/>
        <v>17638.617416620265</v>
      </c>
      <c r="AU47" s="13">
        <f t="shared" si="50"/>
        <v>17458.752774141132</v>
      </c>
      <c r="AV47" s="13">
        <f t="shared" si="50"/>
        <v>17278.476103711149</v>
      </c>
      <c r="AW47" s="13">
        <f t="shared" si="50"/>
        <v>17097.785742006738</v>
      </c>
      <c r="AX47" s="13">
        <f t="shared" si="50"/>
        <v>16916.680018989606</v>
      </c>
      <c r="AY47" s="13">
        <f t="shared" si="50"/>
        <v>16735.157257879659</v>
      </c>
      <c r="AZ47" s="13">
        <f t="shared" si="50"/>
        <v>16553.215775127766</v>
      </c>
      <c r="BA47" s="13">
        <f t="shared" si="50"/>
        <v>16370.853880388455</v>
      </c>
      <c r="BB47" s="13">
        <f t="shared" si="50"/>
        <v>16188.069876492456</v>
      </c>
      <c r="BC47" s="13">
        <f t="shared" si="50"/>
        <v>16004.862059419173</v>
      </c>
      <c r="BD47" s="13">
        <f t="shared" si="50"/>
        <v>15821.228718269005</v>
      </c>
      <c r="BE47" s="13">
        <f t="shared" si="50"/>
        <v>15637.168135235599</v>
      </c>
      <c r="BF47" s="13">
        <f t="shared" si="50"/>
        <v>15452.678585577951</v>
      </c>
      <c r="BG47" s="13">
        <f t="shared" si="50"/>
        <v>15267.758337592411</v>
      </c>
      <c r="BH47" s="13">
        <f t="shared" si="50"/>
        <v>15082.405652584597</v>
      </c>
      <c r="BI47" s="13">
        <f t="shared" si="50"/>
        <v>14896.618784841139</v>
      </c>
      <c r="BJ47" s="13">
        <f t="shared" si="50"/>
        <v>14710.395981601376</v>
      </c>
      <c r="BK47" s="13">
        <f t="shared" si="50"/>
        <v>14523.735483028891</v>
      </c>
      <c r="BL47" s="13">
        <f t="shared" si="50"/>
        <v>14336.635522182947</v>
      </c>
      <c r="BM47" s="13">
        <f t="shared" si="50"/>
        <v>14149.094324989812</v>
      </c>
      <c r="BN47" s="13">
        <f t="shared" si="50"/>
        <v>13961.110110213962</v>
      </c>
      <c r="BO47" s="13">
        <f t="shared" si="50"/>
        <v>13772.681089429161</v>
      </c>
      <c r="BP47" s="13">
        <f t="shared" si="50"/>
        <v>13583.805466989454</v>
      </c>
      <c r="BQ47" s="13">
        <f t="shared" si="50"/>
        <v>13394.481439999998</v>
      </c>
      <c r="BR47" s="13">
        <f t="shared" si="50"/>
        <v>13324.306749333333</v>
      </c>
      <c r="BS47" s="13">
        <f t="shared" si="50"/>
        <v>13254.132058666666</v>
      </c>
      <c r="BT47" s="13">
        <f t="shared" si="50"/>
        <v>13183.957367999999</v>
      </c>
      <c r="BU47" s="13">
        <f t="shared" si="50"/>
        <v>13113.782677333335</v>
      </c>
      <c r="BV47" s="13">
        <f t="shared" si="51"/>
        <v>13043.607986666666</v>
      </c>
      <c r="BW47" s="13">
        <f t="shared" si="51"/>
        <v>12973.433296000001</v>
      </c>
      <c r="BX47" s="13">
        <f t="shared" si="51"/>
        <v>12903.258605333334</v>
      </c>
      <c r="BY47" s="13">
        <f t="shared" si="51"/>
        <v>12833.083914666666</v>
      </c>
      <c r="BZ47" s="13">
        <f t="shared" si="51"/>
        <v>12762.909223999999</v>
      </c>
      <c r="CA47" s="13">
        <f t="shared" si="51"/>
        <v>12692.734533333334</v>
      </c>
      <c r="CB47" s="13">
        <f t="shared" si="51"/>
        <v>12622.559842666666</v>
      </c>
      <c r="CC47" s="13">
        <f t="shared" si="51"/>
        <v>12552.385152000001</v>
      </c>
      <c r="CD47" s="13">
        <f t="shared" si="51"/>
        <v>12482.210461333334</v>
      </c>
      <c r="CE47" s="13">
        <f t="shared" si="51"/>
        <v>12412.035770666665</v>
      </c>
      <c r="CF47" s="13">
        <f t="shared" si="51"/>
        <v>12341.861080000001</v>
      </c>
      <c r="CG47" s="13">
        <f t="shared" si="51"/>
        <v>12271.686389333334</v>
      </c>
      <c r="CH47" s="13">
        <f t="shared" si="51"/>
        <v>12201.511698666665</v>
      </c>
      <c r="CI47" s="13">
        <f t="shared" si="51"/>
        <v>12131.337007999999</v>
      </c>
      <c r="CJ47" s="13">
        <f t="shared" si="51"/>
        <v>12061.162317333336</v>
      </c>
      <c r="CK47" s="13">
        <f t="shared" si="51"/>
        <v>11990.987626666667</v>
      </c>
      <c r="CL47" s="13">
        <f t="shared" si="51"/>
        <v>11920.812936</v>
      </c>
      <c r="CM47" s="13">
        <f t="shared" si="51"/>
        <v>11850.638245333334</v>
      </c>
      <c r="CN47" s="13">
        <f t="shared" si="51"/>
        <v>11780.463554666665</v>
      </c>
      <c r="CO47" s="13">
        <f t="shared" si="51"/>
        <v>2526.2888640000001</v>
      </c>
      <c r="CP47" s="13">
        <f t="shared" si="51"/>
        <v>2456.1141733333334</v>
      </c>
      <c r="CQ47" s="13">
        <f t="shared" si="51"/>
        <v>2385.9394826666667</v>
      </c>
      <c r="CR47" s="13">
        <f t="shared" si="51"/>
        <v>2315.7647919999999</v>
      </c>
      <c r="CS47" s="13">
        <f t="shared" si="51"/>
        <v>2245.5901013333332</v>
      </c>
      <c r="CT47" s="13">
        <f t="shared" si="51"/>
        <v>2175.4154106666665</v>
      </c>
      <c r="CU47" s="13">
        <f t="shared" si="51"/>
        <v>2105.2407199999998</v>
      </c>
      <c r="CV47" s="13">
        <f t="shared" si="51"/>
        <v>2035.0660293333333</v>
      </c>
      <c r="CW47" s="13">
        <f t="shared" si="51"/>
        <v>1964.8913386666668</v>
      </c>
      <c r="CX47" s="13">
        <f t="shared" si="51"/>
        <v>1894.7166480000001</v>
      </c>
      <c r="CY47" s="13">
        <f t="shared" si="51"/>
        <v>1824.5419573333331</v>
      </c>
      <c r="CZ47" s="13">
        <f t="shared" si="51"/>
        <v>1754.3672666666669</v>
      </c>
      <c r="DA47" s="13">
        <f t="shared" si="51"/>
        <v>1684.1925759999999</v>
      </c>
      <c r="DB47" s="13">
        <f t="shared" si="51"/>
        <v>1614.017885333333</v>
      </c>
      <c r="DC47" s="13">
        <f t="shared" si="51"/>
        <v>1543.8431946666669</v>
      </c>
      <c r="DD47" s="13">
        <f t="shared" si="51"/>
        <v>1473.668504</v>
      </c>
      <c r="DE47" s="13">
        <f t="shared" si="51"/>
        <v>1403.4938133333333</v>
      </c>
      <c r="DF47" s="13">
        <f t="shared" si="51"/>
        <v>1333.3191226666668</v>
      </c>
      <c r="DG47" s="13">
        <f t="shared" si="51"/>
        <v>1263.1444320000001</v>
      </c>
      <c r="DH47" s="13">
        <f t="shared" si="51"/>
        <v>1192.9697413333333</v>
      </c>
      <c r="DI47" s="13">
        <f t="shared" si="51"/>
        <v>1122.7950506666666</v>
      </c>
      <c r="DJ47" s="13">
        <f t="shared" si="51"/>
        <v>1052.6203599999999</v>
      </c>
      <c r="DK47" s="13">
        <f t="shared" si="51"/>
        <v>982.4456693333334</v>
      </c>
      <c r="DL47" s="13">
        <f t="shared" si="51"/>
        <v>912.27097866666657</v>
      </c>
      <c r="DM47" s="13">
        <f t="shared" si="51"/>
        <v>842.09628799999996</v>
      </c>
      <c r="DN47" s="13">
        <f t="shared" si="51"/>
        <v>771.92159733333347</v>
      </c>
      <c r="DO47" s="13">
        <f t="shared" si="51"/>
        <v>701.74690666666663</v>
      </c>
      <c r="DP47" s="13">
        <f t="shared" si="51"/>
        <v>631.57221600000003</v>
      </c>
      <c r="DQ47" s="13">
        <f t="shared" si="51"/>
        <v>561.39752533333331</v>
      </c>
      <c r="DR47" s="13">
        <f t="shared" si="51"/>
        <v>491.2228346666667</v>
      </c>
      <c r="DS47" s="13">
        <f t="shared" si="51"/>
        <v>421.04814399999998</v>
      </c>
      <c r="DT47" s="13">
        <f t="shared" si="51"/>
        <v>350.87345333333332</v>
      </c>
      <c r="DU47" s="13">
        <f t="shared" si="51"/>
        <v>280.69876266666665</v>
      </c>
      <c r="DV47" s="13">
        <f t="shared" si="51"/>
        <v>210.52407199999999</v>
      </c>
      <c r="DW47" s="13">
        <f t="shared" si="51"/>
        <v>140.34938133333333</v>
      </c>
      <c r="DX47" s="13">
        <f t="shared" si="51"/>
        <v>70.174690666666663</v>
      </c>
      <c r="DY47" s="13">
        <f t="shared" si="51"/>
        <v>0</v>
      </c>
    </row>
    <row r="48" spans="1:129" x14ac:dyDescent="0.45">
      <c r="A48" s="3"/>
      <c r="B48" s="2"/>
      <c r="C48" s="136" t="s">
        <v>273</v>
      </c>
      <c r="D48" s="17"/>
      <c r="E48" s="135"/>
      <c r="F48" s="135"/>
      <c r="G48" s="135"/>
      <c r="H48" s="135"/>
      <c r="I48" s="13">
        <f>SUM(I7+I11+I16+I20+I25+I29+I33+I37+I41+I45)</f>
        <v>0</v>
      </c>
      <c r="J48" s="13">
        <f t="shared" si="50"/>
        <v>0</v>
      </c>
      <c r="K48" s="13">
        <f t="shared" si="50"/>
        <v>0</v>
      </c>
      <c r="L48" s="13">
        <f t="shared" si="50"/>
        <v>0</v>
      </c>
      <c r="M48" s="13">
        <f t="shared" si="50"/>
        <v>0</v>
      </c>
      <c r="N48" s="13">
        <f t="shared" si="50"/>
        <v>0</v>
      </c>
      <c r="O48" s="13">
        <f t="shared" si="50"/>
        <v>0</v>
      </c>
      <c r="P48" s="13">
        <f t="shared" si="50"/>
        <v>0</v>
      </c>
      <c r="Q48" s="13">
        <f t="shared" si="50"/>
        <v>0</v>
      </c>
      <c r="R48" s="13">
        <f t="shared" si="50"/>
        <v>0</v>
      </c>
      <c r="S48" s="13">
        <f t="shared" si="50"/>
        <v>0</v>
      </c>
      <c r="T48" s="13">
        <f t="shared" si="50"/>
        <v>0</v>
      </c>
      <c r="U48" s="13">
        <f t="shared" si="50"/>
        <v>0</v>
      </c>
      <c r="V48" s="13">
        <f t="shared" si="50"/>
        <v>0</v>
      </c>
      <c r="W48" s="13">
        <f t="shared" si="50"/>
        <v>0</v>
      </c>
      <c r="X48" s="13">
        <f t="shared" si="50"/>
        <v>0</v>
      </c>
      <c r="Y48" s="13">
        <f t="shared" si="50"/>
        <v>0</v>
      </c>
      <c r="Z48" s="13">
        <f t="shared" si="50"/>
        <v>0</v>
      </c>
      <c r="AA48" s="13">
        <f t="shared" si="50"/>
        <v>0</v>
      </c>
      <c r="AB48" s="13">
        <f t="shared" si="50"/>
        <v>0</v>
      </c>
      <c r="AC48" s="13">
        <f t="shared" si="50"/>
        <v>0</v>
      </c>
      <c r="AD48" s="13">
        <f t="shared" si="50"/>
        <v>0</v>
      </c>
      <c r="AE48" s="13">
        <f t="shared" si="50"/>
        <v>0</v>
      </c>
      <c r="AF48" s="13">
        <f t="shared" si="50"/>
        <v>0</v>
      </c>
      <c r="AG48" s="13">
        <f t="shared" si="50"/>
        <v>0</v>
      </c>
      <c r="AH48" s="13">
        <f t="shared" si="50"/>
        <v>0</v>
      </c>
      <c r="AI48" s="13">
        <f t="shared" si="50"/>
        <v>0</v>
      </c>
      <c r="AJ48" s="13">
        <f t="shared" si="50"/>
        <v>0</v>
      </c>
      <c r="AK48" s="13">
        <f t="shared" si="50"/>
        <v>0</v>
      </c>
      <c r="AL48" s="13">
        <f t="shared" si="50"/>
        <v>0</v>
      </c>
      <c r="AM48" s="13">
        <f t="shared" si="50"/>
        <v>0</v>
      </c>
      <c r="AN48" s="13">
        <f t="shared" si="50"/>
        <v>0</v>
      </c>
      <c r="AO48" s="13">
        <f t="shared" si="50"/>
        <v>0</v>
      </c>
      <c r="AP48" s="13">
        <f t="shared" si="50"/>
        <v>0</v>
      </c>
      <c r="AQ48" s="13">
        <f t="shared" si="50"/>
        <v>0</v>
      </c>
      <c r="AR48" s="13">
        <f t="shared" si="50"/>
        <v>0</v>
      </c>
      <c r="AS48" s="13">
        <f t="shared" si="50"/>
        <v>33654.579881942365</v>
      </c>
      <c r="AT48" s="13">
        <f t="shared" si="50"/>
        <v>32861.721368266408</v>
      </c>
      <c r="AU48" s="13">
        <f t="shared" si="50"/>
        <v>32065.992260209881</v>
      </c>
      <c r="AV48" s="13">
        <f t="shared" si="50"/>
        <v>31267.38096941495</v>
      </c>
      <c r="AW48" s="13">
        <f t="shared" si="50"/>
        <v>30465.875860742486</v>
      </c>
      <c r="AX48" s="13">
        <f t="shared" si="50"/>
        <v>29661.465252083253</v>
      </c>
      <c r="AY48" s="13">
        <f t="shared" si="50"/>
        <v>28854.13741416829</v>
      </c>
      <c r="AZ48" s="13">
        <f t="shared" si="50"/>
        <v>28043.880570378496</v>
      </c>
      <c r="BA48" s="13">
        <f t="shared" si="50"/>
        <v>27230.682896553542</v>
      </c>
      <c r="BB48" s="13">
        <f t="shared" si="50"/>
        <v>26414.532520799901</v>
      </c>
      <c r="BC48" s="13">
        <f t="shared" si="50"/>
        <v>25595.417523298172</v>
      </c>
      <c r="BD48" s="13">
        <f t="shared" si="50"/>
        <v>24773.325936109613</v>
      </c>
      <c r="BE48" s="13">
        <f t="shared" si="50"/>
        <v>23948.245742981861</v>
      </c>
      <c r="BF48" s="13">
        <f t="shared" si="50"/>
        <v>23120.164879153923</v>
      </c>
      <c r="BG48" s="13">
        <f t="shared" si="50"/>
        <v>22289.071231160353</v>
      </c>
      <c r="BH48" s="13">
        <f t="shared" si="50"/>
        <v>21454.9526366346</v>
      </c>
      <c r="BI48" s="13">
        <f t="shared" si="50"/>
        <v>20617.796884111631</v>
      </c>
      <c r="BJ48" s="13">
        <f t="shared" si="50"/>
        <v>19777.591712829708</v>
      </c>
      <c r="BK48" s="13">
        <f t="shared" si="50"/>
        <v>18934.324812531402</v>
      </c>
      <c r="BL48" s="13">
        <f t="shared" si="50"/>
        <v>18087.983823263748</v>
      </c>
      <c r="BM48" s="13">
        <f t="shared" si="50"/>
        <v>17238.556335177669</v>
      </c>
      <c r="BN48" s="13">
        <f t="shared" si="50"/>
        <v>16386.029888326517</v>
      </c>
      <c r="BO48" s="13">
        <f t="shared" si="50"/>
        <v>15530.39197246384</v>
      </c>
      <c r="BP48" s="13">
        <f t="shared" si="50"/>
        <v>14671.630026840343</v>
      </c>
      <c r="BQ48" s="13">
        <f t="shared" si="50"/>
        <v>13809.731439999994</v>
      </c>
      <c r="BR48" s="13">
        <f t="shared" si="50"/>
        <v>13737.535916000001</v>
      </c>
      <c r="BS48" s="13">
        <f t="shared" si="50"/>
        <v>13665.340392000002</v>
      </c>
      <c r="BT48" s="13">
        <f t="shared" si="50"/>
        <v>13593.144868000001</v>
      </c>
      <c r="BU48" s="13">
        <f t="shared" si="50"/>
        <v>13520.949344000002</v>
      </c>
      <c r="BV48" s="13">
        <f t="shared" si="51"/>
        <v>13448.75382</v>
      </c>
      <c r="BW48" s="13">
        <f t="shared" si="51"/>
        <v>13376.558295999999</v>
      </c>
      <c r="BX48" s="13">
        <f t="shared" si="51"/>
        <v>13304.362772</v>
      </c>
      <c r="BY48" s="13">
        <f t="shared" si="51"/>
        <v>13232.167247999998</v>
      </c>
      <c r="BZ48" s="13">
        <f t="shared" si="51"/>
        <v>13159.971723999999</v>
      </c>
      <c r="CA48" s="13">
        <f t="shared" si="51"/>
        <v>13087.776199999998</v>
      </c>
      <c r="CB48" s="13">
        <f t="shared" si="51"/>
        <v>13015.580675999998</v>
      </c>
      <c r="CC48" s="13">
        <f t="shared" si="51"/>
        <v>12943.385151999999</v>
      </c>
      <c r="CD48" s="13">
        <f t="shared" si="51"/>
        <v>12871.189627999998</v>
      </c>
      <c r="CE48" s="13">
        <f t="shared" si="51"/>
        <v>12798.994103999999</v>
      </c>
      <c r="CF48" s="13">
        <f t="shared" si="51"/>
        <v>12726.798579999999</v>
      </c>
      <c r="CG48" s="13">
        <f t="shared" si="51"/>
        <v>12654.603056</v>
      </c>
      <c r="CH48" s="13">
        <f t="shared" si="51"/>
        <v>12582.407531999999</v>
      </c>
      <c r="CI48" s="13">
        <f t="shared" si="51"/>
        <v>12510.212007999999</v>
      </c>
      <c r="CJ48" s="13">
        <f t="shared" si="51"/>
        <v>12438.016484</v>
      </c>
      <c r="CK48" s="13">
        <f t="shared" si="51"/>
        <v>12365.820959999999</v>
      </c>
      <c r="CL48" s="13">
        <f t="shared" si="51"/>
        <v>12293.625436</v>
      </c>
      <c r="CM48" s="13">
        <f t="shared" si="51"/>
        <v>12221.429912</v>
      </c>
      <c r="CN48" s="13">
        <f t="shared" si="51"/>
        <v>12149.234387999999</v>
      </c>
      <c r="CO48" s="13">
        <f t="shared" si="51"/>
        <v>2599.0388640000001</v>
      </c>
      <c r="CP48" s="13">
        <f t="shared" si="51"/>
        <v>2526.8433400000004</v>
      </c>
      <c r="CQ48" s="13">
        <f t="shared" si="51"/>
        <v>2454.6478160000001</v>
      </c>
      <c r="CR48" s="13">
        <f t="shared" si="51"/>
        <v>2382.4522919999999</v>
      </c>
      <c r="CS48" s="13">
        <f t="shared" si="51"/>
        <v>2310.2567680000002</v>
      </c>
      <c r="CT48" s="13">
        <f t="shared" si="51"/>
        <v>2238.0612440000004</v>
      </c>
      <c r="CU48" s="13">
        <f t="shared" si="51"/>
        <v>2165.8657200000002</v>
      </c>
      <c r="CV48" s="13">
        <f t="shared" si="51"/>
        <v>2093.670196</v>
      </c>
      <c r="CW48" s="13">
        <f t="shared" si="51"/>
        <v>2021.4746720000003</v>
      </c>
      <c r="CX48" s="13">
        <f t="shared" si="51"/>
        <v>1949.2791480000001</v>
      </c>
      <c r="CY48" s="13">
        <f t="shared" si="51"/>
        <v>1877.0836240000001</v>
      </c>
      <c r="CZ48" s="13">
        <f t="shared" si="51"/>
        <v>1804.8881000000001</v>
      </c>
      <c r="DA48" s="13">
        <f t="shared" si="51"/>
        <v>1732.6925760000001</v>
      </c>
      <c r="DB48" s="13">
        <f t="shared" si="51"/>
        <v>1660.4970520000002</v>
      </c>
      <c r="DC48" s="13">
        <f t="shared" si="51"/>
        <v>1588.301528</v>
      </c>
      <c r="DD48" s="13">
        <f t="shared" si="51"/>
        <v>1516.1060040000002</v>
      </c>
      <c r="DE48" s="13">
        <f t="shared" si="51"/>
        <v>1443.91048</v>
      </c>
      <c r="DF48" s="13">
        <f t="shared" si="51"/>
        <v>1371.714956</v>
      </c>
      <c r="DG48" s="13">
        <f t="shared" si="51"/>
        <v>1299.5194320000001</v>
      </c>
      <c r="DH48" s="13">
        <f t="shared" si="51"/>
        <v>1227.3239080000001</v>
      </c>
      <c r="DI48" s="13">
        <f t="shared" si="51"/>
        <v>1155.1283840000001</v>
      </c>
      <c r="DJ48" s="13">
        <f t="shared" si="51"/>
        <v>1082.9328600000001</v>
      </c>
      <c r="DK48" s="13">
        <f t="shared" si="51"/>
        <v>1010.7373360000001</v>
      </c>
      <c r="DL48" s="13">
        <f t="shared" si="51"/>
        <v>938.54181200000005</v>
      </c>
      <c r="DM48" s="13">
        <f t="shared" si="51"/>
        <v>866.34628800000007</v>
      </c>
      <c r="DN48" s="13">
        <f t="shared" si="51"/>
        <v>794.15076399999998</v>
      </c>
      <c r="DO48" s="13">
        <f t="shared" si="51"/>
        <v>721.95524</v>
      </c>
      <c r="DP48" s="13">
        <f t="shared" si="51"/>
        <v>649.75971600000003</v>
      </c>
      <c r="DQ48" s="13">
        <f t="shared" si="51"/>
        <v>577.56419200000005</v>
      </c>
      <c r="DR48" s="13">
        <f t="shared" si="51"/>
        <v>505.36866800000007</v>
      </c>
      <c r="DS48" s="13">
        <f t="shared" si="51"/>
        <v>433.17314400000004</v>
      </c>
      <c r="DT48" s="13">
        <f t="shared" si="51"/>
        <v>360.97762</v>
      </c>
      <c r="DU48" s="13">
        <f t="shared" si="51"/>
        <v>288.78209600000002</v>
      </c>
      <c r="DV48" s="13">
        <f t="shared" si="51"/>
        <v>216.58657200000002</v>
      </c>
      <c r="DW48" s="13">
        <f t="shared" si="51"/>
        <v>144.39104800000001</v>
      </c>
      <c r="DX48" s="13">
        <f t="shared" si="51"/>
        <v>72.195524000000006</v>
      </c>
      <c r="DY48" s="13">
        <f t="shared" si="51"/>
        <v>0</v>
      </c>
    </row>
    <row r="49" spans="1:129" x14ac:dyDescent="0.45">
      <c r="A49" s="3">
        <v>46022</v>
      </c>
      <c r="B49" s="2" t="s">
        <v>0</v>
      </c>
      <c r="C49" s="8" t="s">
        <v>14</v>
      </c>
      <c r="D49" s="16"/>
      <c r="E49" s="54"/>
      <c r="F49" s="54"/>
      <c r="G49" s="54"/>
      <c r="H49" s="54"/>
      <c r="I49" s="15">
        <f>I3+I12+I21+I34+I38+I42</f>
        <v>155592.38798</v>
      </c>
      <c r="J49" s="15">
        <f t="shared" ref="J49:BU49" si="52">J3+J12+J21+J34+J38+J42</f>
        <v>71811.301543997717</v>
      </c>
      <c r="K49" s="15">
        <f t="shared" si="52"/>
        <v>63693.664574238886</v>
      </c>
      <c r="L49" s="15">
        <f t="shared" si="52"/>
        <v>55562.805626292131</v>
      </c>
      <c r="M49" s="15">
        <f t="shared" si="52"/>
        <v>47418.689160415153</v>
      </c>
      <c r="N49" s="15">
        <f t="shared" si="52"/>
        <v>39261.27954129823</v>
      </c>
      <c r="O49" s="15">
        <f t="shared" si="52"/>
        <v>31090.541037807205</v>
      </c>
      <c r="P49" s="15">
        <f t="shared" si="52"/>
        <v>26087.483489392187</v>
      </c>
      <c r="Q49" s="15">
        <f t="shared" si="52"/>
        <v>21071.025305829091</v>
      </c>
      <c r="R49" s="15">
        <f t="shared" si="52"/>
        <v>16041.130466960398</v>
      </c>
      <c r="S49" s="15">
        <f t="shared" si="52"/>
        <v>10997.762855768591</v>
      </c>
      <c r="T49" s="15">
        <f t="shared" si="52"/>
        <v>10976.027679951638</v>
      </c>
      <c r="U49" s="15">
        <f t="shared" si="52"/>
        <v>7673.5689680000005</v>
      </c>
      <c r="V49" s="15">
        <f t="shared" si="52"/>
        <v>7545.0813085066293</v>
      </c>
      <c r="W49" s="15">
        <f t="shared" si="52"/>
        <v>7416.1399911872404</v>
      </c>
      <c r="X49" s="15">
        <f t="shared" si="52"/>
        <v>7286.7431846618038</v>
      </c>
      <c r="Y49" s="15">
        <f t="shared" si="52"/>
        <v>7156.8890501571505</v>
      </c>
      <c r="Z49" s="15">
        <f t="shared" si="52"/>
        <v>7026.575741477136</v>
      </c>
      <c r="AA49" s="15">
        <f t="shared" si="52"/>
        <v>6895.8014049726708</v>
      </c>
      <c r="AB49" s="15">
        <f t="shared" si="52"/>
        <v>6764.5641795116317</v>
      </c>
      <c r="AC49" s="15">
        <f t="shared" si="52"/>
        <v>6632.8621964486574</v>
      </c>
      <c r="AD49" s="15">
        <f t="shared" si="52"/>
        <v>6500.6935795948166</v>
      </c>
      <c r="AE49" s="15">
        <f t="shared" si="52"/>
        <v>6368.0564451871514</v>
      </c>
      <c r="AF49" s="15">
        <f t="shared" si="52"/>
        <v>6234.9489018581089</v>
      </c>
      <c r="AG49" s="15">
        <f t="shared" si="52"/>
        <v>10120.706729126427</v>
      </c>
      <c r="AH49" s="15">
        <f t="shared" si="52"/>
        <v>9882.1707189067674</v>
      </c>
      <c r="AI49" s="15">
        <f t="shared" si="52"/>
        <v>9642.7675760827606</v>
      </c>
      <c r="AJ49" s="15">
        <f t="shared" si="52"/>
        <v>9402.4938001100545</v>
      </c>
      <c r="AK49" s="15">
        <f t="shared" si="52"/>
        <v>9161.3458763128947</v>
      </c>
      <c r="AL49" s="15">
        <f t="shared" si="52"/>
        <v>8919.3202758270545</v>
      </c>
      <c r="AM49" s="15">
        <f t="shared" si="52"/>
        <v>8676.4134555425735</v>
      </c>
      <c r="AN49" s="15">
        <f t="shared" si="52"/>
        <v>8432.6218580462355</v>
      </c>
      <c r="AO49" s="15">
        <f t="shared" si="52"/>
        <v>8187.9419115638439</v>
      </c>
      <c r="AP49" s="15">
        <f t="shared" si="52"/>
        <v>7942.3700299022294</v>
      </c>
      <c r="AQ49" s="15">
        <f t="shared" si="52"/>
        <v>7695.9026123910562</v>
      </c>
      <c r="AR49" s="15">
        <f t="shared" si="52"/>
        <v>7448.5360438243679</v>
      </c>
      <c r="AS49" s="15">
        <f t="shared" si="52"/>
        <v>25312.422560344286</v>
      </c>
      <c r="AT49" s="15">
        <f t="shared" si="52"/>
        <v>24342.583795936647</v>
      </c>
      <c r="AU49" s="15">
        <f t="shared" si="52"/>
        <v>23368.964352673407</v>
      </c>
      <c r="AV49" s="15">
        <f t="shared" si="52"/>
        <v>22391.548968259129</v>
      </c>
      <c r="AW49" s="15">
        <f t="shared" si="52"/>
        <v>21410.322318785726</v>
      </c>
      <c r="AX49" s="15">
        <f t="shared" si="52"/>
        <v>20425.269018483719</v>
      </c>
      <c r="AY49" s="15">
        <f t="shared" si="52"/>
        <v>19436.373619472532</v>
      </c>
      <c r="AZ49" s="15">
        <f t="shared" si="52"/>
        <v>18443.620611509738</v>
      </c>
      <c r="BA49" s="15">
        <f t="shared" si="52"/>
        <v>17446.994421739317</v>
      </c>
      <c r="BB49" s="15">
        <f t="shared" si="52"/>
        <v>16446.479414438872</v>
      </c>
      <c r="BC49" s="15">
        <f t="shared" si="52"/>
        <v>15442.059890765875</v>
      </c>
      <c r="BD49" s="15">
        <f t="shared" si="52"/>
        <v>14433.72008850282</v>
      </c>
      <c r="BE49" s="15">
        <f t="shared" si="52"/>
        <v>13421.444181801415</v>
      </c>
      <c r="BF49" s="15">
        <f t="shared" si="52"/>
        <v>12405.216280925686</v>
      </c>
      <c r="BG49" s="15">
        <f t="shared" si="52"/>
        <v>11385.020431994086</v>
      </c>
      <c r="BH49" s="15">
        <f t="shared" si="52"/>
        <v>10360.840616720528</v>
      </c>
      <c r="BI49" s="15">
        <f t="shared" si="52"/>
        <v>9332.6607521544029</v>
      </c>
      <c r="BJ49" s="15">
        <f t="shared" si="52"/>
        <v>8300.4646904195215</v>
      </c>
      <c r="BK49" s="15">
        <f t="shared" si="52"/>
        <v>7264.2362184520252</v>
      </c>
      <c r="BL49" s="15">
        <f t="shared" si="52"/>
        <v>6223.9590577372255</v>
      </c>
      <c r="BM49" s="15">
        <f t="shared" si="52"/>
        <v>5179.6168640453834</v>
      </c>
      <c r="BN49" s="15">
        <f t="shared" si="52"/>
        <v>4131.1932271664227</v>
      </c>
      <c r="BO49" s="15">
        <f t="shared" si="52"/>
        <v>3078.6716706435727</v>
      </c>
      <c r="BP49" s="15">
        <f t="shared" si="52"/>
        <v>2022.0356515059389</v>
      </c>
      <c r="BQ49" s="15">
        <f t="shared" si="52"/>
        <v>961.26855999998611</v>
      </c>
      <c r="BR49" s="15">
        <f t="shared" si="52"/>
        <v>945.71408399999996</v>
      </c>
      <c r="BS49" s="15">
        <f t="shared" si="52"/>
        <v>930.15960799999993</v>
      </c>
      <c r="BT49" s="15">
        <f t="shared" si="52"/>
        <v>914.60513200000003</v>
      </c>
      <c r="BU49" s="15">
        <f t="shared" si="52"/>
        <v>899.050656</v>
      </c>
      <c r="BV49" s="15">
        <f t="shared" ref="BV49:DY49" si="53">BV3+BV12+BV21+BV34+BV38+BV42</f>
        <v>883.49617999999998</v>
      </c>
      <c r="BW49" s="15">
        <f t="shared" si="53"/>
        <v>867.94170399999996</v>
      </c>
      <c r="BX49" s="15">
        <f t="shared" si="53"/>
        <v>852.38722800000005</v>
      </c>
      <c r="BY49" s="15">
        <f t="shared" si="53"/>
        <v>836.83275199999991</v>
      </c>
      <c r="BZ49" s="15">
        <f t="shared" si="53"/>
        <v>821.27827600000001</v>
      </c>
      <c r="CA49" s="15">
        <f t="shared" si="53"/>
        <v>805.72379999999998</v>
      </c>
      <c r="CB49" s="15">
        <f t="shared" si="53"/>
        <v>790.16932399999996</v>
      </c>
      <c r="CC49" s="15">
        <f t="shared" si="53"/>
        <v>774.61484799999994</v>
      </c>
      <c r="CD49" s="15">
        <f t="shared" si="53"/>
        <v>759.06037199999992</v>
      </c>
      <c r="CE49" s="15">
        <f t="shared" si="53"/>
        <v>743.50589600000001</v>
      </c>
      <c r="CF49" s="15">
        <f t="shared" si="53"/>
        <v>727.95141999999998</v>
      </c>
      <c r="CG49" s="15">
        <f t="shared" si="53"/>
        <v>712.39694399999996</v>
      </c>
      <c r="CH49" s="15">
        <f t="shared" si="53"/>
        <v>696.84246800000005</v>
      </c>
      <c r="CI49" s="15">
        <f t="shared" si="53"/>
        <v>681.28799200000003</v>
      </c>
      <c r="CJ49" s="15">
        <f t="shared" si="53"/>
        <v>665.73351600000001</v>
      </c>
      <c r="CK49" s="15">
        <f t="shared" si="53"/>
        <v>650.17903999999999</v>
      </c>
      <c r="CL49" s="15">
        <f t="shared" si="53"/>
        <v>634.62456399999996</v>
      </c>
      <c r="CM49" s="15">
        <f t="shared" si="53"/>
        <v>619.07008799999994</v>
      </c>
      <c r="CN49" s="15">
        <f t="shared" si="53"/>
        <v>603.51561200000003</v>
      </c>
      <c r="CO49" s="15">
        <f t="shared" si="53"/>
        <v>559.96113600000001</v>
      </c>
      <c r="CP49" s="15">
        <f t="shared" si="53"/>
        <v>544.4066600000001</v>
      </c>
      <c r="CQ49" s="15">
        <f t="shared" si="53"/>
        <v>528.85218400000008</v>
      </c>
      <c r="CR49" s="15">
        <f t="shared" si="53"/>
        <v>513.29770800000006</v>
      </c>
      <c r="CS49" s="15">
        <f t="shared" si="53"/>
        <v>497.74323199999998</v>
      </c>
      <c r="CT49" s="15">
        <f t="shared" si="53"/>
        <v>482.18875600000001</v>
      </c>
      <c r="CU49" s="15">
        <f t="shared" si="53"/>
        <v>466.63427999999999</v>
      </c>
      <c r="CV49" s="15">
        <f t="shared" si="53"/>
        <v>451.07980399999997</v>
      </c>
      <c r="CW49" s="15">
        <f t="shared" si="53"/>
        <v>435.525328</v>
      </c>
      <c r="CX49" s="15">
        <f t="shared" si="53"/>
        <v>419.97085199999998</v>
      </c>
      <c r="CY49" s="15">
        <f t="shared" si="53"/>
        <v>404.41637599999996</v>
      </c>
      <c r="CZ49" s="15">
        <f t="shared" si="53"/>
        <v>388.86189999999999</v>
      </c>
      <c r="DA49" s="15">
        <f t="shared" si="53"/>
        <v>373.30742399999997</v>
      </c>
      <c r="DB49" s="15">
        <f t="shared" si="53"/>
        <v>357.752948</v>
      </c>
      <c r="DC49" s="15">
        <f t="shared" si="53"/>
        <v>342.19847199999998</v>
      </c>
      <c r="DD49" s="15">
        <f t="shared" si="53"/>
        <v>326.64399600000002</v>
      </c>
      <c r="DE49" s="15">
        <f t="shared" si="53"/>
        <v>311.08951999999999</v>
      </c>
      <c r="DF49" s="15">
        <f t="shared" si="53"/>
        <v>295.53504399999997</v>
      </c>
      <c r="DG49" s="15">
        <f t="shared" si="53"/>
        <v>279.98056800000001</v>
      </c>
      <c r="DH49" s="15">
        <f t="shared" si="53"/>
        <v>264.42609200000004</v>
      </c>
      <c r="DI49" s="15">
        <f t="shared" si="53"/>
        <v>248.87161599999999</v>
      </c>
      <c r="DJ49" s="15">
        <f t="shared" si="53"/>
        <v>233.31713999999999</v>
      </c>
      <c r="DK49" s="15">
        <f t="shared" si="53"/>
        <v>217.762664</v>
      </c>
      <c r="DL49" s="15">
        <f t="shared" si="53"/>
        <v>202.20818799999998</v>
      </c>
      <c r="DM49" s="15">
        <f t="shared" si="53"/>
        <v>186.65371199999998</v>
      </c>
      <c r="DN49" s="15">
        <f t="shared" si="53"/>
        <v>171.09923599999999</v>
      </c>
      <c r="DO49" s="15">
        <f t="shared" si="53"/>
        <v>155.54476</v>
      </c>
      <c r="DP49" s="15">
        <f t="shared" si="53"/>
        <v>139.990284</v>
      </c>
      <c r="DQ49" s="15">
        <f t="shared" si="53"/>
        <v>124.43580799999999</v>
      </c>
      <c r="DR49" s="15">
        <f t="shared" si="53"/>
        <v>108.881332</v>
      </c>
      <c r="DS49" s="15">
        <f t="shared" si="53"/>
        <v>93.326855999999992</v>
      </c>
      <c r="DT49" s="15">
        <f t="shared" si="53"/>
        <v>77.772379999999998</v>
      </c>
      <c r="DU49" s="15">
        <f t="shared" si="53"/>
        <v>62.217903999999997</v>
      </c>
      <c r="DV49" s="15">
        <f t="shared" si="53"/>
        <v>46.663427999999996</v>
      </c>
      <c r="DW49" s="15">
        <f t="shared" si="53"/>
        <v>31.108951999999999</v>
      </c>
      <c r="DX49" s="15">
        <f t="shared" si="53"/>
        <v>15.554475999999999</v>
      </c>
      <c r="DY49" s="15">
        <f t="shared" si="53"/>
        <v>0</v>
      </c>
    </row>
    <row r="50" spans="1:129" x14ac:dyDescent="0.45">
      <c r="A50" s="3">
        <v>46022</v>
      </c>
      <c r="B50" s="2" t="s">
        <v>19</v>
      </c>
      <c r="C50" s="4" t="s">
        <v>20</v>
      </c>
      <c r="D50" s="16"/>
      <c r="E50" s="54"/>
      <c r="F50" s="54"/>
      <c r="G50" s="54"/>
      <c r="H50" s="54"/>
      <c r="I50" s="13">
        <f>I51+I55</f>
        <v>74095.3</v>
      </c>
      <c r="J50" s="58">
        <f>SUM(J51:J55)</f>
        <v>73528.240000000005</v>
      </c>
      <c r="K50" s="58">
        <f t="shared" ref="K50:BV50" si="54">SUM(K51:K55)</f>
        <v>73150.200000000012</v>
      </c>
      <c r="L50" s="58">
        <f t="shared" si="54"/>
        <v>72772.160000000003</v>
      </c>
      <c r="M50" s="58">
        <f t="shared" si="54"/>
        <v>72394.12000000001</v>
      </c>
      <c r="N50" s="58">
        <f t="shared" si="54"/>
        <v>72205.100000000006</v>
      </c>
      <c r="O50" s="58">
        <f t="shared" si="54"/>
        <v>72205.100000000006</v>
      </c>
      <c r="P50" s="58">
        <f t="shared" si="54"/>
        <v>72205.100000000006</v>
      </c>
      <c r="Q50" s="58">
        <f t="shared" si="54"/>
        <v>72205.100000000006</v>
      </c>
      <c r="R50" s="58">
        <f t="shared" si="54"/>
        <v>72205.100000000006</v>
      </c>
      <c r="S50" s="58">
        <f t="shared" si="54"/>
        <v>72205.100000000006</v>
      </c>
      <c r="T50" s="58">
        <f t="shared" si="54"/>
        <v>72205.100000000006</v>
      </c>
      <c r="U50" s="97">
        <f t="shared" si="54"/>
        <v>72205.100000000006</v>
      </c>
      <c r="V50" s="58">
        <f t="shared" si="54"/>
        <v>72205.100000000006</v>
      </c>
      <c r="W50" s="58">
        <f t="shared" si="54"/>
        <v>72205.100000000006</v>
      </c>
      <c r="X50" s="58">
        <f t="shared" si="54"/>
        <v>72205.100000000006</v>
      </c>
      <c r="Y50" s="58">
        <f t="shared" si="54"/>
        <v>72205.100000000006</v>
      </c>
      <c r="Z50" s="58">
        <f t="shared" si="54"/>
        <v>72205.100000000006</v>
      </c>
      <c r="AA50" s="58">
        <f t="shared" si="54"/>
        <v>72205.100000000006</v>
      </c>
      <c r="AB50" s="58">
        <f t="shared" si="54"/>
        <v>72205.100000000006</v>
      </c>
      <c r="AC50" s="58">
        <f t="shared" si="54"/>
        <v>72205.100000000006</v>
      </c>
      <c r="AD50" s="58">
        <f t="shared" si="54"/>
        <v>72205.100000000006</v>
      </c>
      <c r="AE50" s="58">
        <f t="shared" si="54"/>
        <v>72205.100000000006</v>
      </c>
      <c r="AF50" s="58">
        <f t="shared" si="54"/>
        <v>72205.100000000006</v>
      </c>
      <c r="AG50" s="103">
        <f t="shared" si="54"/>
        <v>0</v>
      </c>
      <c r="AH50" s="58">
        <f t="shared" si="54"/>
        <v>0</v>
      </c>
      <c r="AI50" s="58">
        <f t="shared" si="54"/>
        <v>0</v>
      </c>
      <c r="AJ50" s="58">
        <f t="shared" si="54"/>
        <v>0</v>
      </c>
      <c r="AK50" s="58">
        <f t="shared" si="54"/>
        <v>0</v>
      </c>
      <c r="AL50" s="58">
        <f t="shared" si="54"/>
        <v>0</v>
      </c>
      <c r="AM50" s="58">
        <f t="shared" si="54"/>
        <v>0</v>
      </c>
      <c r="AN50" s="58">
        <f t="shared" si="54"/>
        <v>0</v>
      </c>
      <c r="AO50" s="58">
        <f t="shared" si="54"/>
        <v>0</v>
      </c>
      <c r="AP50" s="58">
        <f t="shared" si="54"/>
        <v>0</v>
      </c>
      <c r="AQ50" s="58">
        <f t="shared" si="54"/>
        <v>0</v>
      </c>
      <c r="AR50" s="58">
        <f t="shared" si="54"/>
        <v>0</v>
      </c>
      <c r="AS50" s="109">
        <f t="shared" si="54"/>
        <v>0</v>
      </c>
      <c r="AT50" s="58">
        <f t="shared" si="54"/>
        <v>0</v>
      </c>
      <c r="AU50" s="58">
        <f t="shared" si="54"/>
        <v>0</v>
      </c>
      <c r="AV50" s="58">
        <f t="shared" si="54"/>
        <v>0</v>
      </c>
      <c r="AW50" s="58">
        <f t="shared" si="54"/>
        <v>0</v>
      </c>
      <c r="AX50" s="58">
        <f t="shared" si="54"/>
        <v>0</v>
      </c>
      <c r="AY50" s="58">
        <f t="shared" si="54"/>
        <v>0</v>
      </c>
      <c r="AZ50" s="58">
        <f t="shared" si="54"/>
        <v>0</v>
      </c>
      <c r="BA50" s="58">
        <f t="shared" si="54"/>
        <v>0</v>
      </c>
      <c r="BB50" s="58">
        <f t="shared" si="54"/>
        <v>0</v>
      </c>
      <c r="BC50" s="58">
        <f t="shared" si="54"/>
        <v>0</v>
      </c>
      <c r="BD50" s="58">
        <f t="shared" si="54"/>
        <v>0</v>
      </c>
      <c r="BE50" s="58">
        <f t="shared" si="54"/>
        <v>0</v>
      </c>
      <c r="BF50" s="58">
        <f t="shared" si="54"/>
        <v>0</v>
      </c>
      <c r="BG50" s="58">
        <f t="shared" si="54"/>
        <v>0</v>
      </c>
      <c r="BH50" s="58">
        <f t="shared" si="54"/>
        <v>0</v>
      </c>
      <c r="BI50" s="58">
        <f t="shared" si="54"/>
        <v>0</v>
      </c>
      <c r="BJ50" s="58">
        <f t="shared" si="54"/>
        <v>0</v>
      </c>
      <c r="BK50" s="58">
        <f t="shared" si="54"/>
        <v>0</v>
      </c>
      <c r="BL50" s="58">
        <f t="shared" si="54"/>
        <v>0</v>
      </c>
      <c r="BM50" s="58">
        <f t="shared" si="54"/>
        <v>0</v>
      </c>
      <c r="BN50" s="58">
        <f t="shared" si="54"/>
        <v>0</v>
      </c>
      <c r="BO50" s="58">
        <f t="shared" si="54"/>
        <v>0</v>
      </c>
      <c r="BP50" s="58">
        <f t="shared" si="54"/>
        <v>0</v>
      </c>
      <c r="BQ50" s="58">
        <f t="shared" si="54"/>
        <v>0</v>
      </c>
      <c r="BR50" s="58">
        <f t="shared" si="54"/>
        <v>0</v>
      </c>
      <c r="BS50" s="58">
        <f t="shared" si="54"/>
        <v>0</v>
      </c>
      <c r="BT50" s="58">
        <f t="shared" si="54"/>
        <v>0</v>
      </c>
      <c r="BU50" s="58">
        <f t="shared" si="54"/>
        <v>0</v>
      </c>
      <c r="BV50" s="58">
        <f t="shared" si="54"/>
        <v>0</v>
      </c>
      <c r="BW50" s="58">
        <f t="shared" ref="BW50:DY50" si="55">SUM(BW51:BW55)</f>
        <v>0</v>
      </c>
      <c r="BX50" s="58">
        <f t="shared" si="55"/>
        <v>0</v>
      </c>
      <c r="BY50" s="58">
        <f t="shared" si="55"/>
        <v>0</v>
      </c>
      <c r="BZ50" s="58">
        <f t="shared" si="55"/>
        <v>0</v>
      </c>
      <c r="CA50" s="58">
        <f t="shared" si="55"/>
        <v>0</v>
      </c>
      <c r="CB50" s="58">
        <f t="shared" si="55"/>
        <v>0</v>
      </c>
      <c r="CC50" s="58">
        <f t="shared" si="55"/>
        <v>0</v>
      </c>
      <c r="CD50" s="58">
        <f t="shared" si="55"/>
        <v>0</v>
      </c>
      <c r="CE50" s="58">
        <f t="shared" si="55"/>
        <v>0</v>
      </c>
      <c r="CF50" s="58">
        <f t="shared" si="55"/>
        <v>0</v>
      </c>
      <c r="CG50" s="58">
        <f t="shared" si="55"/>
        <v>0</v>
      </c>
      <c r="CH50" s="58">
        <f t="shared" si="55"/>
        <v>0</v>
      </c>
      <c r="CI50" s="58">
        <f t="shared" si="55"/>
        <v>0</v>
      </c>
      <c r="CJ50" s="58">
        <f t="shared" si="55"/>
        <v>0</v>
      </c>
      <c r="CK50" s="58">
        <f t="shared" si="55"/>
        <v>0</v>
      </c>
      <c r="CL50" s="58">
        <f t="shared" si="55"/>
        <v>0</v>
      </c>
      <c r="CM50" s="58">
        <f t="shared" si="55"/>
        <v>0</v>
      </c>
      <c r="CN50" s="58">
        <f t="shared" si="55"/>
        <v>0</v>
      </c>
      <c r="CO50" s="58">
        <f t="shared" si="55"/>
        <v>0</v>
      </c>
      <c r="CP50" s="58">
        <f t="shared" si="55"/>
        <v>0</v>
      </c>
      <c r="CQ50" s="58">
        <f t="shared" si="55"/>
        <v>0</v>
      </c>
      <c r="CR50" s="58">
        <f t="shared" si="55"/>
        <v>0</v>
      </c>
      <c r="CS50" s="58">
        <f t="shared" si="55"/>
        <v>0</v>
      </c>
      <c r="CT50" s="58">
        <f t="shared" si="55"/>
        <v>0</v>
      </c>
      <c r="CU50" s="58">
        <f t="shared" si="55"/>
        <v>0</v>
      </c>
      <c r="CV50" s="58">
        <f t="shared" si="55"/>
        <v>0</v>
      </c>
      <c r="CW50" s="58">
        <f t="shared" si="55"/>
        <v>0</v>
      </c>
      <c r="CX50" s="58">
        <f t="shared" si="55"/>
        <v>0</v>
      </c>
      <c r="CY50" s="58">
        <f t="shared" si="55"/>
        <v>0</v>
      </c>
      <c r="CZ50" s="58">
        <f t="shared" si="55"/>
        <v>0</v>
      </c>
      <c r="DA50" s="58">
        <f t="shared" si="55"/>
        <v>0</v>
      </c>
      <c r="DB50" s="58">
        <f t="shared" si="55"/>
        <v>0</v>
      </c>
      <c r="DC50" s="58">
        <f t="shared" si="55"/>
        <v>0</v>
      </c>
      <c r="DD50" s="58">
        <f t="shared" si="55"/>
        <v>0</v>
      </c>
      <c r="DE50" s="58">
        <f t="shared" si="55"/>
        <v>0</v>
      </c>
      <c r="DF50" s="58">
        <f t="shared" si="55"/>
        <v>0</v>
      </c>
      <c r="DG50" s="58">
        <f t="shared" si="55"/>
        <v>0</v>
      </c>
      <c r="DH50" s="58">
        <f t="shared" si="55"/>
        <v>0</v>
      </c>
      <c r="DI50" s="58">
        <f t="shared" si="55"/>
        <v>0</v>
      </c>
      <c r="DJ50" s="58">
        <f t="shared" si="55"/>
        <v>0</v>
      </c>
      <c r="DK50" s="58">
        <f t="shared" si="55"/>
        <v>0</v>
      </c>
      <c r="DL50" s="58">
        <f t="shared" si="55"/>
        <v>0</v>
      </c>
      <c r="DM50" s="58">
        <f t="shared" si="55"/>
        <v>0</v>
      </c>
      <c r="DN50" s="58">
        <f t="shared" si="55"/>
        <v>0</v>
      </c>
      <c r="DO50" s="58">
        <f t="shared" si="55"/>
        <v>0</v>
      </c>
      <c r="DP50" s="58">
        <f t="shared" si="55"/>
        <v>0</v>
      </c>
      <c r="DQ50" s="58">
        <f t="shared" si="55"/>
        <v>0</v>
      </c>
      <c r="DR50" s="58">
        <f t="shared" si="55"/>
        <v>0</v>
      </c>
      <c r="DS50" s="58">
        <f t="shared" si="55"/>
        <v>0</v>
      </c>
      <c r="DT50" s="58">
        <f t="shared" si="55"/>
        <v>0</v>
      </c>
      <c r="DU50" s="58">
        <f t="shared" si="55"/>
        <v>0</v>
      </c>
      <c r="DV50" s="58">
        <f t="shared" si="55"/>
        <v>0</v>
      </c>
      <c r="DW50" s="58">
        <f t="shared" si="55"/>
        <v>0</v>
      </c>
      <c r="DX50" s="58">
        <f t="shared" si="55"/>
        <v>0</v>
      </c>
      <c r="DY50" s="58">
        <f t="shared" si="55"/>
        <v>0</v>
      </c>
    </row>
    <row r="51" spans="1:129" x14ac:dyDescent="0.45">
      <c r="A51" s="3">
        <v>46022</v>
      </c>
      <c r="B51" s="2" t="s">
        <v>19</v>
      </c>
      <c r="C51" s="6" t="s">
        <v>5</v>
      </c>
      <c r="D51" s="17">
        <v>0</v>
      </c>
      <c r="E51" s="2" t="s">
        <v>48</v>
      </c>
      <c r="F51" s="2">
        <v>4</v>
      </c>
      <c r="G51" s="2" t="s">
        <v>45</v>
      </c>
      <c r="H51" s="2">
        <v>4</v>
      </c>
      <c r="I51" s="14">
        <v>1890.2</v>
      </c>
      <c r="J51" s="55">
        <f>IF(J$1&lt;=$F51,$I51*(90%-(20%*J$1)),0)</f>
        <v>1323.1399999999999</v>
      </c>
      <c r="K51" s="55">
        <f t="shared" ref="K51:BV51" si="56">IF(K$1&lt;=$F51,$I51*(90%-(20%*K$1)),0)</f>
        <v>945.1</v>
      </c>
      <c r="L51" s="55">
        <f t="shared" si="56"/>
        <v>567.05999999999983</v>
      </c>
      <c r="M51" s="55">
        <f t="shared" si="56"/>
        <v>189.01999999999995</v>
      </c>
      <c r="N51" s="55">
        <f t="shared" si="56"/>
        <v>0</v>
      </c>
      <c r="O51" s="55">
        <f t="shared" si="56"/>
        <v>0</v>
      </c>
      <c r="P51" s="55">
        <f t="shared" si="56"/>
        <v>0</v>
      </c>
      <c r="Q51" s="55">
        <f t="shared" si="56"/>
        <v>0</v>
      </c>
      <c r="R51" s="55">
        <f t="shared" si="56"/>
        <v>0</v>
      </c>
      <c r="S51" s="55">
        <f t="shared" si="56"/>
        <v>0</v>
      </c>
      <c r="T51" s="55">
        <f t="shared" si="56"/>
        <v>0</v>
      </c>
      <c r="U51" s="96">
        <f t="shared" si="56"/>
        <v>0</v>
      </c>
      <c r="V51" s="55">
        <f t="shared" si="56"/>
        <v>0</v>
      </c>
      <c r="W51" s="55">
        <f t="shared" si="56"/>
        <v>0</v>
      </c>
      <c r="X51" s="55">
        <f t="shared" si="56"/>
        <v>0</v>
      </c>
      <c r="Y51" s="55">
        <f t="shared" si="56"/>
        <v>0</v>
      </c>
      <c r="Z51" s="55">
        <f t="shared" si="56"/>
        <v>0</v>
      </c>
      <c r="AA51" s="55">
        <f t="shared" si="56"/>
        <v>0</v>
      </c>
      <c r="AB51" s="55">
        <f t="shared" si="56"/>
        <v>0</v>
      </c>
      <c r="AC51" s="55">
        <f t="shared" si="56"/>
        <v>0</v>
      </c>
      <c r="AD51" s="55">
        <f t="shared" si="56"/>
        <v>0</v>
      </c>
      <c r="AE51" s="55">
        <f t="shared" si="56"/>
        <v>0</v>
      </c>
      <c r="AF51" s="55">
        <f t="shared" si="56"/>
        <v>0</v>
      </c>
      <c r="AG51" s="102">
        <f t="shared" si="56"/>
        <v>0</v>
      </c>
      <c r="AH51" s="55">
        <f t="shared" si="56"/>
        <v>0</v>
      </c>
      <c r="AI51" s="55">
        <f t="shared" si="56"/>
        <v>0</v>
      </c>
      <c r="AJ51" s="55">
        <f t="shared" si="56"/>
        <v>0</v>
      </c>
      <c r="AK51" s="55">
        <f t="shared" si="56"/>
        <v>0</v>
      </c>
      <c r="AL51" s="55">
        <f t="shared" si="56"/>
        <v>0</v>
      </c>
      <c r="AM51" s="55">
        <f t="shared" si="56"/>
        <v>0</v>
      </c>
      <c r="AN51" s="55">
        <f t="shared" si="56"/>
        <v>0</v>
      </c>
      <c r="AO51" s="55">
        <f t="shared" si="56"/>
        <v>0</v>
      </c>
      <c r="AP51" s="55">
        <f t="shared" si="56"/>
        <v>0</v>
      </c>
      <c r="AQ51" s="55">
        <f t="shared" si="56"/>
        <v>0</v>
      </c>
      <c r="AR51" s="55">
        <f t="shared" si="56"/>
        <v>0</v>
      </c>
      <c r="AS51" s="108">
        <f t="shared" si="56"/>
        <v>0</v>
      </c>
      <c r="AT51" s="55">
        <f t="shared" si="56"/>
        <v>0</v>
      </c>
      <c r="AU51" s="55">
        <f t="shared" si="56"/>
        <v>0</v>
      </c>
      <c r="AV51" s="55">
        <f t="shared" si="56"/>
        <v>0</v>
      </c>
      <c r="AW51" s="55">
        <f t="shared" si="56"/>
        <v>0</v>
      </c>
      <c r="AX51" s="55">
        <f t="shared" si="56"/>
        <v>0</v>
      </c>
      <c r="AY51" s="55">
        <f t="shared" si="56"/>
        <v>0</v>
      </c>
      <c r="AZ51" s="55">
        <f t="shared" si="56"/>
        <v>0</v>
      </c>
      <c r="BA51" s="55">
        <f t="shared" si="56"/>
        <v>0</v>
      </c>
      <c r="BB51" s="55">
        <f t="shared" si="56"/>
        <v>0</v>
      </c>
      <c r="BC51" s="55">
        <f t="shared" si="56"/>
        <v>0</v>
      </c>
      <c r="BD51" s="55">
        <f t="shared" si="56"/>
        <v>0</v>
      </c>
      <c r="BE51" s="55">
        <f t="shared" si="56"/>
        <v>0</v>
      </c>
      <c r="BF51" s="55">
        <f t="shared" si="56"/>
        <v>0</v>
      </c>
      <c r="BG51" s="55">
        <f t="shared" si="56"/>
        <v>0</v>
      </c>
      <c r="BH51" s="55">
        <f t="shared" si="56"/>
        <v>0</v>
      </c>
      <c r="BI51" s="55">
        <f t="shared" si="56"/>
        <v>0</v>
      </c>
      <c r="BJ51" s="55">
        <f t="shared" si="56"/>
        <v>0</v>
      </c>
      <c r="BK51" s="55">
        <f t="shared" si="56"/>
        <v>0</v>
      </c>
      <c r="BL51" s="55">
        <f t="shared" si="56"/>
        <v>0</v>
      </c>
      <c r="BM51" s="55">
        <f t="shared" si="56"/>
        <v>0</v>
      </c>
      <c r="BN51" s="55">
        <f t="shared" si="56"/>
        <v>0</v>
      </c>
      <c r="BO51" s="55">
        <f t="shared" si="56"/>
        <v>0</v>
      </c>
      <c r="BP51" s="55">
        <f t="shared" si="56"/>
        <v>0</v>
      </c>
      <c r="BQ51" s="55">
        <f t="shared" si="56"/>
        <v>0</v>
      </c>
      <c r="BR51" s="55">
        <f t="shared" si="56"/>
        <v>0</v>
      </c>
      <c r="BS51" s="55">
        <f t="shared" si="56"/>
        <v>0</v>
      </c>
      <c r="BT51" s="55">
        <f t="shared" si="56"/>
        <v>0</v>
      </c>
      <c r="BU51" s="55">
        <f t="shared" si="56"/>
        <v>0</v>
      </c>
      <c r="BV51" s="55">
        <f t="shared" si="56"/>
        <v>0</v>
      </c>
      <c r="BW51" s="55">
        <f t="shared" ref="BW51:DY51" si="57">IF(BW$1&lt;=$F51,$I51*(90%-(20%*BW$1)),0)</f>
        <v>0</v>
      </c>
      <c r="BX51" s="55">
        <f t="shared" si="57"/>
        <v>0</v>
      </c>
      <c r="BY51" s="55">
        <f t="shared" si="57"/>
        <v>0</v>
      </c>
      <c r="BZ51" s="55">
        <f t="shared" si="57"/>
        <v>0</v>
      </c>
      <c r="CA51" s="55">
        <f t="shared" si="57"/>
        <v>0</v>
      </c>
      <c r="CB51" s="55">
        <f t="shared" si="57"/>
        <v>0</v>
      </c>
      <c r="CC51" s="55">
        <f t="shared" si="57"/>
        <v>0</v>
      </c>
      <c r="CD51" s="55">
        <f t="shared" si="57"/>
        <v>0</v>
      </c>
      <c r="CE51" s="55">
        <f t="shared" si="57"/>
        <v>0</v>
      </c>
      <c r="CF51" s="55">
        <f t="shared" si="57"/>
        <v>0</v>
      </c>
      <c r="CG51" s="55">
        <f t="shared" si="57"/>
        <v>0</v>
      </c>
      <c r="CH51" s="55">
        <f t="shared" si="57"/>
        <v>0</v>
      </c>
      <c r="CI51" s="55">
        <f t="shared" si="57"/>
        <v>0</v>
      </c>
      <c r="CJ51" s="55">
        <f t="shared" si="57"/>
        <v>0</v>
      </c>
      <c r="CK51" s="55">
        <f t="shared" si="57"/>
        <v>0</v>
      </c>
      <c r="CL51" s="55">
        <f t="shared" si="57"/>
        <v>0</v>
      </c>
      <c r="CM51" s="55">
        <f t="shared" si="57"/>
        <v>0</v>
      </c>
      <c r="CN51" s="55">
        <f t="shared" si="57"/>
        <v>0</v>
      </c>
      <c r="CO51" s="55">
        <f t="shared" si="57"/>
        <v>0</v>
      </c>
      <c r="CP51" s="55">
        <f t="shared" si="57"/>
        <v>0</v>
      </c>
      <c r="CQ51" s="55">
        <f t="shared" si="57"/>
        <v>0</v>
      </c>
      <c r="CR51" s="55">
        <f t="shared" si="57"/>
        <v>0</v>
      </c>
      <c r="CS51" s="55">
        <f t="shared" si="57"/>
        <v>0</v>
      </c>
      <c r="CT51" s="55">
        <f t="shared" si="57"/>
        <v>0</v>
      </c>
      <c r="CU51" s="55">
        <f t="shared" si="57"/>
        <v>0</v>
      </c>
      <c r="CV51" s="55">
        <f t="shared" si="57"/>
        <v>0</v>
      </c>
      <c r="CW51" s="55">
        <f t="shared" si="57"/>
        <v>0</v>
      </c>
      <c r="CX51" s="55">
        <f t="shared" si="57"/>
        <v>0</v>
      </c>
      <c r="CY51" s="55">
        <f t="shared" si="57"/>
        <v>0</v>
      </c>
      <c r="CZ51" s="55">
        <f t="shared" si="57"/>
        <v>0</v>
      </c>
      <c r="DA51" s="55">
        <f t="shared" si="57"/>
        <v>0</v>
      </c>
      <c r="DB51" s="55">
        <f t="shared" si="57"/>
        <v>0</v>
      </c>
      <c r="DC51" s="55">
        <f t="shared" si="57"/>
        <v>0</v>
      </c>
      <c r="DD51" s="55">
        <f t="shared" si="57"/>
        <v>0</v>
      </c>
      <c r="DE51" s="55">
        <f t="shared" si="57"/>
        <v>0</v>
      </c>
      <c r="DF51" s="55">
        <f t="shared" si="57"/>
        <v>0</v>
      </c>
      <c r="DG51" s="55">
        <f t="shared" si="57"/>
        <v>0</v>
      </c>
      <c r="DH51" s="55">
        <f t="shared" si="57"/>
        <v>0</v>
      </c>
      <c r="DI51" s="55">
        <f t="shared" si="57"/>
        <v>0</v>
      </c>
      <c r="DJ51" s="55">
        <f t="shared" si="57"/>
        <v>0</v>
      </c>
      <c r="DK51" s="55">
        <f t="shared" si="57"/>
        <v>0</v>
      </c>
      <c r="DL51" s="55">
        <f t="shared" si="57"/>
        <v>0</v>
      </c>
      <c r="DM51" s="55">
        <f t="shared" si="57"/>
        <v>0</v>
      </c>
      <c r="DN51" s="55">
        <f t="shared" si="57"/>
        <v>0</v>
      </c>
      <c r="DO51" s="55">
        <f t="shared" si="57"/>
        <v>0</v>
      </c>
      <c r="DP51" s="55">
        <f t="shared" si="57"/>
        <v>0</v>
      </c>
      <c r="DQ51" s="55">
        <f t="shared" si="57"/>
        <v>0</v>
      </c>
      <c r="DR51" s="55">
        <f t="shared" si="57"/>
        <v>0</v>
      </c>
      <c r="DS51" s="55">
        <f t="shared" si="57"/>
        <v>0</v>
      </c>
      <c r="DT51" s="55">
        <f t="shared" si="57"/>
        <v>0</v>
      </c>
      <c r="DU51" s="55">
        <f t="shared" si="57"/>
        <v>0</v>
      </c>
      <c r="DV51" s="55">
        <f t="shared" si="57"/>
        <v>0</v>
      </c>
      <c r="DW51" s="55">
        <f t="shared" si="57"/>
        <v>0</v>
      </c>
      <c r="DX51" s="55">
        <f t="shared" si="57"/>
        <v>0</v>
      </c>
      <c r="DY51" s="55">
        <f t="shared" si="57"/>
        <v>0</v>
      </c>
    </row>
    <row r="52" spans="1:129" x14ac:dyDescent="0.45">
      <c r="A52" s="3"/>
      <c r="B52" s="2"/>
      <c r="C52" s="121" t="s">
        <v>268</v>
      </c>
      <c r="D52" s="17"/>
      <c r="E52" s="2"/>
      <c r="F52" s="2"/>
      <c r="G52" s="2"/>
      <c r="H52" s="2"/>
      <c r="I52" s="13"/>
      <c r="J52" s="58"/>
      <c r="K52" s="58"/>
      <c r="L52" s="58"/>
      <c r="M52" s="58"/>
      <c r="N52" s="58"/>
      <c r="O52" s="58"/>
      <c r="P52" s="58"/>
      <c r="Q52" s="58"/>
      <c r="R52" s="58"/>
      <c r="S52" s="58"/>
      <c r="T52" s="58"/>
      <c r="U52" s="97"/>
      <c r="V52" s="58"/>
      <c r="W52" s="58"/>
      <c r="X52" s="58"/>
      <c r="Y52" s="58"/>
      <c r="Z52" s="58"/>
      <c r="AA52" s="58"/>
      <c r="AB52" s="58"/>
      <c r="AC52" s="58"/>
      <c r="AD52" s="58"/>
      <c r="AE52" s="58"/>
      <c r="AF52" s="58"/>
      <c r="AG52" s="103"/>
      <c r="AH52" s="58"/>
      <c r="AI52" s="58"/>
      <c r="AJ52" s="58"/>
      <c r="AK52" s="58"/>
      <c r="AL52" s="58"/>
      <c r="AM52" s="58"/>
      <c r="AN52" s="58"/>
      <c r="AO52" s="58"/>
      <c r="AP52" s="58"/>
      <c r="AQ52" s="58"/>
      <c r="AR52" s="58"/>
      <c r="AS52" s="109"/>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c r="DU52" s="58"/>
      <c r="DV52" s="58"/>
      <c r="DW52" s="58"/>
      <c r="DX52" s="58"/>
      <c r="DY52" s="58"/>
    </row>
    <row r="53" spans="1:129" x14ac:dyDescent="0.45">
      <c r="A53" s="3"/>
      <c r="B53" s="2"/>
      <c r="C53" s="122" t="s">
        <v>269</v>
      </c>
      <c r="D53" s="17"/>
      <c r="E53" s="2"/>
      <c r="F53" s="2"/>
      <c r="G53" s="2"/>
      <c r="H53" s="2"/>
      <c r="I53" s="13"/>
      <c r="J53" s="58"/>
      <c r="K53" s="58"/>
      <c r="L53" s="58"/>
      <c r="M53" s="58"/>
      <c r="N53" s="58"/>
      <c r="O53" s="58"/>
      <c r="P53" s="58"/>
      <c r="Q53" s="58"/>
      <c r="R53" s="58"/>
      <c r="S53" s="58"/>
      <c r="T53" s="58"/>
      <c r="U53" s="97"/>
      <c r="V53" s="58"/>
      <c r="W53" s="58"/>
      <c r="X53" s="58"/>
      <c r="Y53" s="58"/>
      <c r="Z53" s="58"/>
      <c r="AA53" s="58"/>
      <c r="AB53" s="58"/>
      <c r="AC53" s="58"/>
      <c r="AD53" s="58"/>
      <c r="AE53" s="58"/>
      <c r="AF53" s="58"/>
      <c r="AG53" s="103"/>
      <c r="AH53" s="58"/>
      <c r="AI53" s="58"/>
      <c r="AJ53" s="58"/>
      <c r="AK53" s="58"/>
      <c r="AL53" s="58"/>
      <c r="AM53" s="58"/>
      <c r="AN53" s="58"/>
      <c r="AO53" s="58"/>
      <c r="AP53" s="58"/>
      <c r="AQ53" s="58"/>
      <c r="AR53" s="58"/>
      <c r="AS53" s="109"/>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c r="DU53" s="58"/>
      <c r="DV53" s="58"/>
      <c r="DW53" s="58"/>
      <c r="DX53" s="58"/>
      <c r="DY53" s="58"/>
    </row>
    <row r="54" spans="1:129" x14ac:dyDescent="0.45">
      <c r="A54" s="3"/>
      <c r="B54" s="2"/>
      <c r="C54" s="125" t="s">
        <v>270</v>
      </c>
      <c r="D54" s="17"/>
      <c r="E54" s="2"/>
      <c r="F54" s="2"/>
      <c r="G54" s="2"/>
      <c r="H54" s="2"/>
      <c r="I54" s="13"/>
      <c r="J54" s="58"/>
      <c r="K54" s="58"/>
      <c r="L54" s="58"/>
      <c r="M54" s="58"/>
      <c r="N54" s="58"/>
      <c r="O54" s="58"/>
      <c r="P54" s="58"/>
      <c r="Q54" s="58"/>
      <c r="R54" s="58"/>
      <c r="S54" s="58"/>
      <c r="T54" s="58"/>
      <c r="U54" s="97"/>
      <c r="V54" s="58"/>
      <c r="W54" s="58"/>
      <c r="X54" s="58"/>
      <c r="Y54" s="58"/>
      <c r="Z54" s="58"/>
      <c r="AA54" s="58"/>
      <c r="AB54" s="58"/>
      <c r="AC54" s="58"/>
      <c r="AD54" s="58"/>
      <c r="AE54" s="58"/>
      <c r="AF54" s="58"/>
      <c r="AG54" s="103"/>
      <c r="AH54" s="58"/>
      <c r="AI54" s="58"/>
      <c r="AJ54" s="58"/>
      <c r="AK54" s="58"/>
      <c r="AL54" s="58"/>
      <c r="AM54" s="58"/>
      <c r="AN54" s="58"/>
      <c r="AO54" s="58"/>
      <c r="AP54" s="58"/>
      <c r="AQ54" s="58"/>
      <c r="AR54" s="58"/>
      <c r="AS54" s="109"/>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58"/>
      <c r="DV54" s="58"/>
      <c r="DW54" s="58"/>
      <c r="DX54" s="58"/>
      <c r="DY54" s="58"/>
    </row>
    <row r="55" spans="1:129" x14ac:dyDescent="0.45">
      <c r="A55" s="3">
        <v>46022</v>
      </c>
      <c r="B55" s="2" t="s">
        <v>19</v>
      </c>
      <c r="C55" s="6" t="s">
        <v>6</v>
      </c>
      <c r="D55" s="17">
        <v>1.3896500000000001E-2</v>
      </c>
      <c r="E55" s="2" t="s">
        <v>47</v>
      </c>
      <c r="F55" s="2">
        <v>24</v>
      </c>
      <c r="G55" s="2" t="s">
        <v>47</v>
      </c>
      <c r="H55" s="2">
        <v>24</v>
      </c>
      <c r="I55" s="14">
        <v>72205.100000000006</v>
      </c>
      <c r="J55" s="55">
        <f t="shared" ref="J55:BU55" si="58">IF(J$1&lt;$F55,$I55,0)</f>
        <v>72205.100000000006</v>
      </c>
      <c r="K55" s="55">
        <f t="shared" si="58"/>
        <v>72205.100000000006</v>
      </c>
      <c r="L55" s="55">
        <f t="shared" si="58"/>
        <v>72205.100000000006</v>
      </c>
      <c r="M55" s="55">
        <f t="shared" si="58"/>
        <v>72205.100000000006</v>
      </c>
      <c r="N55" s="55">
        <f t="shared" si="58"/>
        <v>72205.100000000006</v>
      </c>
      <c r="O55" s="55">
        <f t="shared" si="58"/>
        <v>72205.100000000006</v>
      </c>
      <c r="P55" s="55">
        <f t="shared" si="58"/>
        <v>72205.100000000006</v>
      </c>
      <c r="Q55" s="55">
        <f t="shared" si="58"/>
        <v>72205.100000000006</v>
      </c>
      <c r="R55" s="55">
        <f t="shared" si="58"/>
        <v>72205.100000000006</v>
      </c>
      <c r="S55" s="55">
        <f t="shared" si="58"/>
        <v>72205.100000000006</v>
      </c>
      <c r="T55" s="55">
        <f t="shared" si="58"/>
        <v>72205.100000000006</v>
      </c>
      <c r="U55" s="96">
        <f t="shared" si="58"/>
        <v>72205.100000000006</v>
      </c>
      <c r="V55" s="55">
        <f t="shared" si="58"/>
        <v>72205.100000000006</v>
      </c>
      <c r="W55" s="55">
        <f t="shared" si="58"/>
        <v>72205.100000000006</v>
      </c>
      <c r="X55" s="55">
        <f t="shared" si="58"/>
        <v>72205.100000000006</v>
      </c>
      <c r="Y55" s="55">
        <f t="shared" si="58"/>
        <v>72205.100000000006</v>
      </c>
      <c r="Z55" s="55">
        <f t="shared" si="58"/>
        <v>72205.100000000006</v>
      </c>
      <c r="AA55" s="55">
        <f t="shared" si="58"/>
        <v>72205.100000000006</v>
      </c>
      <c r="AB55" s="55">
        <f t="shared" si="58"/>
        <v>72205.100000000006</v>
      </c>
      <c r="AC55" s="55">
        <f t="shared" si="58"/>
        <v>72205.100000000006</v>
      </c>
      <c r="AD55" s="55">
        <f t="shared" si="58"/>
        <v>72205.100000000006</v>
      </c>
      <c r="AE55" s="55">
        <f t="shared" si="58"/>
        <v>72205.100000000006</v>
      </c>
      <c r="AF55" s="55">
        <f t="shared" si="58"/>
        <v>72205.100000000006</v>
      </c>
      <c r="AG55" s="102">
        <f t="shared" si="58"/>
        <v>0</v>
      </c>
      <c r="AH55" s="55">
        <f t="shared" si="58"/>
        <v>0</v>
      </c>
      <c r="AI55" s="55">
        <f t="shared" si="58"/>
        <v>0</v>
      </c>
      <c r="AJ55" s="55">
        <f t="shared" si="58"/>
        <v>0</v>
      </c>
      <c r="AK55" s="55">
        <f t="shared" si="58"/>
        <v>0</v>
      </c>
      <c r="AL55" s="55">
        <f t="shared" si="58"/>
        <v>0</v>
      </c>
      <c r="AM55" s="55">
        <f t="shared" si="58"/>
        <v>0</v>
      </c>
      <c r="AN55" s="55">
        <f t="shared" si="58"/>
        <v>0</v>
      </c>
      <c r="AO55" s="55">
        <f t="shared" si="58"/>
        <v>0</v>
      </c>
      <c r="AP55" s="55">
        <f t="shared" si="58"/>
        <v>0</v>
      </c>
      <c r="AQ55" s="55">
        <f t="shared" si="58"/>
        <v>0</v>
      </c>
      <c r="AR55" s="55">
        <f t="shared" si="58"/>
        <v>0</v>
      </c>
      <c r="AS55" s="108">
        <f t="shared" si="58"/>
        <v>0</v>
      </c>
      <c r="AT55" s="55">
        <f t="shared" si="58"/>
        <v>0</v>
      </c>
      <c r="AU55" s="55">
        <f t="shared" si="58"/>
        <v>0</v>
      </c>
      <c r="AV55" s="55">
        <f t="shared" si="58"/>
        <v>0</v>
      </c>
      <c r="AW55" s="55">
        <f t="shared" si="58"/>
        <v>0</v>
      </c>
      <c r="AX55" s="55">
        <f t="shared" si="58"/>
        <v>0</v>
      </c>
      <c r="AY55" s="55">
        <f t="shared" si="58"/>
        <v>0</v>
      </c>
      <c r="AZ55" s="55">
        <f t="shared" si="58"/>
        <v>0</v>
      </c>
      <c r="BA55" s="55">
        <f t="shared" si="58"/>
        <v>0</v>
      </c>
      <c r="BB55" s="55">
        <f t="shared" si="58"/>
        <v>0</v>
      </c>
      <c r="BC55" s="55">
        <f t="shared" si="58"/>
        <v>0</v>
      </c>
      <c r="BD55" s="55">
        <f t="shared" si="58"/>
        <v>0</v>
      </c>
      <c r="BE55" s="55">
        <f t="shared" si="58"/>
        <v>0</v>
      </c>
      <c r="BF55" s="55">
        <f t="shared" si="58"/>
        <v>0</v>
      </c>
      <c r="BG55" s="55">
        <f t="shared" si="58"/>
        <v>0</v>
      </c>
      <c r="BH55" s="55">
        <f t="shared" si="58"/>
        <v>0</v>
      </c>
      <c r="BI55" s="55">
        <f t="shared" si="58"/>
        <v>0</v>
      </c>
      <c r="BJ55" s="55">
        <f t="shared" si="58"/>
        <v>0</v>
      </c>
      <c r="BK55" s="55">
        <f t="shared" si="58"/>
        <v>0</v>
      </c>
      <c r="BL55" s="55">
        <f t="shared" si="58"/>
        <v>0</v>
      </c>
      <c r="BM55" s="55">
        <f t="shared" si="58"/>
        <v>0</v>
      </c>
      <c r="BN55" s="55">
        <f t="shared" si="58"/>
        <v>0</v>
      </c>
      <c r="BO55" s="55">
        <f t="shared" si="58"/>
        <v>0</v>
      </c>
      <c r="BP55" s="55">
        <f t="shared" si="58"/>
        <v>0</v>
      </c>
      <c r="BQ55" s="55">
        <f t="shared" si="58"/>
        <v>0</v>
      </c>
      <c r="BR55" s="55">
        <f t="shared" si="58"/>
        <v>0</v>
      </c>
      <c r="BS55" s="55">
        <f t="shared" si="58"/>
        <v>0</v>
      </c>
      <c r="BT55" s="55">
        <f t="shared" si="58"/>
        <v>0</v>
      </c>
      <c r="BU55" s="55">
        <f t="shared" si="58"/>
        <v>0</v>
      </c>
      <c r="BV55" s="55">
        <f t="shared" ref="BV55:DY55" si="59">IF(BV$1&lt;$F55,$I55,0)</f>
        <v>0</v>
      </c>
      <c r="BW55" s="55">
        <f t="shared" si="59"/>
        <v>0</v>
      </c>
      <c r="BX55" s="55">
        <f t="shared" si="59"/>
        <v>0</v>
      </c>
      <c r="BY55" s="55">
        <f t="shared" si="59"/>
        <v>0</v>
      </c>
      <c r="BZ55" s="55">
        <f t="shared" si="59"/>
        <v>0</v>
      </c>
      <c r="CA55" s="55">
        <f t="shared" si="59"/>
        <v>0</v>
      </c>
      <c r="CB55" s="55">
        <f t="shared" si="59"/>
        <v>0</v>
      </c>
      <c r="CC55" s="55">
        <f t="shared" si="59"/>
        <v>0</v>
      </c>
      <c r="CD55" s="55">
        <f t="shared" si="59"/>
        <v>0</v>
      </c>
      <c r="CE55" s="55">
        <f t="shared" si="59"/>
        <v>0</v>
      </c>
      <c r="CF55" s="55">
        <f t="shared" si="59"/>
        <v>0</v>
      </c>
      <c r="CG55" s="55">
        <f t="shared" si="59"/>
        <v>0</v>
      </c>
      <c r="CH55" s="55">
        <f t="shared" si="59"/>
        <v>0</v>
      </c>
      <c r="CI55" s="55">
        <f t="shared" si="59"/>
        <v>0</v>
      </c>
      <c r="CJ55" s="55">
        <f t="shared" si="59"/>
        <v>0</v>
      </c>
      <c r="CK55" s="55">
        <f t="shared" si="59"/>
        <v>0</v>
      </c>
      <c r="CL55" s="55">
        <f t="shared" si="59"/>
        <v>0</v>
      </c>
      <c r="CM55" s="55">
        <f t="shared" si="59"/>
        <v>0</v>
      </c>
      <c r="CN55" s="55">
        <f t="shared" si="59"/>
        <v>0</v>
      </c>
      <c r="CO55" s="55">
        <f t="shared" si="59"/>
        <v>0</v>
      </c>
      <c r="CP55" s="55">
        <f t="shared" si="59"/>
        <v>0</v>
      </c>
      <c r="CQ55" s="55">
        <f t="shared" si="59"/>
        <v>0</v>
      </c>
      <c r="CR55" s="55">
        <f t="shared" si="59"/>
        <v>0</v>
      </c>
      <c r="CS55" s="55">
        <f t="shared" si="59"/>
        <v>0</v>
      </c>
      <c r="CT55" s="55">
        <f t="shared" si="59"/>
        <v>0</v>
      </c>
      <c r="CU55" s="55">
        <f t="shared" si="59"/>
        <v>0</v>
      </c>
      <c r="CV55" s="55">
        <f t="shared" si="59"/>
        <v>0</v>
      </c>
      <c r="CW55" s="55">
        <f t="shared" si="59"/>
        <v>0</v>
      </c>
      <c r="CX55" s="55">
        <f t="shared" si="59"/>
        <v>0</v>
      </c>
      <c r="CY55" s="55">
        <f t="shared" si="59"/>
        <v>0</v>
      </c>
      <c r="CZ55" s="55">
        <f t="shared" si="59"/>
        <v>0</v>
      </c>
      <c r="DA55" s="55">
        <f t="shared" si="59"/>
        <v>0</v>
      </c>
      <c r="DB55" s="55">
        <f t="shared" si="59"/>
        <v>0</v>
      </c>
      <c r="DC55" s="55">
        <f t="shared" si="59"/>
        <v>0</v>
      </c>
      <c r="DD55" s="55">
        <f t="shared" si="59"/>
        <v>0</v>
      </c>
      <c r="DE55" s="55">
        <f t="shared" si="59"/>
        <v>0</v>
      </c>
      <c r="DF55" s="55">
        <f t="shared" si="59"/>
        <v>0</v>
      </c>
      <c r="DG55" s="55">
        <f t="shared" si="59"/>
        <v>0</v>
      </c>
      <c r="DH55" s="55">
        <f t="shared" si="59"/>
        <v>0</v>
      </c>
      <c r="DI55" s="55">
        <f t="shared" si="59"/>
        <v>0</v>
      </c>
      <c r="DJ55" s="55">
        <f t="shared" si="59"/>
        <v>0</v>
      </c>
      <c r="DK55" s="55">
        <f t="shared" si="59"/>
        <v>0</v>
      </c>
      <c r="DL55" s="55">
        <f t="shared" si="59"/>
        <v>0</v>
      </c>
      <c r="DM55" s="55">
        <f t="shared" si="59"/>
        <v>0</v>
      </c>
      <c r="DN55" s="55">
        <f t="shared" si="59"/>
        <v>0</v>
      </c>
      <c r="DO55" s="55">
        <f t="shared" si="59"/>
        <v>0</v>
      </c>
      <c r="DP55" s="55">
        <f t="shared" si="59"/>
        <v>0</v>
      </c>
      <c r="DQ55" s="55">
        <f t="shared" si="59"/>
        <v>0</v>
      </c>
      <c r="DR55" s="55">
        <f t="shared" si="59"/>
        <v>0</v>
      </c>
      <c r="DS55" s="55">
        <f t="shared" si="59"/>
        <v>0</v>
      </c>
      <c r="DT55" s="55">
        <f t="shared" si="59"/>
        <v>0</v>
      </c>
      <c r="DU55" s="55">
        <f t="shared" si="59"/>
        <v>0</v>
      </c>
      <c r="DV55" s="55">
        <f t="shared" si="59"/>
        <v>0</v>
      </c>
      <c r="DW55" s="55">
        <f t="shared" si="59"/>
        <v>0</v>
      </c>
      <c r="DX55" s="55">
        <f t="shared" si="59"/>
        <v>0</v>
      </c>
      <c r="DY55" s="55">
        <f t="shared" si="59"/>
        <v>0</v>
      </c>
    </row>
    <row r="56" spans="1:129" x14ac:dyDescent="0.45">
      <c r="A56" s="3"/>
      <c r="B56" s="2"/>
      <c r="C56" s="121" t="s">
        <v>265</v>
      </c>
      <c r="D56" s="17"/>
      <c r="E56" s="2"/>
      <c r="F56" s="2"/>
      <c r="G56" s="2"/>
      <c r="H56" s="2"/>
      <c r="I56" s="13"/>
      <c r="J56" s="58"/>
      <c r="K56" s="58"/>
      <c r="L56" s="58"/>
      <c r="M56" s="58"/>
      <c r="N56" s="58"/>
      <c r="O56" s="58"/>
      <c r="P56" s="58"/>
      <c r="Q56" s="58"/>
      <c r="R56" s="58"/>
      <c r="S56" s="58"/>
      <c r="T56" s="58"/>
      <c r="U56" s="97">
        <f>'Plan Moyen Terme (PMT)'!C19-BAU_Liquidité_Dynamique!U55</f>
        <v>16804.899999999994</v>
      </c>
      <c r="V56" s="127">
        <f>IF(AND($U$1&lt;V$1, V$1&lt;$F$55),$U$56,0)</f>
        <v>16804.899999999994</v>
      </c>
      <c r="W56" s="127">
        <f t="shared" ref="W56:AF56" si="60">IF(AND($U$1&lt;W$1, W$1&lt;$F$55),$U$56,0)</f>
        <v>16804.899999999994</v>
      </c>
      <c r="X56" s="127">
        <f t="shared" si="60"/>
        <v>16804.899999999994</v>
      </c>
      <c r="Y56" s="127">
        <f t="shared" si="60"/>
        <v>16804.899999999994</v>
      </c>
      <c r="Z56" s="127">
        <f t="shared" si="60"/>
        <v>16804.899999999994</v>
      </c>
      <c r="AA56" s="127">
        <f t="shared" si="60"/>
        <v>16804.899999999994</v>
      </c>
      <c r="AB56" s="127">
        <f t="shared" si="60"/>
        <v>16804.899999999994</v>
      </c>
      <c r="AC56" s="127">
        <f t="shared" si="60"/>
        <v>16804.899999999994</v>
      </c>
      <c r="AD56" s="127">
        <f t="shared" si="60"/>
        <v>16804.899999999994</v>
      </c>
      <c r="AE56" s="127">
        <f t="shared" si="60"/>
        <v>16804.899999999994</v>
      </c>
      <c r="AF56" s="127">
        <f t="shared" si="60"/>
        <v>16804.899999999994</v>
      </c>
      <c r="AG56" s="127">
        <f>IF(AND($U$1&lt;AG$1, AG$1&lt;$F$55),$U$56,0)</f>
        <v>0</v>
      </c>
      <c r="AH56" s="58"/>
      <c r="AI56" s="58"/>
      <c r="AJ56" s="58"/>
      <c r="AK56" s="58"/>
      <c r="AL56" s="58"/>
      <c r="AM56" s="58"/>
      <c r="AN56" s="58"/>
      <c r="AO56" s="58"/>
      <c r="AP56" s="58"/>
      <c r="AQ56" s="58"/>
      <c r="AR56" s="58"/>
      <c r="AS56" s="109"/>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58"/>
      <c r="DV56" s="58"/>
      <c r="DW56" s="58"/>
      <c r="DX56" s="58"/>
      <c r="DY56" s="58"/>
    </row>
    <row r="57" spans="1:129" x14ac:dyDescent="0.45">
      <c r="A57" s="3"/>
      <c r="B57" s="2"/>
      <c r="C57" s="122" t="s">
        <v>269</v>
      </c>
      <c r="D57" s="17"/>
      <c r="E57" s="2"/>
      <c r="F57" s="2"/>
      <c r="G57" s="2"/>
      <c r="H57" s="2"/>
      <c r="I57" s="13"/>
      <c r="J57" s="58"/>
      <c r="K57" s="58"/>
      <c r="L57" s="58"/>
      <c r="M57" s="58"/>
      <c r="N57" s="58"/>
      <c r="O57" s="58"/>
      <c r="P57" s="58"/>
      <c r="Q57" s="58"/>
      <c r="R57" s="58"/>
      <c r="S57" s="58"/>
      <c r="T57" s="58"/>
      <c r="U57" s="97"/>
      <c r="V57" s="58"/>
      <c r="W57" s="58"/>
      <c r="X57" s="58"/>
      <c r="Y57" s="58"/>
      <c r="Z57" s="58"/>
      <c r="AA57" s="58"/>
      <c r="AB57" s="58"/>
      <c r="AC57" s="58"/>
      <c r="AD57" s="58"/>
      <c r="AE57" s="58"/>
      <c r="AF57" s="58"/>
      <c r="AG57" s="103"/>
      <c r="AH57" s="58"/>
      <c r="AI57" s="58"/>
      <c r="AJ57" s="58"/>
      <c r="AK57" s="58"/>
      <c r="AL57" s="58"/>
      <c r="AM57" s="58"/>
      <c r="AN57" s="58"/>
      <c r="AO57" s="58"/>
      <c r="AP57" s="58"/>
      <c r="AQ57" s="58"/>
      <c r="AR57" s="58"/>
      <c r="AS57" s="109"/>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c r="DU57" s="58"/>
      <c r="DV57" s="58"/>
      <c r="DW57" s="58"/>
      <c r="DX57" s="58"/>
      <c r="DY57" s="58"/>
    </row>
    <row r="58" spans="1:129" x14ac:dyDescent="0.45">
      <c r="A58" s="3"/>
      <c r="B58" s="2"/>
      <c r="C58" s="125" t="s">
        <v>270</v>
      </c>
      <c r="D58" s="17"/>
      <c r="E58" s="2"/>
      <c r="F58" s="2"/>
      <c r="G58" s="2"/>
      <c r="H58" s="2"/>
      <c r="I58" s="13"/>
      <c r="J58" s="58"/>
      <c r="K58" s="58"/>
      <c r="L58" s="58"/>
      <c r="M58" s="58"/>
      <c r="N58" s="58"/>
      <c r="O58" s="58"/>
      <c r="P58" s="58"/>
      <c r="Q58" s="58"/>
      <c r="R58" s="58"/>
      <c r="S58" s="58"/>
      <c r="T58" s="58"/>
      <c r="U58" s="97"/>
      <c r="V58" s="58"/>
      <c r="W58" s="58"/>
      <c r="X58" s="58"/>
      <c r="Y58" s="58"/>
      <c r="Z58" s="58"/>
      <c r="AA58" s="58"/>
      <c r="AB58" s="58"/>
      <c r="AC58" s="58"/>
      <c r="AD58" s="58"/>
      <c r="AE58" s="58"/>
      <c r="AF58" s="58"/>
      <c r="AG58" s="103"/>
      <c r="AH58" s="58"/>
      <c r="AI58" s="58"/>
      <c r="AJ58" s="58"/>
      <c r="AK58" s="58"/>
      <c r="AL58" s="58"/>
      <c r="AM58" s="58"/>
      <c r="AN58" s="58"/>
      <c r="AO58" s="58"/>
      <c r="AP58" s="58"/>
      <c r="AQ58" s="58"/>
      <c r="AR58" s="58"/>
      <c r="AS58" s="109"/>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c r="DU58" s="58"/>
      <c r="DV58" s="58"/>
      <c r="DW58" s="58"/>
      <c r="DX58" s="58"/>
      <c r="DY58" s="58"/>
    </row>
    <row r="59" spans="1:129" x14ac:dyDescent="0.45">
      <c r="A59" s="3">
        <v>46022</v>
      </c>
      <c r="B59" s="2" t="s">
        <v>19</v>
      </c>
      <c r="C59" s="4" t="s">
        <v>21</v>
      </c>
      <c r="D59" s="16"/>
      <c r="E59" s="54"/>
      <c r="F59" s="54"/>
      <c r="G59" s="54"/>
      <c r="H59" s="54"/>
      <c r="I59" s="13">
        <f>I60+I64</f>
        <v>50161.059000000001</v>
      </c>
      <c r="J59" s="58">
        <f>SUM(J60:J64)</f>
        <v>43848.513096650648</v>
      </c>
      <c r="K59" s="58">
        <f t="shared" ref="K59:BV59" si="61">SUM(K60:K64)</f>
        <v>40644.298534989954</v>
      </c>
      <c r="L59" s="58">
        <f t="shared" si="61"/>
        <v>38020.909533898055</v>
      </c>
      <c r="M59" s="58">
        <f t="shared" si="61"/>
        <v>35873.060281417595</v>
      </c>
      <c r="N59" s="58">
        <f t="shared" si="61"/>
        <v>34114.550045436285</v>
      </c>
      <c r="O59" s="58">
        <f t="shared" si="61"/>
        <v>32674.803635635963</v>
      </c>
      <c r="P59" s="58">
        <f t="shared" si="61"/>
        <v>31496.038973298826</v>
      </c>
      <c r="Q59" s="58">
        <f t="shared" si="61"/>
        <v>30530.948093601834</v>
      </c>
      <c r="R59" s="58">
        <f t="shared" si="61"/>
        <v>29740.79851087882</v>
      </c>
      <c r="S59" s="58">
        <f t="shared" si="61"/>
        <v>29093.878747971754</v>
      </c>
      <c r="T59" s="58">
        <f t="shared" si="61"/>
        <v>28564.225643305821</v>
      </c>
      <c r="U59" s="97">
        <f t="shared" si="61"/>
        <v>44621.964999999997</v>
      </c>
      <c r="V59" s="58">
        <f t="shared" si="61"/>
        <v>39927.347181314886</v>
      </c>
      <c r="W59" s="58">
        <f t="shared" si="61"/>
        <v>37433.919412183393</v>
      </c>
      <c r="X59" s="58">
        <f t="shared" si="61"/>
        <v>35392.473417016809</v>
      </c>
      <c r="Y59" s="58">
        <f t="shared" si="61"/>
        <v>33721.078800026044</v>
      </c>
      <c r="Z59" s="58">
        <f t="shared" si="61"/>
        <v>32352.656626566706</v>
      </c>
      <c r="AA59" s="58">
        <f t="shared" si="61"/>
        <v>31232.287309961735</v>
      </c>
      <c r="AB59" s="58">
        <f t="shared" si="61"/>
        <v>30315.006495652284</v>
      </c>
      <c r="AC59" s="58">
        <f t="shared" si="61"/>
        <v>29564.000483768723</v>
      </c>
      <c r="AD59" s="58">
        <f t="shared" si="61"/>
        <v>28949.128766093203</v>
      </c>
      <c r="AE59" s="58">
        <f t="shared" si="61"/>
        <v>28445.714381634374</v>
      </c>
      <c r="AF59" s="58">
        <f t="shared" si="61"/>
        <v>28033.553543536105</v>
      </c>
      <c r="AG59" s="103">
        <f t="shared" si="61"/>
        <v>60760.423032171006</v>
      </c>
      <c r="AH59" s="58">
        <f t="shared" si="61"/>
        <v>51783.521875057239</v>
      </c>
      <c r="AI59" s="58">
        <f t="shared" si="61"/>
        <v>47140.934247815181</v>
      </c>
      <c r="AJ59" s="58">
        <f t="shared" si="61"/>
        <v>43339.904983532761</v>
      </c>
      <c r="AK59" s="58">
        <f t="shared" si="61"/>
        <v>40227.885431515373</v>
      </c>
      <c r="AL59" s="58">
        <f t="shared" si="61"/>
        <v>37679.979320098777</v>
      </c>
      <c r="AM59" s="58">
        <f t="shared" si="61"/>
        <v>35593.93023072667</v>
      </c>
      <c r="AN59" s="58">
        <f t="shared" si="61"/>
        <v>33886.017688827407</v>
      </c>
      <c r="AO59" s="58">
        <f t="shared" si="61"/>
        <v>32487.697167206894</v>
      </c>
      <c r="AP59" s="58">
        <f t="shared" si="61"/>
        <v>31342.849153496136</v>
      </c>
      <c r="AQ59" s="58">
        <f t="shared" si="61"/>
        <v>30405.526877070894</v>
      </c>
      <c r="AR59" s="58">
        <f t="shared" si="61"/>
        <v>29638.112303816488</v>
      </c>
      <c r="AS59" s="109">
        <f t="shared" si="61"/>
        <v>68605.687466910298</v>
      </c>
      <c r="AT59" s="58">
        <f t="shared" si="61"/>
        <v>57671.921998138045</v>
      </c>
      <c r="AU59" s="58">
        <f t="shared" si="61"/>
        <v>51961.948515009615</v>
      </c>
      <c r="AV59" s="58">
        <f t="shared" si="61"/>
        <v>47287.017625112552</v>
      </c>
      <c r="AW59" s="58">
        <f t="shared" si="61"/>
        <v>43459.50793703962</v>
      </c>
      <c r="AX59" s="58">
        <f t="shared" si="61"/>
        <v>40325.808047710394</v>
      </c>
      <c r="AY59" s="58">
        <f t="shared" si="61"/>
        <v>37760.151577399491</v>
      </c>
      <c r="AZ59" s="58">
        <f t="shared" si="61"/>
        <v>35659.569723322442</v>
      </c>
      <c r="BA59" s="58">
        <f t="shared" si="61"/>
        <v>33939.758760032004</v>
      </c>
      <c r="BB59" s="58">
        <f t="shared" si="61"/>
        <v>32531.696634905449</v>
      </c>
      <c r="BC59" s="58">
        <f t="shared" si="61"/>
        <v>31378.872870820007</v>
      </c>
      <c r="BD59" s="58">
        <f t="shared" si="61"/>
        <v>30435.020602284134</v>
      </c>
      <c r="BE59" s="58">
        <f t="shared" si="61"/>
        <v>29662.259723671395</v>
      </c>
      <c r="BF59" s="58">
        <f t="shared" si="61"/>
        <v>29029.576627575589</v>
      </c>
      <c r="BG59" s="58">
        <f t="shared" si="61"/>
        <v>28511.579519849358</v>
      </c>
      <c r="BH59" s="58">
        <f t="shared" si="61"/>
        <v>28087.479357748449</v>
      </c>
      <c r="BI59" s="58">
        <f t="shared" si="61"/>
        <v>27740.255512651074</v>
      </c>
      <c r="BJ59" s="58">
        <f t="shared" si="61"/>
        <v>27455.972672467866</v>
      </c>
      <c r="BK59" s="58">
        <f t="shared" si="61"/>
        <v>27223.221568637524</v>
      </c>
      <c r="BL59" s="58">
        <f t="shared" si="61"/>
        <v>27032.661082118775</v>
      </c>
      <c r="BM59" s="58">
        <f t="shared" si="61"/>
        <v>26876.643351484374</v>
      </c>
      <c r="BN59" s="58">
        <f t="shared" si="61"/>
        <v>26748.906837388553</v>
      </c>
      <c r="BO59" s="58">
        <f t="shared" si="61"/>
        <v>26644.325025007325</v>
      </c>
      <c r="BP59" s="58">
        <f t="shared" si="61"/>
        <v>26558.700678998179</v>
      </c>
      <c r="BQ59" s="58">
        <f t="shared" si="61"/>
        <v>316.63239370830456</v>
      </c>
      <c r="BR59" s="58">
        <f t="shared" si="61"/>
        <v>259.23667814968439</v>
      </c>
      <c r="BS59" s="58">
        <f t="shared" si="61"/>
        <v>212.24504072692548</v>
      </c>
      <c r="BT59" s="58">
        <f t="shared" si="61"/>
        <v>173.77154203142263</v>
      </c>
      <c r="BU59" s="58">
        <f t="shared" si="61"/>
        <v>142.2721054709088</v>
      </c>
      <c r="BV59" s="58">
        <f t="shared" si="61"/>
        <v>116.48254805418721</v>
      </c>
      <c r="BW59" s="58">
        <f t="shared" ref="BW59:DY59" si="62">SUM(BW60:BW64)</f>
        <v>95.367844288846953</v>
      </c>
      <c r="BX59" s="58">
        <f t="shared" si="62"/>
        <v>78.080586974031377</v>
      </c>
      <c r="BY59" s="58">
        <f t="shared" si="62"/>
        <v>63.926977774019548</v>
      </c>
      <c r="BZ59" s="58">
        <f t="shared" si="62"/>
        <v>52.338982654922432</v>
      </c>
      <c r="CA59" s="58">
        <f t="shared" si="62"/>
        <v>42.851534684400065</v>
      </c>
      <c r="CB59" s="58">
        <f t="shared" si="62"/>
        <v>35.083869262706145</v>
      </c>
      <c r="CC59" s="58">
        <f t="shared" si="62"/>
        <v>28.724242702344853</v>
      </c>
      <c r="CD59" s="58">
        <f t="shared" si="62"/>
        <v>23.517420859285522</v>
      </c>
      <c r="CE59" s="58">
        <f t="shared" si="62"/>
        <v>19.254435690574674</v>
      </c>
      <c r="CF59" s="58">
        <f t="shared" si="62"/>
        <v>15.764198633035774</v>
      </c>
      <c r="CG59" s="58">
        <f t="shared" si="62"/>
        <v>12.906634218496279</v>
      </c>
      <c r="CH59" s="58">
        <f t="shared" si="62"/>
        <v>10.567058353411499</v>
      </c>
      <c r="CI59" s="58">
        <f t="shared" si="62"/>
        <v>8.6515756435075808</v>
      </c>
      <c r="CJ59" s="58">
        <f t="shared" si="62"/>
        <v>7.0833110419200915</v>
      </c>
      <c r="CK59" s="58">
        <f t="shared" si="62"/>
        <v>5.7993245836368157</v>
      </c>
      <c r="CL59" s="58">
        <f t="shared" si="62"/>
        <v>4.7480853837046268</v>
      </c>
      <c r="CM59" s="58">
        <f t="shared" si="62"/>
        <v>3.887403521879043</v>
      </c>
      <c r="CN59" s="58">
        <f t="shared" si="62"/>
        <v>3.1827368129860303</v>
      </c>
      <c r="CO59" s="58">
        <f t="shared" si="62"/>
        <v>2.605804507745066</v>
      </c>
      <c r="CP59" s="58">
        <f t="shared" si="62"/>
        <v>2.1334522870001189</v>
      </c>
      <c r="CQ59" s="58">
        <f t="shared" si="62"/>
        <v>1.7467229975915513</v>
      </c>
      <c r="CR59" s="58">
        <f t="shared" si="62"/>
        <v>1.430095835236759</v>
      </c>
      <c r="CS59" s="58">
        <f t="shared" si="62"/>
        <v>1.1708634401570781</v>
      </c>
      <c r="CT59" s="58">
        <f t="shared" si="62"/>
        <v>0.95862190611128018</v>
      </c>
      <c r="CU59" s="58">
        <f t="shared" si="62"/>
        <v>0.78485323510753935</v>
      </c>
      <c r="CV59" s="58">
        <f t="shared" si="62"/>
        <v>0.64258348023528644</v>
      </c>
      <c r="CW59" s="58">
        <f t="shared" si="62"/>
        <v>0.52610285668850598</v>
      </c>
      <c r="CX59" s="58">
        <f t="shared" si="62"/>
        <v>0.43073658805305842</v>
      </c>
      <c r="CY59" s="58">
        <f t="shared" si="62"/>
        <v>0.35265729111492061</v>
      </c>
      <c r="CZ59" s="58">
        <f t="shared" si="62"/>
        <v>0.28873136953296019</v>
      </c>
      <c r="DA59" s="58">
        <f t="shared" si="62"/>
        <v>0.23639325161495772</v>
      </c>
      <c r="DB59" s="58">
        <f t="shared" si="62"/>
        <v>0.193542424917267</v>
      </c>
      <c r="DC59" s="58">
        <f t="shared" si="62"/>
        <v>0.15845913530505287</v>
      </c>
      <c r="DD59" s="58">
        <f t="shared" si="62"/>
        <v>0.12973536718039164</v>
      </c>
      <c r="DE59" s="58">
        <f t="shared" si="62"/>
        <v>0.1062183348724506</v>
      </c>
      <c r="DF59" s="58">
        <f t="shared" si="62"/>
        <v>8.6964217300810817E-2</v>
      </c>
      <c r="DG59" s="58">
        <f t="shared" si="62"/>
        <v>7.1200279121530013E-2</v>
      </c>
      <c r="DH59" s="58">
        <f t="shared" si="62"/>
        <v>5.829385814453282E-2</v>
      </c>
      <c r="DI59" s="58">
        <f t="shared" si="62"/>
        <v>4.7726974378494366E-2</v>
      </c>
      <c r="DJ59" s="58">
        <f t="shared" si="62"/>
        <v>3.907554167503826E-2</v>
      </c>
      <c r="DK59" s="58">
        <f t="shared" si="62"/>
        <v>3.199234766253415E-2</v>
      </c>
      <c r="DL59" s="58">
        <f t="shared" si="62"/>
        <v>2.6193118894479176E-2</v>
      </c>
      <c r="DM59" s="58">
        <f t="shared" si="62"/>
        <v>2.1445111957938065E-2</v>
      </c>
      <c r="DN59" s="58">
        <f t="shared" si="62"/>
        <v>1.7557772663164252E-2</v>
      </c>
      <c r="DO59" s="58">
        <f t="shared" si="62"/>
        <v>1.4375088434884479E-2</v>
      </c>
      <c r="DP59" s="58">
        <f t="shared" si="62"/>
        <v>1.1769326979855561E-2</v>
      </c>
      <c r="DQ59" s="58">
        <f t="shared" si="62"/>
        <v>9.635909941438146E-3</v>
      </c>
      <c r="DR59" s="58">
        <f t="shared" si="62"/>
        <v>7.8892158029452708E-3</v>
      </c>
      <c r="DS59" s="58">
        <f t="shared" si="62"/>
        <v>6.4591435955400917E-3</v>
      </c>
      <c r="DT59" s="58">
        <f t="shared" si="62"/>
        <v>5.2882995002153654E-3</v>
      </c>
      <c r="DU59" s="58">
        <f t="shared" si="62"/>
        <v>4.3296934323132433E-3</v>
      </c>
      <c r="DV59" s="58">
        <f t="shared" si="62"/>
        <v>3.5448531644346167E-3</v>
      </c>
      <c r="DW59" s="58">
        <f t="shared" si="62"/>
        <v>2.9022803008684128E-3</v>
      </c>
      <c r="DX59" s="58">
        <f t="shared" si="62"/>
        <v>2.3761861363733893E-3</v>
      </c>
      <c r="DY59" s="58">
        <f t="shared" si="62"/>
        <v>8.1505851700822597E-7</v>
      </c>
    </row>
    <row r="60" spans="1:129" x14ac:dyDescent="0.45">
      <c r="A60" s="3">
        <v>46022</v>
      </c>
      <c r="B60" s="2" t="s">
        <v>19</v>
      </c>
      <c r="C60" s="6" t="s">
        <v>5</v>
      </c>
      <c r="D60" s="17">
        <v>0</v>
      </c>
      <c r="E60" s="2" t="s">
        <v>49</v>
      </c>
      <c r="F60" s="2">
        <v>120</v>
      </c>
      <c r="G60" s="2" t="s">
        <v>43</v>
      </c>
      <c r="H60" s="2">
        <v>120</v>
      </c>
      <c r="I60" s="14">
        <v>23989.094000000001</v>
      </c>
      <c r="J60" s="55">
        <f>IF(J$1&lt;=$F60,$I60*(90%*EXP(-20%*J$1)),0)</f>
        <v>17676.548096650647</v>
      </c>
      <c r="K60" s="55">
        <f t="shared" ref="K60:BV60" si="63">IF(K$1&lt;=$F60,$I60*(90%*EXP(-20%*K$1)),0)</f>
        <v>14472.333534989952</v>
      </c>
      <c r="L60" s="55">
        <f t="shared" si="63"/>
        <v>11848.944533898053</v>
      </c>
      <c r="M60" s="55">
        <f t="shared" si="63"/>
        <v>9701.0952814175907</v>
      </c>
      <c r="N60" s="55">
        <f t="shared" si="63"/>
        <v>7942.5850454362817</v>
      </c>
      <c r="O60" s="55">
        <f t="shared" si="63"/>
        <v>6502.8386356359615</v>
      </c>
      <c r="P60" s="55">
        <f t="shared" si="63"/>
        <v>5324.0739732988268</v>
      </c>
      <c r="Q60" s="55">
        <f t="shared" si="63"/>
        <v>4358.9830936018325</v>
      </c>
      <c r="R60" s="55">
        <f t="shared" si="63"/>
        <v>3568.8335108788192</v>
      </c>
      <c r="S60" s="55">
        <f t="shared" si="63"/>
        <v>2921.9137479717538</v>
      </c>
      <c r="T60" s="55">
        <f t="shared" si="63"/>
        <v>2392.2606433058222</v>
      </c>
      <c r="U60" s="55">
        <f t="shared" si="63"/>
        <v>1958.6173580525926</v>
      </c>
      <c r="V60" s="55">
        <f t="shared" si="63"/>
        <v>1603.5802645500069</v>
      </c>
      <c r="W60" s="55">
        <f t="shared" si="63"/>
        <v>1312.9004776160161</v>
      </c>
      <c r="X60" s="55">
        <f t="shared" si="63"/>
        <v>1074.9119967550032</v>
      </c>
      <c r="Y60" s="55">
        <f t="shared" si="63"/>
        <v>880.06350859578095</v>
      </c>
      <c r="Z60" s="55">
        <f t="shared" si="63"/>
        <v>720.53505914907453</v>
      </c>
      <c r="AA60" s="55">
        <f t="shared" si="63"/>
        <v>589.92421159621017</v>
      </c>
      <c r="AB60" s="55">
        <f t="shared" si="63"/>
        <v>482.98909401909981</v>
      </c>
      <c r="AC60" s="55">
        <f t="shared" si="63"/>
        <v>395.43802467470982</v>
      </c>
      <c r="AD60" s="55">
        <f t="shared" si="63"/>
        <v>323.75727173759469</v>
      </c>
      <c r="AE60" s="55">
        <f t="shared" si="63"/>
        <v>265.07003490419368</v>
      </c>
      <c r="AF60" s="55">
        <f t="shared" si="63"/>
        <v>217.02098929551738</v>
      </c>
      <c r="AG60" s="55">
        <f t="shared" si="63"/>
        <v>177.68175799964757</v>
      </c>
      <c r="AH60" s="55">
        <f t="shared" si="63"/>
        <v>145.47351953527129</v>
      </c>
      <c r="AI60" s="55">
        <f t="shared" si="63"/>
        <v>119.10364420201714</v>
      </c>
      <c r="AJ60" s="55">
        <f t="shared" si="63"/>
        <v>97.513816311849482</v>
      </c>
      <c r="AK60" s="55">
        <f t="shared" si="63"/>
        <v>79.837560264508511</v>
      </c>
      <c r="AL60" s="55">
        <f t="shared" si="63"/>
        <v>65.365465839269802</v>
      </c>
      <c r="AM60" s="55">
        <f t="shared" si="63"/>
        <v>53.516717071878496</v>
      </c>
      <c r="AN60" s="55">
        <f t="shared" si="63"/>
        <v>43.815782070520363</v>
      </c>
      <c r="AO60" s="55">
        <f t="shared" si="63"/>
        <v>35.873328251297863</v>
      </c>
      <c r="AP60" s="55">
        <f t="shared" si="63"/>
        <v>29.37059705459874</v>
      </c>
      <c r="AQ60" s="55">
        <f t="shared" si="63"/>
        <v>24.046611044861578</v>
      </c>
      <c r="AR60" s="55">
        <f t="shared" si="63"/>
        <v>19.687699969732851</v>
      </c>
      <c r="AS60" s="55">
        <f t="shared" si="63"/>
        <v>16.118925422592731</v>
      </c>
      <c r="AT60" s="55">
        <f t="shared" si="63"/>
        <v>13.197059950047171</v>
      </c>
      <c r="AU60" s="55">
        <f t="shared" si="63"/>
        <v>10.804838831317392</v>
      </c>
      <c r="AV60" s="55">
        <f t="shared" si="63"/>
        <v>8.8462538332507101</v>
      </c>
      <c r="AW60" s="55">
        <f t="shared" si="63"/>
        <v>7.2427000628163425</v>
      </c>
      <c r="AX60" s="55">
        <f t="shared" si="63"/>
        <v>5.929821276747564</v>
      </c>
      <c r="AY60" s="55">
        <f t="shared" si="63"/>
        <v>4.8549270395293762</v>
      </c>
      <c r="AZ60" s="55">
        <f t="shared" si="63"/>
        <v>3.974878071212546</v>
      </c>
      <c r="BA60" s="55">
        <f t="shared" si="63"/>
        <v>3.2543549166370007</v>
      </c>
      <c r="BB60" s="55">
        <f t="shared" si="63"/>
        <v>2.6644404516812461</v>
      </c>
      <c r="BC60" s="55">
        <f t="shared" si="63"/>
        <v>2.1814593375364222</v>
      </c>
      <c r="BD60" s="55">
        <f t="shared" si="63"/>
        <v>1.7860278462301917</v>
      </c>
      <c r="BE60" s="55">
        <f t="shared" si="63"/>
        <v>1.4622759235622893</v>
      </c>
      <c r="BF60" s="55">
        <f t="shared" si="63"/>
        <v>1.1972102681059555</v>
      </c>
      <c r="BG60" s="55">
        <f t="shared" si="63"/>
        <v>0.98019286439908215</v>
      </c>
      <c r="BH60" s="55">
        <f t="shared" si="63"/>
        <v>0.80251404203112386</v>
      </c>
      <c r="BI60" s="55">
        <f t="shared" si="63"/>
        <v>0.65704292598779768</v>
      </c>
      <c r="BJ60" s="55">
        <f t="shared" si="63"/>
        <v>0.53794124959854961</v>
      </c>
      <c r="BK60" s="55">
        <f t="shared" si="63"/>
        <v>0.44042904439553154</v>
      </c>
      <c r="BL60" s="55">
        <f t="shared" si="63"/>
        <v>0.36059280319536968</v>
      </c>
      <c r="BM60" s="55">
        <f t="shared" si="63"/>
        <v>0.29522841731464522</v>
      </c>
      <c r="BN60" s="55">
        <f t="shared" si="63"/>
        <v>0.24171258443804036</v>
      </c>
      <c r="BO60" s="55">
        <f t="shared" si="63"/>
        <v>0.19789752628538185</v>
      </c>
      <c r="BP60" s="55">
        <f t="shared" si="63"/>
        <v>0.16202479072790052</v>
      </c>
      <c r="BQ60" s="55">
        <f t="shared" si="63"/>
        <v>0.13265467892995647</v>
      </c>
      <c r="BR60" s="55">
        <f t="shared" si="63"/>
        <v>0.10860846517964105</v>
      </c>
      <c r="BS60" s="55">
        <f t="shared" si="63"/>
        <v>8.8921090487171353E-2</v>
      </c>
      <c r="BT60" s="55">
        <f t="shared" si="63"/>
        <v>7.280243137907709E-2</v>
      </c>
      <c r="BU60" s="55">
        <f t="shared" si="63"/>
        <v>5.9605589468899926E-2</v>
      </c>
      <c r="BV60" s="55">
        <f t="shared" si="63"/>
        <v>4.8800929153529495E-2</v>
      </c>
      <c r="BW60" s="55">
        <f t="shared" ref="BW60:DY60" si="64">IF(BW$1&lt;=$F60,$I60*(90%*EXP(-20%*BW$1)),0)</f>
        <v>3.9954821476774399E-2</v>
      </c>
      <c r="BX60" s="55">
        <f t="shared" si="64"/>
        <v>3.2712241076775853E-2</v>
      </c>
      <c r="BY60" s="55">
        <f t="shared" si="64"/>
        <v>2.6782517771657161E-2</v>
      </c>
      <c r="BZ60" s="55">
        <f t="shared" si="64"/>
        <v>2.1927670944513311E-2</v>
      </c>
      <c r="CA60" s="55">
        <f t="shared" si="64"/>
        <v>1.7952858545647578E-2</v>
      </c>
      <c r="CB60" s="55">
        <f t="shared" si="64"/>
        <v>1.4698557396980508E-2</v>
      </c>
      <c r="CC60" s="55">
        <f t="shared" si="64"/>
        <v>1.20341609667898E-2</v>
      </c>
      <c r="CD60" s="55">
        <f t="shared" si="64"/>
        <v>9.8527376710014578E-3</v>
      </c>
      <c r="CE60" s="55">
        <f t="shared" si="64"/>
        <v>8.0667393332588301E-3</v>
      </c>
      <c r="CF60" s="55">
        <f t="shared" si="64"/>
        <v>6.6044875692027839E-3</v>
      </c>
      <c r="CG60" s="55">
        <f t="shared" si="64"/>
        <v>5.4072970812275587E-3</v>
      </c>
      <c r="CH60" s="55">
        <f t="shared" si="64"/>
        <v>4.4271204114298161E-3</v>
      </c>
      <c r="CI60" s="55">
        <f t="shared" si="64"/>
        <v>3.6246196284168346E-3</v>
      </c>
      <c r="CJ60" s="55">
        <f t="shared" si="64"/>
        <v>2.9675875579949513E-3</v>
      </c>
      <c r="CK60" s="55">
        <f t="shared" si="64"/>
        <v>2.4296551961820578E-3</v>
      </c>
      <c r="CL60" s="55">
        <f t="shared" si="64"/>
        <v>1.9892334284899692E-3</v>
      </c>
      <c r="CM60" s="55">
        <f t="shared" si="64"/>
        <v>1.6286465829554835E-3</v>
      </c>
      <c r="CN60" s="55">
        <f t="shared" si="64"/>
        <v>1.333423043361026E-3</v>
      </c>
      <c r="CO60" s="55">
        <f t="shared" si="64"/>
        <v>1.0917144524625079E-3</v>
      </c>
      <c r="CP60" s="55">
        <f t="shared" si="64"/>
        <v>8.9382019581074655E-4</v>
      </c>
      <c r="CQ60" s="55">
        <f t="shared" si="64"/>
        <v>7.3179808203244212E-4</v>
      </c>
      <c r="CR60" s="55">
        <f t="shared" si="64"/>
        <v>5.9914559480344243E-4</v>
      </c>
      <c r="CS60" s="55">
        <f t="shared" si="64"/>
        <v>4.9053892403677808E-4</v>
      </c>
      <c r="CT60" s="55">
        <f t="shared" si="64"/>
        <v>4.0161930269069454E-4</v>
      </c>
      <c r="CU60" s="55">
        <f t="shared" si="64"/>
        <v>3.2881807414260653E-4</v>
      </c>
      <c r="CV60" s="55">
        <f t="shared" si="64"/>
        <v>2.6921346946842813E-4</v>
      </c>
      <c r="CW60" s="55">
        <f t="shared" si="64"/>
        <v>2.2041334659662182E-4</v>
      </c>
      <c r="CX60" s="55">
        <f t="shared" si="64"/>
        <v>1.8045918524749053E-4</v>
      </c>
      <c r="CY60" s="55">
        <f t="shared" si="64"/>
        <v>1.4774748463751707E-4</v>
      </c>
      <c r="CZ60" s="55">
        <f t="shared" si="64"/>
        <v>1.20965409362652E-4</v>
      </c>
      <c r="DA60" s="55">
        <f t="shared" si="64"/>
        <v>9.9038100703870152E-5</v>
      </c>
      <c r="DB60" s="55">
        <f t="shared" si="64"/>
        <v>8.1085538772692666E-5</v>
      </c>
      <c r="DC60" s="55">
        <f t="shared" si="64"/>
        <v>6.6387224223100604E-5</v>
      </c>
      <c r="DD60" s="55">
        <f t="shared" si="64"/>
        <v>5.4353262082936028E-5</v>
      </c>
      <c r="DE60" s="55">
        <f t="shared" si="64"/>
        <v>4.4500687197407171E-5</v>
      </c>
      <c r="DF60" s="55">
        <f t="shared" si="64"/>
        <v>3.643408114162077E-5</v>
      </c>
      <c r="DG60" s="55">
        <f t="shared" si="64"/>
        <v>2.9829702690783492E-5</v>
      </c>
      <c r="DH60" s="55">
        <f t="shared" si="64"/>
        <v>2.4422494948117492E-5</v>
      </c>
      <c r="DI60" s="55">
        <f t="shared" si="64"/>
        <v>1.9995447680915455E-5</v>
      </c>
      <c r="DJ60" s="55">
        <f t="shared" si="64"/>
        <v>1.6370887937927308E-5</v>
      </c>
      <c r="DK60" s="55">
        <f t="shared" si="64"/>
        <v>1.3403349409974434E-5</v>
      </c>
      <c r="DL60" s="55">
        <f t="shared" si="64"/>
        <v>1.0973734356195702E-5</v>
      </c>
      <c r="DM60" s="55">
        <f t="shared" si="64"/>
        <v>8.984533793525834E-6</v>
      </c>
      <c r="DN60" s="55">
        <f t="shared" si="64"/>
        <v>7.355914118827989E-6</v>
      </c>
      <c r="DO60" s="55">
        <f t="shared" si="64"/>
        <v>6.0225131060850034E-6</v>
      </c>
      <c r="DP60" s="55">
        <f t="shared" si="64"/>
        <v>4.9308166907669761E-6</v>
      </c>
      <c r="DQ60" s="55">
        <f t="shared" si="64"/>
        <v>4.037011262521132E-6</v>
      </c>
      <c r="DR60" s="55">
        <f t="shared" si="64"/>
        <v>3.3052252711482236E-6</v>
      </c>
      <c r="DS60" s="55">
        <f t="shared" si="64"/>
        <v>2.7060895753395634E-6</v>
      </c>
      <c r="DT60" s="55">
        <f t="shared" si="64"/>
        <v>2.2155587559142382E-6</v>
      </c>
      <c r="DU60" s="55">
        <f t="shared" si="64"/>
        <v>1.813946088718176E-6</v>
      </c>
      <c r="DV60" s="55">
        <f t="shared" si="64"/>
        <v>1.4851334472590928E-6</v>
      </c>
      <c r="DW60" s="55">
        <f t="shared" si="64"/>
        <v>1.2159244256957373E-6</v>
      </c>
      <c r="DX60" s="55">
        <f t="shared" si="64"/>
        <v>9.9551472073578414E-7</v>
      </c>
      <c r="DY60" s="55">
        <f t="shared" si="64"/>
        <v>8.1505851700822597E-7</v>
      </c>
    </row>
    <row r="61" spans="1:129" x14ac:dyDescent="0.45">
      <c r="A61" s="3"/>
      <c r="B61" s="2"/>
      <c r="C61" s="121" t="s">
        <v>265</v>
      </c>
      <c r="D61" s="17"/>
      <c r="E61" s="2"/>
      <c r="F61" s="2"/>
      <c r="G61" s="2"/>
      <c r="H61" s="2"/>
      <c r="I61" s="13"/>
      <c r="J61" s="58"/>
      <c r="K61" s="58"/>
      <c r="L61" s="58"/>
      <c r="M61" s="58"/>
      <c r="N61" s="58"/>
      <c r="O61" s="58"/>
      <c r="P61" s="58"/>
      <c r="Q61" s="58"/>
      <c r="R61" s="58"/>
      <c r="S61" s="58"/>
      <c r="T61" s="58"/>
      <c r="U61" s="119">
        <f>'Plan Moyen Terme (PMT)'!C21-BAU_Liquidité_Dynamique!U60</f>
        <v>16491.382641947406</v>
      </c>
      <c r="V61" s="132">
        <f>IF(AND($U$1&lt;V$1, V$1&lt;$F$60),$U61*(90%*EXP(-20%*(V$1-$U$1))),0)</f>
        <v>12151.801916764882</v>
      </c>
      <c r="W61" s="132">
        <f>IF(AND($U$1&lt;W$1, W$1&lt;$F$60),$U61*(90%*EXP(-20%*(W$1-$U$1))),0)</f>
        <v>9949.0539345673751</v>
      </c>
      <c r="X61" s="132">
        <f>IF(AND($U$1&lt;X$1, X$1&lt;$F$60),$U61*(90%*EXP(-20%*(X$1-$U$1))),0)</f>
        <v>8145.5964202618052</v>
      </c>
      <c r="Y61" s="132">
        <f>IF(AND($U$1&lt;Y$1, Y$1&lt;$F$60),$U61*(90%*EXP(-20%*(Y$1-$U$1))),0)</f>
        <v>6669.0502914302606</v>
      </c>
      <c r="Z61" s="132">
        <f>IF(AND($U$1&lt;Z$1, Z$1&lt;$F$60),$U61*(90%*EXP(-20%*(Z$1-$U$1))),0)</f>
        <v>5460.1565674176327</v>
      </c>
      <c r="AA61" s="132">
        <f>IF(AND($U$1&lt;AA$1, AA$1&lt;$F$60),$U61*(90%*EXP(-20%*(AA$1-$U$1))),0)</f>
        <v>4470.3980983655256</v>
      </c>
      <c r="AB61" s="132">
        <f>IF(AND($U$1&lt;AB$1, AB$1&lt;$F$60),$U61*(90%*EXP(-20%*(AB$1-$U$1))),0)</f>
        <v>3660.0524016331851</v>
      </c>
      <c r="AC61" s="132">
        <f>IF(AND($U$1&lt;AC$1, AC$1&lt;$F$60),$U61*(90%*EXP(-20%*(AC$1-$U$1))),0)</f>
        <v>2996.5974590940141</v>
      </c>
      <c r="AD61" s="132">
        <f>IF(AND($U$1&lt;AD$1, AD$1&lt;$F$60),$U61*(90%*EXP(-20%*(AD$1-$U$1))),0)</f>
        <v>2453.4064943556091</v>
      </c>
      <c r="AE61" s="132">
        <f>IF(AND($U$1&lt;AE$1, AE$1&lt;$F$60),$U61*(90%*EXP(-20%*(AE$1-$U$1))),0)</f>
        <v>2008.6793467301795</v>
      </c>
      <c r="AF61" s="132">
        <f>IF(AND($U$1&lt;AF$1, AF$1&lt;$F$60),$U61*(90%*EXP(-20%*(AF$1-$U$1))),0)</f>
        <v>1644.5675542405882</v>
      </c>
      <c r="AG61" s="132">
        <f>IF(AND($U$1&lt;AG$1, AG$1&lt;$F$60),$U61*(90%*EXP(-20%*(AG$1-$U$1))),0)</f>
        <v>1346.4580321710112</v>
      </c>
      <c r="AH61" s="132">
        <f>IF(AND($U$1&lt;AH$1, AH$1&lt;$F$60),$U61*(90%*EXP(-20%*(AH$1-$U$1))),0)</f>
        <v>1102.3865986672699</v>
      </c>
      <c r="AI61" s="132">
        <f>IF(AND($U$1&lt;AI$1, AI$1&lt;$F$60),$U61*(90%*EXP(-20%*(AI$1-$U$1))),0)</f>
        <v>902.5578101099286</v>
      </c>
      <c r="AJ61" s="132">
        <f>IF(AND($U$1&lt;AJ$1, AJ$1&lt;$F$60),$U61*(90%*EXP(-20%*(AJ$1-$U$1))),0)</f>
        <v>738.95183556771622</v>
      </c>
      <c r="AK61" s="132">
        <f>IF(AND($U$1&lt;AK$1, AK$1&lt;$F$60),$U61*(90%*EXP(-20%*(AK$1-$U$1))),0)</f>
        <v>605.00259282271315</v>
      </c>
      <c r="AL61" s="132">
        <f>IF(AND($U$1&lt;AL$1, AL$1&lt;$F$60),$U61*(90%*EXP(-20%*(AL$1-$U$1))),0)</f>
        <v>495.33422843587152</v>
      </c>
      <c r="AM61" s="132">
        <f>IF(AND($U$1&lt;AM$1, AM$1&lt;$F$60),$U61*(90%*EXP(-20%*(AM$1-$U$1))),0)</f>
        <v>405.5453658726023</v>
      </c>
      <c r="AN61" s="132">
        <f>IF(AND($U$1&lt;AN$1, AN$1&lt;$F$60),$U61*(90%*EXP(-20%*(AN$1-$U$1))),0)</f>
        <v>332.03246280816131</v>
      </c>
      <c r="AO61" s="132">
        <f>IF(AND($U$1&lt;AO$1, AO$1&lt;$F$60),$U61*(90%*EXP(-20%*(AO$1-$U$1))),0)</f>
        <v>271.84518832126298</v>
      </c>
      <c r="AP61" s="132">
        <f>IF(AND($U$1&lt;AP$1, AP$1&lt;$F$60),$U61*(90%*EXP(-20%*(AP$1-$U$1))),0)</f>
        <v>222.56801575489339</v>
      </c>
      <c r="AQ61" s="132">
        <f>IF(AND($U$1&lt;AQ$1, AQ$1&lt;$F$60),$U61*(90%*EXP(-20%*(AQ$1-$U$1))),0)</f>
        <v>182.22327915007594</v>
      </c>
      <c r="AR61" s="132">
        <f>IF(AND($U$1&lt;AR$1, AR$1&lt;$F$60),$U61*(90%*EXP(-20%*(AR$1-$U$1))),0)</f>
        <v>149.19180256688097</v>
      </c>
      <c r="AS61" s="132">
        <f>IF(AND($U$1&lt;AS$1, AS$1&lt;$F$60),$U61*(90%*EXP(-20%*(AS$1-$U$1))),0)</f>
        <v>122.14791686864403</v>
      </c>
      <c r="AT61" s="132">
        <f>IF(AND($U$1&lt;AT$1, AT$1&lt;$F$60),$U61*(90%*EXP(-20%*(AT$1-$U$1))),0)</f>
        <v>100.00625596477173</v>
      </c>
      <c r="AU61" s="132">
        <f>IF(AND($U$1&lt;AU$1, AU$1&lt;$F$60),$U61*(90%*EXP(-20%*(AU$1-$U$1))),0)</f>
        <v>81.878197258546948</v>
      </c>
      <c r="AV61" s="132">
        <f>IF(AND($U$1&lt;AV$1, AV$1&lt;$F$60),$U61*(90%*EXP(-20%*(AV$1-$U$1))),0)</f>
        <v>67.036198102157684</v>
      </c>
      <c r="AW61" s="132">
        <f>IF(AND($U$1&lt;AW$1, AW$1&lt;$F$60),$U61*(90%*EXP(-20%*(AW$1-$U$1))),0)</f>
        <v>54.884596955664328</v>
      </c>
      <c r="AX61" s="132">
        <f>IF(AND($U$1&lt;AX$1, AX$1&lt;$F$60),$U61*(90%*EXP(-20%*(AX$1-$U$1))),0)</f>
        <v>44.935707397892564</v>
      </c>
      <c r="AY61" s="132">
        <f>IF(AND($U$1&lt;AY$1, AY$1&lt;$F$60),$U61*(90%*EXP(-20%*(AY$1-$U$1))),0)</f>
        <v>36.79024555796844</v>
      </c>
      <c r="AZ61" s="132">
        <f>IF(AND($U$1&lt;AZ$1, AZ$1&lt;$F$60),$U61*(90%*EXP(-20%*(AZ$1-$U$1))),0)</f>
        <v>30.121305451599376</v>
      </c>
      <c r="BA61" s="132">
        <f>IF(AND($U$1&lt;BA$1, BA$1&lt;$F$60),$U61*(90%*EXP(-20%*(BA$1-$U$1))),0)</f>
        <v>24.661239096079871</v>
      </c>
      <c r="BB61" s="132">
        <f>IF(AND($U$1&lt;BB$1, BB$1&lt;$F$60),$U61*(90%*EXP(-20%*(BB$1-$U$1))),0)</f>
        <v>20.190914856969638</v>
      </c>
      <c r="BC61" s="132">
        <f>IF(AND($U$1&lt;BC$1, BC$1&lt;$F$60),$U61*(90%*EXP(-20%*(BC$1-$U$1))),0)</f>
        <v>16.530922926180164</v>
      </c>
      <c r="BD61" s="132">
        <f>IF(AND($U$1&lt;BD$1, BD$1&lt;$F$60),$U61*(90%*EXP(-20%*(BD$1-$U$1))),0)</f>
        <v>13.534374976425569</v>
      </c>
      <c r="BE61" s="132">
        <f>IF(AND($U$1&lt;BE$1, BE$1&lt;$F$60),$U61*(90%*EXP(-20%*(BE$1-$U$1))),0)</f>
        <v>11.081009016888697</v>
      </c>
      <c r="BF61" s="132">
        <f>IF(AND($U$1&lt;BF$1, BF$1&lt;$F$60),$U61*(90%*EXP(-20%*(BF$1-$U$1))),0)</f>
        <v>9.0723628572611865</v>
      </c>
      <c r="BG61" s="132">
        <f>IF(AND($U$1&lt;BG$1, BG$1&lt;$F$60),$U61*(90%*EXP(-20%*(BG$1-$U$1))),0)</f>
        <v>7.4278224743221619</v>
      </c>
      <c r="BH61" s="132">
        <f>IF(AND($U$1&lt;BH$1, BH$1&lt;$F$60),$U61*(90%*EXP(-20%*(BH$1-$U$1))),0)</f>
        <v>6.0813866881313423</v>
      </c>
      <c r="BI61" s="132">
        <f>IF(AND($U$1&lt;BI$1, BI$1&lt;$F$60),$U61*(90%*EXP(-20%*(BI$1-$U$1))),0)</f>
        <v>4.9790183029321913</v>
      </c>
      <c r="BJ61" s="132">
        <f>IF(AND($U$1&lt;BJ$1, BJ$1&lt;$F$60),$U61*(90%*EXP(-20%*(BJ$1-$U$1))),0)</f>
        <v>4.0764754047487237</v>
      </c>
      <c r="BK61" s="132">
        <f>IF(AND($U$1&lt;BK$1, BK$1&lt;$F$60),$U61*(90%*EXP(-20%*(BK$1-$U$1))),0)</f>
        <v>3.337535778033796</v>
      </c>
      <c r="BL61" s="132">
        <f>IF(AND($U$1&lt;BL$1, BL$1&lt;$F$60),$U61*(90%*EXP(-20%*(BL$1-$U$1))),0)</f>
        <v>2.7325431809743197</v>
      </c>
      <c r="BM61" s="132">
        <f>IF(AND($U$1&lt;BM$1, BM$1&lt;$F$60),$U61*(90%*EXP(-20%*(BM$1-$U$1))),0)</f>
        <v>2.2372171363772066</v>
      </c>
      <c r="BN61" s="132">
        <f>IF(AND($U$1&lt;BN$1, BN$1&lt;$F$60),$U61*(90%*EXP(-20%*(BN$1-$U$1))),0)</f>
        <v>1.8316784708650777</v>
      </c>
      <c r="BO61" s="132">
        <f>IF(AND($U$1&lt;BO$1, BO$1&lt;$F$60),$U61*(90%*EXP(-20%*(BO$1-$U$1))),0)</f>
        <v>1.4996514938480896</v>
      </c>
      <c r="BP61" s="132">
        <f>IF(AND($U$1&lt;BP$1, BP$1&lt;$F$60),$U61*(90%*EXP(-20%*(BP$1-$U$1))),0)</f>
        <v>1.2278107969127676</v>
      </c>
      <c r="BQ61" s="132">
        <f>IF(AND($U$1&lt;BQ$1, BQ$1&lt;$F$60),$U61*(90%*EXP(-20%*(BQ$1-$U$1))),0)</f>
        <v>1.0052464583936662</v>
      </c>
      <c r="BR61" s="132">
        <f>IF(AND($U$1&lt;BR$1, BR$1&lt;$F$60),$U61*(90%*EXP(-20%*(BR$1-$U$1))),0)</f>
        <v>0.82302618990962118</v>
      </c>
      <c r="BS61" s="132">
        <f>IF(AND($U$1&lt;BS$1, BS$1&lt;$F$60),$U61*(90%*EXP(-20%*(BS$1-$U$1))),0)</f>
        <v>0.6738368522676067</v>
      </c>
      <c r="BT61" s="132">
        <f>IF(AND($U$1&lt;BT$1, BT$1&lt;$F$60),$U61*(90%*EXP(-20%*(BT$1-$U$1))),0)</f>
        <v>0.55169095350875386</v>
      </c>
      <c r="BU61" s="132">
        <f>IF(AND($U$1&lt;BU$1, BU$1&lt;$F$60),$U61*(90%*EXP(-20%*(BU$1-$U$1))),0)</f>
        <v>0.4516863498325322</v>
      </c>
      <c r="BV61" s="132">
        <f>IF(AND($U$1&lt;BV$1, BV$1&lt;$F$60),$U61*(90%*EXP(-20%*(BV$1-$U$1))),0)</f>
        <v>0.36980950535343349</v>
      </c>
      <c r="BW61" s="132">
        <f>IF(AND($U$1&lt;BW$1, BW$1&lt;$F$60),$U61*(90%*EXP(-20%*(BW$1-$U$1))),0)</f>
        <v>0.30277441481341283</v>
      </c>
      <c r="BX61" s="132">
        <f>IF(AND($U$1&lt;BX$1, BX$1&lt;$F$60),$U61*(90%*EXP(-20%*(BX$1-$U$1))),0)</f>
        <v>0.24789072465293091</v>
      </c>
      <c r="BY61" s="132">
        <f>IF(AND($U$1&lt;BY$1, BY$1&lt;$F$60),$U61*(90%*EXP(-20%*(BY$1-$U$1))),0)</f>
        <v>0.20295575967614055</v>
      </c>
      <c r="BZ61" s="132">
        <f>IF(AND($U$1&lt;BZ$1, BZ$1&lt;$F$60),$U61*(90%*EXP(-20%*(BZ$1-$U$1))),0)</f>
        <v>0.16616612196116057</v>
      </c>
      <c r="CA61" s="132">
        <f>IF(AND($U$1&lt;CA$1, CA$1&lt;$F$60),$U61*(90%*EXP(-20%*(CA$1-$U$1))),0)</f>
        <v>0.13604531416930862</v>
      </c>
      <c r="CB61" s="132">
        <f>IF(AND($U$1&lt;CB$1, CB$1&lt;$F$60),$U61*(90%*EXP(-20%*(CB$1-$U$1))),0)</f>
        <v>0.11138448252256877</v>
      </c>
      <c r="CC61" s="132">
        <f>IF(AND($U$1&lt;CC$1, CC$1&lt;$F$60),$U61*(90%*EXP(-20%*(CC$1-$U$1))),0)</f>
        <v>9.1193901256904103E-2</v>
      </c>
      <c r="CD61" s="132">
        <f>IF(AND($U$1&lt;CD$1, CD$1&lt;$F$60),$U61*(90%*EXP(-20%*(CD$1-$U$1))),0)</f>
        <v>7.4663251452184137E-2</v>
      </c>
      <c r="CE61" s="132">
        <f>IF(AND($U$1&lt;CE$1, CE$1&lt;$F$60),$U61*(90%*EXP(-20%*(CE$1-$U$1))),0)</f>
        <v>6.1129100088697479E-2</v>
      </c>
      <c r="CF61" s="132">
        <f>IF(AND($U$1&lt;CF$1, CF$1&lt;$F$60),$U61*(90%*EXP(-20%*(CF$1-$U$1))),0)</f>
        <v>5.0048274150598558E-2</v>
      </c>
      <c r="CG61" s="132">
        <f>IF(AND($U$1&lt;CG$1, CG$1&lt;$F$60),$U61*(90%*EXP(-20%*(CG$1-$U$1))),0)</f>
        <v>4.0976061185572885E-2</v>
      </c>
      <c r="CH61" s="132">
        <f>IF(AND($U$1&lt;CH$1, CH$1&lt;$F$60),$U61*(90%*EXP(-20%*(CH$1-$U$1))),0)</f>
        <v>3.3548361432633574E-2</v>
      </c>
      <c r="CI61" s="132">
        <f>IF(AND($U$1&lt;CI$1, CI$1&lt;$F$60),$U61*(90%*EXP(-20%*(CI$1-$U$1))),0)</f>
        <v>2.7467075220272377E-2</v>
      </c>
      <c r="CJ61" s="132">
        <f t="shared" ref="CJ61:DY61" si="65">IF(AND($U$1&lt;CJ$1, CJ$1&lt;$F$60),$U61*(90%*EXP(-20%*(CJ$1-$U$1))),0)</f>
        <v>2.2488139179943193E-2</v>
      </c>
      <c r="CK61" s="132">
        <f t="shared" si="65"/>
        <v>1.8411731126117343E-2</v>
      </c>
      <c r="CL61" s="132">
        <f t="shared" si="65"/>
        <v>1.507425049035538E-2</v>
      </c>
      <c r="CM61" s="132">
        <f t="shared" si="65"/>
        <v>1.2341752456054806E-2</v>
      </c>
      <c r="CN61" s="132">
        <f t="shared" si="65"/>
        <v>1.0104572282647774E-2</v>
      </c>
      <c r="CO61" s="132">
        <f t="shared" si="65"/>
        <v>8.2729240745031182E-3</v>
      </c>
      <c r="CP61" s="132">
        <f t="shared" si="65"/>
        <v>6.7732973576748977E-3</v>
      </c>
      <c r="CQ61" s="132">
        <f t="shared" si="65"/>
        <v>5.5455068464702771E-3</v>
      </c>
      <c r="CR61" s="132">
        <f t="shared" si="65"/>
        <v>4.5402769966097177E-3</v>
      </c>
      <c r="CS61" s="132">
        <f t="shared" si="65"/>
        <v>3.7172644046169078E-3</v>
      </c>
      <c r="CT61" s="132">
        <f t="shared" si="65"/>
        <v>3.0434386853819793E-3</v>
      </c>
      <c r="CU61" s="132">
        <f t="shared" si="65"/>
        <v>2.4917568468294485E-3</v>
      </c>
      <c r="CV61" s="132">
        <f t="shared" si="65"/>
        <v>2.0400779596918927E-3</v>
      </c>
      <c r="CW61" s="132">
        <f t="shared" si="65"/>
        <v>1.6702745642763375E-3</v>
      </c>
      <c r="CX61" s="132">
        <f t="shared" si="65"/>
        <v>1.3675051518569649E-3</v>
      </c>
      <c r="CY61" s="132">
        <f t="shared" si="65"/>
        <v>1.1196185228178695E-3</v>
      </c>
      <c r="CZ61" s="132">
        <f t="shared" si="65"/>
        <v>9.1666611634673271E-4</v>
      </c>
      <c r="DA61" s="132">
        <f t="shared" si="65"/>
        <v>7.5050273975762983E-4</v>
      </c>
      <c r="DB61" s="132">
        <f t="shared" si="65"/>
        <v>6.1445967330885348E-4</v>
      </c>
      <c r="DC61" s="132">
        <f t="shared" si="65"/>
        <v>5.030770310642086E-4</v>
      </c>
      <c r="DD61" s="132">
        <f t="shared" si="65"/>
        <v>4.1188463649943362E-4</v>
      </c>
      <c r="DE61" s="132">
        <f t="shared" si="65"/>
        <v>3.3722261862243228E-4</v>
      </c>
      <c r="DF61" s="132">
        <f t="shared" si="65"/>
        <v>2.7609452849967328E-4</v>
      </c>
      <c r="DG61" s="132">
        <f t="shared" si="65"/>
        <v>2.2604708123924799E-4</v>
      </c>
      <c r="DH61" s="132">
        <f t="shared" si="65"/>
        <v>1.8507169705408939E-4</v>
      </c>
      <c r="DI61" s="132">
        <f t="shared" si="65"/>
        <v>1.5152388990251429E-4</v>
      </c>
      <c r="DJ61" s="132">
        <f t="shared" si="65"/>
        <v>1.2405726848919082E-4</v>
      </c>
      <c r="DK61" s="132">
        <f t="shared" si="65"/>
        <v>1.0156950085495266E-4</v>
      </c>
      <c r="DL61" s="132">
        <f t="shared" si="65"/>
        <v>8.315807392473018E-5</v>
      </c>
      <c r="DM61" s="132">
        <f t="shared" si="65"/>
        <v>6.8084072488908641E-5</v>
      </c>
      <c r="DN61" s="132">
        <f t="shared" si="65"/>
        <v>5.5742523941460112E-5</v>
      </c>
      <c r="DO61" s="132">
        <f t="shared" si="65"/>
        <v>4.5638118605059096E-5</v>
      </c>
      <c r="DP61" s="132">
        <f t="shared" si="65"/>
        <v>3.7365331214582317E-5</v>
      </c>
      <c r="DQ61" s="132">
        <f t="shared" si="65"/>
        <v>3.0592145764323227E-5</v>
      </c>
      <c r="DR61" s="132">
        <f t="shared" si="65"/>
        <v>2.5046730539895674E-5</v>
      </c>
      <c r="DS61" s="132">
        <f t="shared" si="65"/>
        <v>2.0506528557070087E-5</v>
      </c>
      <c r="DT61" s="132">
        <f t="shared" si="65"/>
        <v>1.6789325568545147E-5</v>
      </c>
      <c r="DU61" s="132">
        <f t="shared" si="65"/>
        <v>1.3745937166406395E-5</v>
      </c>
      <c r="DV61" s="132">
        <f t="shared" si="65"/>
        <v>1.1254221488014535E-5</v>
      </c>
      <c r="DW61" s="132">
        <f t="shared" si="65"/>
        <v>9.2141772341885191E-6</v>
      </c>
      <c r="DX61" s="132">
        <f t="shared" si="65"/>
        <v>7.5439302659411678E-6</v>
      </c>
      <c r="DY61" s="132">
        <f t="shared" si="65"/>
        <v>0</v>
      </c>
    </row>
    <row r="62" spans="1:129" x14ac:dyDescent="0.45">
      <c r="A62" s="3"/>
      <c r="B62" s="2"/>
      <c r="C62" s="122" t="s">
        <v>266</v>
      </c>
      <c r="D62" s="17"/>
      <c r="E62" s="2"/>
      <c r="F62" s="2"/>
      <c r="G62" s="2"/>
      <c r="H62" s="2"/>
      <c r="I62" s="13"/>
      <c r="J62" s="58"/>
      <c r="K62" s="58"/>
      <c r="L62" s="58"/>
      <c r="M62" s="58"/>
      <c r="N62" s="58"/>
      <c r="O62" s="58"/>
      <c r="P62" s="58"/>
      <c r="Q62" s="58"/>
      <c r="R62" s="58"/>
      <c r="S62" s="58"/>
      <c r="T62" s="58"/>
      <c r="U62" s="95"/>
      <c r="V62" s="91"/>
      <c r="W62" s="91"/>
      <c r="X62" s="91"/>
      <c r="Y62" s="91"/>
      <c r="Z62" s="55"/>
      <c r="AA62" s="55"/>
      <c r="AB62" s="55"/>
      <c r="AC62" s="55"/>
      <c r="AD62" s="55"/>
      <c r="AE62" s="55"/>
      <c r="AF62" s="55"/>
      <c r="AG62" s="129">
        <f>'Plan Moyen Terme (PMT)'!D21-BAU_Liquidité_Dynamique!AG60</f>
        <v>33064.31824200035</v>
      </c>
      <c r="AH62" s="129">
        <f>IF(AND($AG$1&lt;AH$1, AH$1&lt;$F$60),$AG62*(90%*EXP(-20%*(AH$1-$AG$1))),0)</f>
        <v>24363.696756854697</v>
      </c>
      <c r="AI62" s="129">
        <f>IF(AND($AG$1&lt;AI$1, AI$1&lt;$F$60),$AG62*(90%*EXP(-20%*(AI$1-$AG$1))),0)</f>
        <v>19947.307793503234</v>
      </c>
      <c r="AJ62" s="129">
        <f>IF(AND($AG$1&lt;AJ$1, AJ$1&lt;$F$60),$AG62*(90%*EXP(-20%*(AJ$1-$AG$1))),0)</f>
        <v>16331.474331653197</v>
      </c>
      <c r="AK62" s="129">
        <f>IF(AND($AG$1&lt;AK$1, AK$1&lt;$F$60),$AG62*(90%*EXP(-20%*(AK$1-$AG$1))),0)</f>
        <v>13371.080278428153</v>
      </c>
      <c r="AL62" s="129">
        <f>IF(AND($AG$1&lt;AL$1, AL$1&lt;$F$60),$AG62*(90%*EXP(-20%*(AL$1-$AG$1))),0)</f>
        <v>10947.314625823636</v>
      </c>
      <c r="AM62" s="129">
        <f>IF(AND($AG$1&lt;AM$1, AM$1&lt;$F$60),$AG62*(90%*EXP(-20%*(AM$1-$AG$1))),0)</f>
        <v>8962.9031477821864</v>
      </c>
      <c r="AN62" s="129">
        <f>IF(AND($AG$1&lt;AN$1, AN$1&lt;$F$60),$AG62*(90%*EXP(-20%*(AN$1-$AG$1))),0)</f>
        <v>7338.2044439487245</v>
      </c>
      <c r="AO62" s="129">
        <f>IF(AND($AG$1&lt;AO$1, AO$1&lt;$F$60),$AG62*(90%*EXP(-20%*(AO$1-$AG$1))),0)</f>
        <v>6008.0136506343333</v>
      </c>
      <c r="AP62" s="129">
        <f>IF(AND($AG$1&lt;AP$1, AP$1&lt;$F$60),$AG62*(90%*EXP(-20%*(AP$1-$AG$1))),0)</f>
        <v>4918.9455406866427</v>
      </c>
      <c r="AQ62" s="129">
        <f>IF(AND($AG$1&lt;AQ$1, AQ$1&lt;$F$60),$AG62*(90%*EXP(-20%*(AQ$1-$AG$1))),0)</f>
        <v>4027.2919868759559</v>
      </c>
      <c r="AR62" s="129">
        <f>IF(AND($AG$1&lt;AR$1, AR$1&lt;$F$60),$AG62*(90%*EXP(-20%*(AR$1-$AG$1))),0)</f>
        <v>3297.2678012798729</v>
      </c>
      <c r="AS62" s="129">
        <f>IF(AND($AG$1&lt;AS$1, AS$1&lt;$F$60),$AG62*(90%*EXP(-20%*(AS$1-$AG$1))),0)</f>
        <v>2699.574550041651</v>
      </c>
      <c r="AT62" s="129">
        <f>IF(AND($AG$1&lt;AT$1, AT$1&lt;$F$60),$AG62*(90%*EXP(-20%*(AT$1-$AG$1))),0)</f>
        <v>2210.2247043457555</v>
      </c>
      <c r="AU62" s="129">
        <f>IF(AND($AG$1&lt;AU$1, AU$1&lt;$F$60),$AG62*(90%*EXP(-20%*(AU$1-$AG$1))),0)</f>
        <v>1809.5789366605597</v>
      </c>
      <c r="AV62" s="129">
        <f>IF(AND($AG$1&lt;AV$1, AV$1&lt;$F$60),$AG62*(90%*EXP(-20%*(AV$1-$AG$1))),0)</f>
        <v>1481.5579255661542</v>
      </c>
      <c r="AW62" s="129">
        <f>IF(AND($AG$1&lt;AW$1, AW$1&lt;$F$60),$AG62*(90%*EXP(-20%*(AW$1-$AG$1))),0)</f>
        <v>1212.9970361274297</v>
      </c>
      <c r="AX62" s="129">
        <f>IF(AND($AG$1&lt;AX$1, AX$1&lt;$F$60),$AG62*(90%*EXP(-20%*(AX$1-$AG$1))),0)</f>
        <v>993.11797686997033</v>
      </c>
      <c r="AY62" s="129">
        <f>IF(AND($AG$1&lt;AY$1, AY$1&lt;$F$60),$AG62*(90%*EXP(-20%*(AY$1-$AG$1))),0)</f>
        <v>813.09622909803284</v>
      </c>
      <c r="AZ62" s="129">
        <f>IF(AND($AG$1&lt;AZ$1, AZ$1&lt;$F$60),$AG62*(90%*EXP(-20%*(AZ$1-$AG$1))),0)</f>
        <v>665.70688797429966</v>
      </c>
      <c r="BA62" s="129">
        <f>IF(AND($AG$1&lt;BA$1, BA$1&lt;$F$60),$AG62*(90%*EXP(-20%*(BA$1-$AG$1))),0)</f>
        <v>545.03470172039806</v>
      </c>
      <c r="BB62" s="129">
        <f>IF(AND($AG$1&lt;BB$1, BB$1&lt;$F$60),$AG62*(90%*EXP(-20%*(BB$1-$AG$1))),0)</f>
        <v>446.23667179317471</v>
      </c>
      <c r="BC62" s="129">
        <f>IF(AND($AG$1&lt;BC$1, BC$1&lt;$F$60),$AG62*(90%*EXP(-20%*(BC$1-$AG$1))),0)</f>
        <v>365.34768634823808</v>
      </c>
      <c r="BD62" s="129">
        <f>IF(AND($AG$1&lt;BD$1, BD$1&lt;$F$60),$AG62*(90%*EXP(-20%*(BD$1-$AG$1))),0)</f>
        <v>299.12138637919122</v>
      </c>
      <c r="BE62" s="129">
        <f>IF(AND($AG$1&lt;BE$1, BE$1&lt;$F$60),$AG62*(90%*EXP(-20%*(BE$1-$AG$1))),0)</f>
        <v>244.89987793196519</v>
      </c>
      <c r="BF62" s="129">
        <f>IF(AND($AG$1&lt;BF$1, BF$1&lt;$F$60),$AG62*(90%*EXP(-20%*(BF$1-$AG$1))),0)</f>
        <v>200.50706148794384</v>
      </c>
      <c r="BG62" s="129">
        <f>IF(AND($AG$1&lt;BG$1, BG$1&lt;$F$60),$AG62*(90%*EXP(-20%*(BG$1-$AG$1))),0)</f>
        <v>164.16129744947742</v>
      </c>
      <c r="BH62" s="129">
        <f>IF(AND($AG$1&lt;BH$1, BH$1&lt;$F$60),$AG62*(90%*EXP(-20%*(BH$1-$AG$1))),0)</f>
        <v>134.40390268706921</v>
      </c>
      <c r="BI62" s="129">
        <f>IF(AND($AG$1&lt;BI$1, BI$1&lt;$F$60),$AG62*(90%*EXP(-20%*(BI$1-$AG$1))),0)</f>
        <v>110.04060846360395</v>
      </c>
      <c r="BJ62" s="129">
        <f>IF(AND($AG$1&lt;BJ$1, BJ$1&lt;$F$60),$AG62*(90%*EXP(-20%*(BJ$1-$AG$1))),0)</f>
        <v>90.093630236565801</v>
      </c>
      <c r="BK62" s="129">
        <f>IF(AND($AG$1&lt;BK$1, BK$1&lt;$F$60),$AG62*(90%*EXP(-20%*(BK$1-$AG$1))),0)</f>
        <v>73.762425731112799</v>
      </c>
      <c r="BL62" s="129">
        <f>IF(AND($AG$1&lt;BL$1, BL$1&lt;$F$60),$AG62*(90%*EXP(-20%*(BL$1-$AG$1))),0)</f>
        <v>60.391566367692675</v>
      </c>
      <c r="BM62" s="129">
        <f>IF(AND($AG$1&lt;BM$1, BM$1&lt;$F$60),$AG62*(90%*EXP(-20%*(BM$1-$AG$1))),0)</f>
        <v>49.444432611779938</v>
      </c>
      <c r="BN62" s="129">
        <f>IF(AND($AG$1&lt;BN$1, BN$1&lt;$F$60),$AG62*(90%*EXP(-20%*(BN$1-$AG$1))),0)</f>
        <v>40.481677547756107</v>
      </c>
      <c r="BO62" s="129">
        <f>IF(AND($AG$1&lt;BO$1, BO$1&lt;$F$60),$AG62*(90%*EXP(-20%*(BO$1-$AG$1))),0)</f>
        <v>33.143594344534385</v>
      </c>
      <c r="BP62" s="129">
        <f>IF(AND($AG$1&lt;BP$1, BP$1&lt;$F$60),$AG62*(90%*EXP(-20%*(BP$1-$AG$1))),0)</f>
        <v>27.135679957411796</v>
      </c>
      <c r="BQ62" s="129">
        <f>IF(AND($AG$1&lt;BQ$1, BQ$1&lt;$F$60),$AG62*(90%*EXP(-20%*(BQ$1-$AG$1))),0)</f>
        <v>22.216815686814851</v>
      </c>
      <c r="BR62" s="129">
        <f>IF(AND($AG$1&lt;BR$1, BR$1&lt;$F$60),$AG62*(90%*EXP(-20%*(BR$1-$AG$1))),0)</f>
        <v>18.189590238260639</v>
      </c>
      <c r="BS62" s="129">
        <f>IF(AND($AG$1&lt;BS$1, BS$1&lt;$F$60),$AG62*(90%*EXP(-20%*(BS$1-$AG$1))),0)</f>
        <v>14.892376913951038</v>
      </c>
      <c r="BT62" s="129">
        <f>IF(AND($AG$1&lt;BT$1, BT$1&lt;$F$60),$AG62*(90%*EXP(-20%*(BT$1-$AG$1))),0)</f>
        <v>12.192846965880285</v>
      </c>
      <c r="BU62" s="129">
        <f>IF(AND($AG$1&lt;BU$1, BU$1&lt;$F$60),$AG62*(90%*EXP(-20%*(BU$1-$AG$1))),0)</f>
        <v>9.9826587785397596</v>
      </c>
      <c r="BV62" s="129">
        <f>IF(AND($AG$1&lt;BV$1, BV$1&lt;$F$60),$AG62*(90%*EXP(-20%*(BV$1-$AG$1))),0)</f>
        <v>8.1731097394743752</v>
      </c>
      <c r="BW62" s="129">
        <f>IF(AND($AG$1&lt;BW$1, BW$1&lt;$F$60),$AG62*(90%*EXP(-20%*(BW$1-$AG$1))),0)</f>
        <v>6.6915762919888477</v>
      </c>
      <c r="BX62" s="129">
        <f>IF(AND($AG$1&lt;BX$1, BX$1&lt;$F$60),$AG62*(90%*EXP(-20%*(BX$1-$AG$1))),0)</f>
        <v>5.4785992968188024</v>
      </c>
      <c r="BY62" s="129">
        <f>IF(AND($AG$1&lt;BY$1, BY$1&lt;$F$60),$AG62*(90%*EXP(-20%*(BY$1-$AG$1))),0)</f>
        <v>4.4854977280969557</v>
      </c>
      <c r="BZ62" s="129">
        <f>IF(AND($AG$1&lt;BZ$1, BZ$1&lt;$F$60),$AG62*(90%*EXP(-20%*(BZ$1-$AG$1))),0)</f>
        <v>3.6724149328543998</v>
      </c>
      <c r="CA62" s="129">
        <f>IF(AND($AG$1&lt;CA$1, CA$1&lt;$F$60),$AG62*(90%*EXP(-20%*(CA$1-$AG$1))),0)</f>
        <v>3.0067190435907052</v>
      </c>
      <c r="CB62" s="129">
        <f>IF(AND($AG$1&lt;CB$1, CB$1&lt;$F$60),$AG62*(90%*EXP(-20%*(CB$1-$AG$1))),0)</f>
        <v>2.4616933468529294</v>
      </c>
      <c r="CC62" s="129">
        <f>IF(AND($AG$1&lt;CC$1, CC$1&lt;$F$60),$AG62*(90%*EXP(-20%*(CC$1-$AG$1))),0)</f>
        <v>2.0154640477159544</v>
      </c>
      <c r="CD62" s="129">
        <f>IF(AND($AG$1&lt;CD$1, CD$1&lt;$F$60),$AG62*(90%*EXP(-20%*(CD$1-$AG$1))),0)</f>
        <v>1.6501223975880819</v>
      </c>
      <c r="CE62" s="129">
        <f>IF(AND($AG$1&lt;CE$1, CE$1&lt;$F$60),$AG62*(90%*EXP(-20%*(CE$1-$AG$1))),0)</f>
        <v>1.3510059532481362</v>
      </c>
      <c r="CF62" s="129">
        <f>IF(AND($AG$1&lt;CF$1, CF$1&lt;$F$60),$AG62*(90%*EXP(-20%*(CF$1-$AG$1))),0)</f>
        <v>1.1061101215156823</v>
      </c>
      <c r="CG62" s="129">
        <f>IF(AND($AG$1&lt;CG$1, CG$1&lt;$F$60),$AG62*(90%*EXP(-20%*(CG$1-$AG$1))),0)</f>
        <v>0.9056063727757131</v>
      </c>
      <c r="CH62" s="129">
        <f>IF(AND($AG$1&lt;CH$1, CH$1&lt;$F$60),$AG62*(90%*EXP(-20%*(CH$1-$AG$1))),0)</f>
        <v>0.74144778757487839</v>
      </c>
      <c r="CI62" s="129">
        <f>IF(AND($AG$1&lt;CI$1, CI$1&lt;$F$60),$AG62*(90%*EXP(-20%*(CI$1-$AG$1))),0)</f>
        <v>0.60704610548918425</v>
      </c>
      <c r="CJ62" s="129">
        <f>IF(AND($AG$1&lt;CJ$1, CJ$1&lt;$F$60),$AG62*(90%*EXP(-20%*(CJ$1-$AG$1))),0)</f>
        <v>0.49700731510021612</v>
      </c>
      <c r="CK62" s="129">
        <f>IF(AND($AG$1&lt;CK$1, CK$1&lt;$F$60),$AG62*(90%*EXP(-20%*(CK$1-$AG$1))),0)</f>
        <v>0.40691517337726535</v>
      </c>
      <c r="CL62" s="129">
        <f>IF(AND($AG$1&lt;CL$1, CL$1&lt;$F$60),$AG62*(90%*EXP(-20%*(CL$1-$AG$1))),0)</f>
        <v>0.33315396633802624</v>
      </c>
      <c r="CM62" s="129">
        <f>IF(AND($AG$1&lt;CM$1, CM$1&lt;$F$60),$AG62*(90%*EXP(-20%*(CM$1-$AG$1))),0)</f>
        <v>0.27276339775084857</v>
      </c>
      <c r="CN62" s="129">
        <f>IF(AND($AG$1&lt;CN$1, CN$1&lt;$F$60),$AG62*(90%*EXP(-20%*(CN$1-$AG$1))),0)</f>
        <v>0.22331978205266151</v>
      </c>
      <c r="CO62" s="129">
        <f>IF(AND($AG$1&lt;CO$1, CO$1&lt;$F$60),$AG62*(90%*EXP(-20%*(CO$1-$AG$1))),0)</f>
        <v>0.18283877333718646</v>
      </c>
      <c r="CP62" s="129">
        <f>IF(AND($AG$1&lt;CP$1, CP$1&lt;$F$60),$AG62*(90%*EXP(-20%*(CP$1-$AG$1))),0)</f>
        <v>0.14969572658620894</v>
      </c>
      <c r="CQ62" s="129">
        <f>IF(AND($AG$1&lt;CQ$1, CQ$1&lt;$F$60),$AG62*(90%*EXP(-20%*(CQ$1-$AG$1))),0)</f>
        <v>0.1225604949604826</v>
      </c>
      <c r="CR62" s="129">
        <f>IF(AND($AG$1&lt;CR$1, CR$1&lt;$F$60),$AG62*(90%*EXP(-20%*(CR$1-$AG$1))),0)</f>
        <v>0.10034404633660601</v>
      </c>
      <c r="CS62" s="129">
        <f>IF(AND($AG$1&lt;CS$1, CS$1&lt;$F$60),$AG62*(90%*EXP(-20%*(CS$1-$AG$1))),0)</f>
        <v>8.2154756624061409E-2</v>
      </c>
      <c r="CT62" s="129">
        <f>IF(AND($AG$1&lt;CT$1, CT$1&lt;$F$60),$AG62*(90%*EXP(-20%*(CT$1-$AG$1))),0)</f>
        <v>6.7262625759756167E-2</v>
      </c>
      <c r="CU62" s="129">
        <f t="shared" ref="CU62:DY62" si="66">IF(AND($AG$1&lt;CU$1, CU$1&lt;$F$60),$AG62*(90%*EXP(-20%*(CU$1-$AG$1))),0)</f>
        <v>5.5069980242287563E-2</v>
      </c>
      <c r="CV62" s="129">
        <f t="shared" si="66"/>
        <v>4.5087486395757714E-2</v>
      </c>
      <c r="CW62" s="129">
        <f t="shared" si="66"/>
        <v>3.6914511691191941E-2</v>
      </c>
      <c r="CX62" s="129">
        <f t="shared" si="66"/>
        <v>3.022304595643556E-2</v>
      </c>
      <c r="CY62" s="129">
        <f t="shared" si="66"/>
        <v>2.4744537176222957E-2</v>
      </c>
      <c r="CZ62" s="129">
        <f t="shared" si="66"/>
        <v>2.025911355685512E-2</v>
      </c>
      <c r="DA62" s="129">
        <f t="shared" si="66"/>
        <v>1.6586759299096355E-2</v>
      </c>
      <c r="DB62" s="129">
        <f t="shared" si="66"/>
        <v>1.3580089932072364E-2</v>
      </c>
      <c r="DC62" s="129">
        <f t="shared" si="66"/>
        <v>1.1118437256952333E-2</v>
      </c>
      <c r="DD62" s="129">
        <f t="shared" si="66"/>
        <v>9.1030065084348813E-3</v>
      </c>
      <c r="DE62" s="129">
        <f t="shared" si="66"/>
        <v>7.4529113739246521E-3</v>
      </c>
      <c r="DF62" s="129">
        <f t="shared" si="66"/>
        <v>6.1019277417967916E-3</v>
      </c>
      <c r="DG62" s="129">
        <f t="shared" si="66"/>
        <v>4.9958358952687113E-3</v>
      </c>
      <c r="DH62" s="129">
        <f t="shared" si="66"/>
        <v>4.0902444847873681E-3</v>
      </c>
      <c r="DI62" s="129">
        <f t="shared" si="66"/>
        <v>3.3488089473030264E-3</v>
      </c>
      <c r="DJ62" s="129">
        <f t="shared" si="66"/>
        <v>2.7417728713396926E-3</v>
      </c>
      <c r="DK62" s="129">
        <f t="shared" si="66"/>
        <v>2.2447737677207206E-3</v>
      </c>
      <c r="DL62" s="129">
        <f t="shared" si="66"/>
        <v>1.8378653173356857E-3</v>
      </c>
      <c r="DM62" s="129">
        <f t="shared" si="66"/>
        <v>1.5047168553181509E-3</v>
      </c>
      <c r="DN62" s="129">
        <f t="shared" si="66"/>
        <v>1.2319579641237636E-3</v>
      </c>
      <c r="DO62" s="129">
        <f t="shared" si="66"/>
        <v>1.0086418717274669E-3</v>
      </c>
      <c r="DP62" s="129">
        <f t="shared" si="66"/>
        <v>8.2580611922541177E-4</v>
      </c>
      <c r="DQ62" s="129">
        <f t="shared" si="66"/>
        <v>6.7611286588982748E-4</v>
      </c>
      <c r="DR62" s="129">
        <f t="shared" si="66"/>
        <v>5.5355439585569137E-4</v>
      </c>
      <c r="DS62" s="129">
        <f t="shared" si="66"/>
        <v>4.5321200738855785E-4</v>
      </c>
      <c r="DT62" s="129">
        <f t="shared" si="66"/>
        <v>3.710586081132181E-4</v>
      </c>
      <c r="DU62" s="129">
        <f t="shared" si="66"/>
        <v>3.0379709365660197E-4</v>
      </c>
      <c r="DV62" s="129">
        <f t="shared" si="66"/>
        <v>2.4872802327237207E-4</v>
      </c>
      <c r="DW62" s="129">
        <f t="shared" si="66"/>
        <v>2.0364128180538714E-4</v>
      </c>
      <c r="DX62" s="129">
        <f t="shared" si="66"/>
        <v>1.6672738001029028E-4</v>
      </c>
      <c r="DY62" s="129">
        <f t="shared" si="66"/>
        <v>0</v>
      </c>
    </row>
    <row r="63" spans="1:129" x14ac:dyDescent="0.45">
      <c r="A63" s="3"/>
      <c r="B63" s="2"/>
      <c r="C63" s="125" t="s">
        <v>267</v>
      </c>
      <c r="D63" s="17"/>
      <c r="E63" s="2"/>
      <c r="F63" s="2"/>
      <c r="G63" s="2"/>
      <c r="H63" s="2"/>
      <c r="I63" s="13"/>
      <c r="J63" s="58"/>
      <c r="K63" s="58"/>
      <c r="L63" s="58"/>
      <c r="M63" s="58"/>
      <c r="N63" s="58"/>
      <c r="O63" s="58"/>
      <c r="P63" s="58"/>
      <c r="Q63" s="58"/>
      <c r="R63" s="58"/>
      <c r="S63" s="58"/>
      <c r="T63" s="58"/>
      <c r="U63" s="96"/>
      <c r="V63" s="55"/>
      <c r="W63" s="55"/>
      <c r="X63" s="55"/>
      <c r="Y63" s="55"/>
      <c r="Z63" s="55"/>
      <c r="AA63" s="55"/>
      <c r="AB63" s="55"/>
      <c r="AC63" s="55"/>
      <c r="AD63" s="55"/>
      <c r="AE63" s="55"/>
      <c r="AF63" s="55"/>
      <c r="AG63" s="102"/>
      <c r="AH63" s="91"/>
      <c r="AI63" s="91"/>
      <c r="AJ63" s="91"/>
      <c r="AK63" s="55"/>
      <c r="AL63" s="55"/>
      <c r="AM63" s="55"/>
      <c r="AN63" s="55"/>
      <c r="AO63" s="55"/>
      <c r="AP63" s="55"/>
      <c r="AQ63" s="55"/>
      <c r="AR63" s="55"/>
      <c r="AS63" s="130">
        <f>'Plan Moyen Terme (PMT)'!E21-BAU_Liquidité_Dynamique!AS60</f>
        <v>39595.88107457741</v>
      </c>
      <c r="AT63" s="133">
        <f>IF(AND($AS$1&lt;AT$1, AT$1&lt;$F$60),$AS63*(90%*EXP(-20%*(AT$1-$AS$1))),0)</f>
        <v>29176.528977877475</v>
      </c>
      <c r="AU63" s="133">
        <f t="shared" ref="AU63:DF63" si="67">IF(AND($AS$1&lt;AU$1, AU$1&lt;$F$60),$AS63*(90%*EXP(-20%*(AU$1-$AS$1))),0)</f>
        <v>23887.721542259187</v>
      </c>
      <c r="AV63" s="133">
        <f t="shared" si="67"/>
        <v>19557.612247610992</v>
      </c>
      <c r="AW63" s="133">
        <f t="shared" si="67"/>
        <v>16012.41860389371</v>
      </c>
      <c r="AX63" s="133">
        <f t="shared" si="67"/>
        <v>13109.859542165786</v>
      </c>
      <c r="AY63" s="133">
        <f t="shared" si="67"/>
        <v>10733.445175703957</v>
      </c>
      <c r="AZ63" s="133">
        <f t="shared" si="67"/>
        <v>8787.8016518253316</v>
      </c>
      <c r="BA63" s="133">
        <f t="shared" si="67"/>
        <v>7194.8434642988877</v>
      </c>
      <c r="BB63" s="133">
        <f t="shared" si="67"/>
        <v>5890.639607803625</v>
      </c>
      <c r="BC63" s="133">
        <f t="shared" si="67"/>
        <v>4822.8478022080499</v>
      </c>
      <c r="BD63" s="133">
        <f t="shared" si="67"/>
        <v>3948.6138130822856</v>
      </c>
      <c r="BE63" s="133">
        <f t="shared" si="67"/>
        <v>3232.8515607989802</v>
      </c>
      <c r="BF63" s="133">
        <f t="shared" si="67"/>
        <v>2646.8349929622791</v>
      </c>
      <c r="BG63" s="133">
        <f t="shared" si="67"/>
        <v>2167.0452070611609</v>
      </c>
      <c r="BH63" s="133">
        <f t="shared" si="67"/>
        <v>1774.226554331216</v>
      </c>
      <c r="BI63" s="133">
        <f t="shared" si="67"/>
        <v>1452.6138429585492</v>
      </c>
      <c r="BJ63" s="133">
        <f t="shared" si="67"/>
        <v>1189.299625576954</v>
      </c>
      <c r="BK63" s="133">
        <f t="shared" si="67"/>
        <v>973.71617808398173</v>
      </c>
      <c r="BL63" s="133">
        <f t="shared" si="67"/>
        <v>797.2113797669125</v>
      </c>
      <c r="BM63" s="133">
        <f t="shared" si="67"/>
        <v>652.70147331890132</v>
      </c>
      <c r="BN63" s="133">
        <f t="shared" si="67"/>
        <v>534.38676878549234</v>
      </c>
      <c r="BO63" s="133">
        <f t="shared" si="67"/>
        <v>437.5188816426554</v>
      </c>
      <c r="BP63" s="133">
        <f t="shared" si="67"/>
        <v>358.21016345312762</v>
      </c>
      <c r="BQ63" s="133">
        <f t="shared" si="67"/>
        <v>293.27767688416611</v>
      </c>
      <c r="BR63" s="133">
        <f t="shared" si="67"/>
        <v>240.11545325633452</v>
      </c>
      <c r="BS63" s="133">
        <f t="shared" si="67"/>
        <v>196.58990587021967</v>
      </c>
      <c r="BT63" s="133">
        <f t="shared" si="67"/>
        <v>160.95420168065451</v>
      </c>
      <c r="BU63" s="133">
        <f t="shared" si="67"/>
        <v>131.77815475306761</v>
      </c>
      <c r="BV63" s="133">
        <f t="shared" si="67"/>
        <v>107.89082788020586</v>
      </c>
      <c r="BW63" s="133">
        <f t="shared" si="67"/>
        <v>88.333538760567919</v>
      </c>
      <c r="BX63" s="133">
        <f t="shared" si="67"/>
        <v>72.321384711482864</v>
      </c>
      <c r="BY63" s="133">
        <f t="shared" si="67"/>
        <v>59.211741768474795</v>
      </c>
      <c r="BZ63" s="133">
        <f t="shared" si="67"/>
        <v>48.478473929162355</v>
      </c>
      <c r="CA63" s="133">
        <f t="shared" si="67"/>
        <v>39.690817468094401</v>
      </c>
      <c r="CB63" s="133">
        <f t="shared" si="67"/>
        <v>32.49609287593367</v>
      </c>
      <c r="CC63" s="133">
        <f t="shared" si="67"/>
        <v>26.605550592405205</v>
      </c>
      <c r="CD63" s="133">
        <f t="shared" si="67"/>
        <v>21.782782472574254</v>
      </c>
      <c r="CE63" s="133">
        <f t="shared" si="67"/>
        <v>17.834233897904582</v>
      </c>
      <c r="CF63" s="133">
        <f t="shared" si="67"/>
        <v>14.60143574980029</v>
      </c>
      <c r="CG63" s="133">
        <f t="shared" si="67"/>
        <v>11.954644487453766</v>
      </c>
      <c r="CH63" s="133">
        <f t="shared" si="67"/>
        <v>9.7876350839925568</v>
      </c>
      <c r="CI63" s="133">
        <f t="shared" si="67"/>
        <v>8.013437843169708</v>
      </c>
      <c r="CJ63" s="133">
        <f t="shared" si="67"/>
        <v>6.5608480000819371</v>
      </c>
      <c r="CK63" s="133">
        <f t="shared" si="67"/>
        <v>5.3715680239372512</v>
      </c>
      <c r="CL63" s="133">
        <f t="shared" si="67"/>
        <v>4.3978679334477553</v>
      </c>
      <c r="CM63" s="133">
        <f t="shared" si="67"/>
        <v>3.6006697250891841</v>
      </c>
      <c r="CN63" s="133">
        <f t="shared" si="67"/>
        <v>2.9479790356073599</v>
      </c>
      <c r="CO63" s="133">
        <f t="shared" si="67"/>
        <v>2.4136010958809138</v>
      </c>
      <c r="CP63" s="133">
        <f t="shared" si="67"/>
        <v>1.9760894428604243</v>
      </c>
      <c r="CQ63" s="133">
        <f t="shared" si="67"/>
        <v>1.6178851977025659</v>
      </c>
      <c r="CR63" s="133">
        <f t="shared" si="67"/>
        <v>1.3246123663087399</v>
      </c>
      <c r="CS63" s="133">
        <f t="shared" si="67"/>
        <v>1.084500880204363</v>
      </c>
      <c r="CT63" s="133">
        <f t="shared" si="67"/>
        <v>0.8879142223634513</v>
      </c>
      <c r="CU63" s="133">
        <f t="shared" si="67"/>
        <v>0.72696267994427977</v>
      </c>
      <c r="CV63" s="133">
        <f t="shared" si="67"/>
        <v>0.59518670241036842</v>
      </c>
      <c r="CW63" s="133">
        <f t="shared" si="67"/>
        <v>0.48729765708644107</v>
      </c>
      <c r="CX63" s="133">
        <f t="shared" si="67"/>
        <v>0.39896557775951841</v>
      </c>
      <c r="CY63" s="133">
        <f t="shared" si="67"/>
        <v>0.32664538793124226</v>
      </c>
      <c r="CZ63" s="133">
        <f t="shared" si="67"/>
        <v>0.26743462445039567</v>
      </c>
      <c r="DA63" s="133">
        <f t="shared" si="67"/>
        <v>0.21895695147539987</v>
      </c>
      <c r="DB63" s="133">
        <f t="shared" si="67"/>
        <v>0.17926678977311308</v>
      </c>
      <c r="DC63" s="133">
        <f t="shared" si="67"/>
        <v>0.14677123379281323</v>
      </c>
      <c r="DD63" s="133">
        <f t="shared" si="67"/>
        <v>0.12016612277337439</v>
      </c>
      <c r="DE63" s="133">
        <f t="shared" si="67"/>
        <v>9.8383700192706106E-2</v>
      </c>
      <c r="DF63" s="133">
        <f t="shared" si="67"/>
        <v>8.0549760949372731E-2</v>
      </c>
      <c r="DG63" s="133">
        <f t="shared" ref="DG63:DY63" si="68">IF(AND($AS$1&lt;DG$1, DG$1&lt;$F$60),$AS63*(90%*EXP(-20%*(DG$1-$AS$1))),0)</f>
        <v>6.5948566442331269E-2</v>
      </c>
      <c r="DH63" s="133">
        <f t="shared" si="68"/>
        <v>5.3994119467743247E-2</v>
      </c>
      <c r="DI63" s="133">
        <f t="shared" si="68"/>
        <v>4.4206646093607908E-2</v>
      </c>
      <c r="DJ63" s="133">
        <f t="shared" si="68"/>
        <v>3.6193340647271449E-2</v>
      </c>
      <c r="DK63" s="133">
        <f t="shared" si="68"/>
        <v>2.9632601044548505E-2</v>
      </c>
      <c r="DL63" s="133">
        <f t="shared" si="68"/>
        <v>2.4261121768862564E-2</v>
      </c>
      <c r="DM63" s="133">
        <f t="shared" si="68"/>
        <v>1.9863326496337479E-2</v>
      </c>
      <c r="DN63" s="133">
        <f t="shared" si="68"/>
        <v>1.6262716260980199E-2</v>
      </c>
      <c r="DO63" s="133">
        <f t="shared" si="68"/>
        <v>1.3314785931445867E-2</v>
      </c>
      <c r="DP63" s="133">
        <f t="shared" si="68"/>
        <v>1.09012247127248E-2</v>
      </c>
      <c r="DQ63" s="133">
        <f t="shared" si="68"/>
        <v>8.9251679185214736E-3</v>
      </c>
      <c r="DR63" s="133">
        <f t="shared" si="68"/>
        <v>7.3073094512785351E-3</v>
      </c>
      <c r="DS63" s="133">
        <f t="shared" si="68"/>
        <v>5.9827189700191238E-3</v>
      </c>
      <c r="DT63" s="133">
        <f t="shared" si="68"/>
        <v>4.8982360077776876E-3</v>
      </c>
      <c r="DU63" s="133">
        <f t="shared" si="68"/>
        <v>4.0103364554015166E-3</v>
      </c>
      <c r="DV63" s="133">
        <f t="shared" si="68"/>
        <v>3.2833857862269709E-3</v>
      </c>
      <c r="DW63" s="133">
        <f t="shared" si="68"/>
        <v>2.6882089174031414E-3</v>
      </c>
      <c r="DX63" s="133">
        <f t="shared" si="68"/>
        <v>2.200919311376422E-3</v>
      </c>
      <c r="DY63" s="133">
        <f t="shared" si="68"/>
        <v>0</v>
      </c>
    </row>
    <row r="64" spans="1:129" x14ac:dyDescent="0.45">
      <c r="A64" s="3">
        <v>46022</v>
      </c>
      <c r="B64" s="2" t="s">
        <v>19</v>
      </c>
      <c r="C64" s="6" t="s">
        <v>6</v>
      </c>
      <c r="D64" s="17">
        <v>8.3386457267199329E-3</v>
      </c>
      <c r="E64" s="2" t="s">
        <v>45</v>
      </c>
      <c r="F64" s="2">
        <v>60</v>
      </c>
      <c r="G64" s="2" t="s">
        <v>45</v>
      </c>
      <c r="H64" s="2">
        <v>60</v>
      </c>
      <c r="I64" s="14">
        <v>26171.965</v>
      </c>
      <c r="J64" s="55">
        <f t="shared" ref="J64:BU64" si="69">IF(J$1&lt;$F64,$I64,0)</f>
        <v>26171.965</v>
      </c>
      <c r="K64" s="55">
        <f t="shared" si="69"/>
        <v>26171.965</v>
      </c>
      <c r="L64" s="55">
        <f t="shared" si="69"/>
        <v>26171.965</v>
      </c>
      <c r="M64" s="55">
        <f t="shared" si="69"/>
        <v>26171.965</v>
      </c>
      <c r="N64" s="55">
        <f t="shared" si="69"/>
        <v>26171.965</v>
      </c>
      <c r="O64" s="55">
        <f t="shared" si="69"/>
        <v>26171.965</v>
      </c>
      <c r="P64" s="55">
        <f t="shared" si="69"/>
        <v>26171.965</v>
      </c>
      <c r="Q64" s="55">
        <f t="shared" si="69"/>
        <v>26171.965</v>
      </c>
      <c r="R64" s="55">
        <f t="shared" si="69"/>
        <v>26171.965</v>
      </c>
      <c r="S64" s="55">
        <f t="shared" si="69"/>
        <v>26171.965</v>
      </c>
      <c r="T64" s="55">
        <f t="shared" si="69"/>
        <v>26171.965</v>
      </c>
      <c r="U64" s="96">
        <f t="shared" si="69"/>
        <v>26171.965</v>
      </c>
      <c r="V64" s="55">
        <f t="shared" si="69"/>
        <v>26171.965</v>
      </c>
      <c r="W64" s="55">
        <f t="shared" si="69"/>
        <v>26171.965</v>
      </c>
      <c r="X64" s="55">
        <f t="shared" si="69"/>
        <v>26171.965</v>
      </c>
      <c r="Y64" s="55">
        <f t="shared" si="69"/>
        <v>26171.965</v>
      </c>
      <c r="Z64" s="55">
        <f t="shared" si="69"/>
        <v>26171.965</v>
      </c>
      <c r="AA64" s="55">
        <f t="shared" si="69"/>
        <v>26171.965</v>
      </c>
      <c r="AB64" s="55">
        <f t="shared" si="69"/>
        <v>26171.965</v>
      </c>
      <c r="AC64" s="55">
        <f t="shared" si="69"/>
        <v>26171.965</v>
      </c>
      <c r="AD64" s="55">
        <f t="shared" si="69"/>
        <v>26171.965</v>
      </c>
      <c r="AE64" s="55">
        <f t="shared" si="69"/>
        <v>26171.965</v>
      </c>
      <c r="AF64" s="55">
        <f t="shared" si="69"/>
        <v>26171.965</v>
      </c>
      <c r="AG64" s="102">
        <f t="shared" si="69"/>
        <v>26171.965</v>
      </c>
      <c r="AH64" s="55">
        <f t="shared" si="69"/>
        <v>26171.965</v>
      </c>
      <c r="AI64" s="55">
        <f t="shared" si="69"/>
        <v>26171.965</v>
      </c>
      <c r="AJ64" s="55">
        <f t="shared" si="69"/>
        <v>26171.965</v>
      </c>
      <c r="AK64" s="55">
        <f t="shared" si="69"/>
        <v>26171.965</v>
      </c>
      <c r="AL64" s="55">
        <f t="shared" si="69"/>
        <v>26171.965</v>
      </c>
      <c r="AM64" s="55">
        <f t="shared" si="69"/>
        <v>26171.965</v>
      </c>
      <c r="AN64" s="55">
        <f t="shared" si="69"/>
        <v>26171.965</v>
      </c>
      <c r="AO64" s="55">
        <f t="shared" si="69"/>
        <v>26171.965</v>
      </c>
      <c r="AP64" s="55">
        <f t="shared" si="69"/>
        <v>26171.965</v>
      </c>
      <c r="AQ64" s="55">
        <f t="shared" si="69"/>
        <v>26171.965</v>
      </c>
      <c r="AR64" s="55">
        <f t="shared" si="69"/>
        <v>26171.965</v>
      </c>
      <c r="AS64" s="108">
        <f t="shared" si="69"/>
        <v>26171.965</v>
      </c>
      <c r="AT64" s="55">
        <f t="shared" si="69"/>
        <v>26171.965</v>
      </c>
      <c r="AU64" s="55">
        <f t="shared" si="69"/>
        <v>26171.965</v>
      </c>
      <c r="AV64" s="55">
        <f t="shared" si="69"/>
        <v>26171.965</v>
      </c>
      <c r="AW64" s="55">
        <f t="shared" si="69"/>
        <v>26171.965</v>
      </c>
      <c r="AX64" s="55">
        <f t="shared" si="69"/>
        <v>26171.965</v>
      </c>
      <c r="AY64" s="55">
        <f t="shared" si="69"/>
        <v>26171.965</v>
      </c>
      <c r="AZ64" s="55">
        <f t="shared" si="69"/>
        <v>26171.965</v>
      </c>
      <c r="BA64" s="55">
        <f t="shared" si="69"/>
        <v>26171.965</v>
      </c>
      <c r="BB64" s="55">
        <f t="shared" si="69"/>
        <v>26171.965</v>
      </c>
      <c r="BC64" s="55">
        <f t="shared" si="69"/>
        <v>26171.965</v>
      </c>
      <c r="BD64" s="55">
        <f t="shared" si="69"/>
        <v>26171.965</v>
      </c>
      <c r="BE64" s="55">
        <f t="shared" si="69"/>
        <v>26171.965</v>
      </c>
      <c r="BF64" s="55">
        <f t="shared" si="69"/>
        <v>26171.965</v>
      </c>
      <c r="BG64" s="55">
        <f t="shared" si="69"/>
        <v>26171.965</v>
      </c>
      <c r="BH64" s="55">
        <f t="shared" si="69"/>
        <v>26171.965</v>
      </c>
      <c r="BI64" s="55">
        <f t="shared" si="69"/>
        <v>26171.965</v>
      </c>
      <c r="BJ64" s="55">
        <f t="shared" si="69"/>
        <v>26171.965</v>
      </c>
      <c r="BK64" s="55">
        <f t="shared" si="69"/>
        <v>26171.965</v>
      </c>
      <c r="BL64" s="55">
        <f t="shared" si="69"/>
        <v>26171.965</v>
      </c>
      <c r="BM64" s="55">
        <f t="shared" si="69"/>
        <v>26171.965</v>
      </c>
      <c r="BN64" s="55">
        <f t="shared" si="69"/>
        <v>26171.965</v>
      </c>
      <c r="BO64" s="55">
        <f t="shared" si="69"/>
        <v>26171.965</v>
      </c>
      <c r="BP64" s="55">
        <f t="shared" si="69"/>
        <v>26171.965</v>
      </c>
      <c r="BQ64" s="55">
        <f t="shared" si="69"/>
        <v>0</v>
      </c>
      <c r="BR64" s="55">
        <f t="shared" si="69"/>
        <v>0</v>
      </c>
      <c r="BS64" s="55">
        <f t="shared" si="69"/>
        <v>0</v>
      </c>
      <c r="BT64" s="55">
        <f t="shared" si="69"/>
        <v>0</v>
      </c>
      <c r="BU64" s="55">
        <f t="shared" si="69"/>
        <v>0</v>
      </c>
      <c r="BV64" s="55">
        <f t="shared" ref="BV64:DY64" si="70">IF(BV$1&lt;$F64,$I64,0)</f>
        <v>0</v>
      </c>
      <c r="BW64" s="55">
        <f t="shared" si="70"/>
        <v>0</v>
      </c>
      <c r="BX64" s="55">
        <f t="shared" si="70"/>
        <v>0</v>
      </c>
      <c r="BY64" s="55">
        <f t="shared" si="70"/>
        <v>0</v>
      </c>
      <c r="BZ64" s="55">
        <f t="shared" si="70"/>
        <v>0</v>
      </c>
      <c r="CA64" s="55">
        <f t="shared" si="70"/>
        <v>0</v>
      </c>
      <c r="CB64" s="55">
        <f t="shared" si="70"/>
        <v>0</v>
      </c>
      <c r="CC64" s="55">
        <f t="shared" si="70"/>
        <v>0</v>
      </c>
      <c r="CD64" s="55">
        <f t="shared" si="70"/>
        <v>0</v>
      </c>
      <c r="CE64" s="55">
        <f t="shared" si="70"/>
        <v>0</v>
      </c>
      <c r="CF64" s="55">
        <f t="shared" si="70"/>
        <v>0</v>
      </c>
      <c r="CG64" s="55">
        <f t="shared" si="70"/>
        <v>0</v>
      </c>
      <c r="CH64" s="55">
        <f t="shared" si="70"/>
        <v>0</v>
      </c>
      <c r="CI64" s="55">
        <f t="shared" si="70"/>
        <v>0</v>
      </c>
      <c r="CJ64" s="55">
        <f t="shared" si="70"/>
        <v>0</v>
      </c>
      <c r="CK64" s="55">
        <f t="shared" si="70"/>
        <v>0</v>
      </c>
      <c r="CL64" s="55">
        <f t="shared" si="70"/>
        <v>0</v>
      </c>
      <c r="CM64" s="55">
        <f t="shared" si="70"/>
        <v>0</v>
      </c>
      <c r="CN64" s="55">
        <f t="shared" si="70"/>
        <v>0</v>
      </c>
      <c r="CO64" s="55">
        <f t="shared" si="70"/>
        <v>0</v>
      </c>
      <c r="CP64" s="55">
        <f t="shared" si="70"/>
        <v>0</v>
      </c>
      <c r="CQ64" s="55">
        <f t="shared" si="70"/>
        <v>0</v>
      </c>
      <c r="CR64" s="55">
        <f t="shared" si="70"/>
        <v>0</v>
      </c>
      <c r="CS64" s="55">
        <f t="shared" si="70"/>
        <v>0</v>
      </c>
      <c r="CT64" s="55">
        <f t="shared" si="70"/>
        <v>0</v>
      </c>
      <c r="CU64" s="55">
        <f t="shared" si="70"/>
        <v>0</v>
      </c>
      <c r="CV64" s="55">
        <f t="shared" si="70"/>
        <v>0</v>
      </c>
      <c r="CW64" s="55">
        <f t="shared" si="70"/>
        <v>0</v>
      </c>
      <c r="CX64" s="55">
        <f t="shared" si="70"/>
        <v>0</v>
      </c>
      <c r="CY64" s="55">
        <f t="shared" si="70"/>
        <v>0</v>
      </c>
      <c r="CZ64" s="55">
        <f t="shared" si="70"/>
        <v>0</v>
      </c>
      <c r="DA64" s="55">
        <f t="shared" si="70"/>
        <v>0</v>
      </c>
      <c r="DB64" s="55">
        <f t="shared" si="70"/>
        <v>0</v>
      </c>
      <c r="DC64" s="55">
        <f t="shared" si="70"/>
        <v>0</v>
      </c>
      <c r="DD64" s="55">
        <f t="shared" si="70"/>
        <v>0</v>
      </c>
      <c r="DE64" s="55">
        <f t="shared" si="70"/>
        <v>0</v>
      </c>
      <c r="DF64" s="55">
        <f t="shared" si="70"/>
        <v>0</v>
      </c>
      <c r="DG64" s="55">
        <f t="shared" si="70"/>
        <v>0</v>
      </c>
      <c r="DH64" s="55">
        <f t="shared" si="70"/>
        <v>0</v>
      </c>
      <c r="DI64" s="55">
        <f t="shared" si="70"/>
        <v>0</v>
      </c>
      <c r="DJ64" s="55">
        <f t="shared" si="70"/>
        <v>0</v>
      </c>
      <c r="DK64" s="55">
        <f t="shared" si="70"/>
        <v>0</v>
      </c>
      <c r="DL64" s="55">
        <f t="shared" si="70"/>
        <v>0</v>
      </c>
      <c r="DM64" s="55">
        <f t="shared" si="70"/>
        <v>0</v>
      </c>
      <c r="DN64" s="55">
        <f t="shared" si="70"/>
        <v>0</v>
      </c>
      <c r="DO64" s="55">
        <f t="shared" si="70"/>
        <v>0</v>
      </c>
      <c r="DP64" s="55">
        <f t="shared" si="70"/>
        <v>0</v>
      </c>
      <c r="DQ64" s="55">
        <f t="shared" si="70"/>
        <v>0</v>
      </c>
      <c r="DR64" s="55">
        <f t="shared" si="70"/>
        <v>0</v>
      </c>
      <c r="DS64" s="55">
        <f t="shared" si="70"/>
        <v>0</v>
      </c>
      <c r="DT64" s="55">
        <f t="shared" si="70"/>
        <v>0</v>
      </c>
      <c r="DU64" s="55">
        <f t="shared" si="70"/>
        <v>0</v>
      </c>
      <c r="DV64" s="55">
        <f t="shared" si="70"/>
        <v>0</v>
      </c>
      <c r="DW64" s="55">
        <f t="shared" si="70"/>
        <v>0</v>
      </c>
      <c r="DX64" s="55">
        <f t="shared" si="70"/>
        <v>0</v>
      </c>
      <c r="DY64" s="55">
        <f t="shared" si="70"/>
        <v>0</v>
      </c>
    </row>
    <row r="65" spans="1:129" x14ac:dyDescent="0.45">
      <c r="A65" s="3"/>
      <c r="B65" s="2"/>
      <c r="C65" s="121" t="s">
        <v>265</v>
      </c>
      <c r="D65" s="17"/>
      <c r="E65" s="2"/>
      <c r="F65" s="2"/>
      <c r="G65" s="2"/>
      <c r="H65" s="2"/>
      <c r="I65" s="13"/>
      <c r="J65" s="58"/>
      <c r="K65" s="58"/>
      <c r="L65" s="58"/>
      <c r="M65" s="58"/>
      <c r="N65" s="58"/>
      <c r="O65" s="58"/>
      <c r="P65" s="58"/>
      <c r="Q65" s="58"/>
      <c r="R65" s="58"/>
      <c r="S65" s="58"/>
      <c r="T65" s="58"/>
      <c r="U65" s="97">
        <f>'Plan Moyen Terme (PMT)'!C22-BAU_Liquidité_Dynamique!U64</f>
        <v>12327.035</v>
      </c>
      <c r="V65" s="127">
        <f>IF(AND($U$1&lt;V$1, V$1&lt;$F$64),$U$65,0)</f>
        <v>12327.035</v>
      </c>
      <c r="W65" s="127">
        <f>IF(AND($U$1&lt;W$1, W$1&lt;$F$64),$U$65,0)</f>
        <v>12327.035</v>
      </c>
      <c r="X65" s="127">
        <f>IF(AND($U$1&lt;X$1, X$1&lt;$F$64),$U$65,0)</f>
        <v>12327.035</v>
      </c>
      <c r="Y65" s="127">
        <f>IF(AND($U$1&lt;Y$1, Y$1&lt;$F$64),$U$65,0)</f>
        <v>12327.035</v>
      </c>
      <c r="Z65" s="127">
        <f>IF(AND($U$1&lt;Z$1, Z$1&lt;$F$64),$U$65,0)</f>
        <v>12327.035</v>
      </c>
      <c r="AA65" s="127">
        <f>IF(AND($U$1&lt;AA$1, AA$1&lt;$F$64),$U$65,0)</f>
        <v>12327.035</v>
      </c>
      <c r="AB65" s="127">
        <f>IF(AND($U$1&lt;AB$1, AB$1&lt;$F$64),$U$65,0)</f>
        <v>12327.035</v>
      </c>
      <c r="AC65" s="127">
        <f>IF(AND($U$1&lt;AC$1, AC$1&lt;$F$64),$U$65,0)</f>
        <v>12327.035</v>
      </c>
      <c r="AD65" s="127">
        <f>IF(AND($U$1&lt;AD$1, AD$1&lt;$F$64),$U$65,0)</f>
        <v>12327.035</v>
      </c>
      <c r="AE65" s="127">
        <f>IF(AND($U$1&lt;AE$1, AE$1&lt;$F$64),$U$65,0)</f>
        <v>12327.035</v>
      </c>
      <c r="AF65" s="127">
        <f>IF(AND($U$1&lt;AF$1, AF$1&lt;$F$64),$U$65,0)</f>
        <v>12327.035</v>
      </c>
      <c r="AG65" s="127">
        <f>IF(AND($U$1&lt;AG$1, AG$1&lt;$F$64),$U$65,0)</f>
        <v>12327.035</v>
      </c>
      <c r="AH65" s="127">
        <f>IF(AND($U$1&lt;AH$1, AH$1&lt;$F$64),$U$65,0)</f>
        <v>12327.035</v>
      </c>
      <c r="AI65" s="127">
        <f>IF(AND($U$1&lt;AI$1, AI$1&lt;$F$64),$U$65,0)</f>
        <v>12327.035</v>
      </c>
      <c r="AJ65" s="127">
        <f>IF(AND($U$1&lt;AJ$1, AJ$1&lt;$F$64),$U$65,0)</f>
        <v>12327.035</v>
      </c>
      <c r="AK65" s="127">
        <f>IF(AND($U$1&lt;AK$1, AK$1&lt;$F$64),$U$65,0)</f>
        <v>12327.035</v>
      </c>
      <c r="AL65" s="127">
        <f>IF(AND($U$1&lt;AL$1, AL$1&lt;$F$64),$U$65,0)</f>
        <v>12327.035</v>
      </c>
      <c r="AM65" s="127">
        <f>IF(AND($U$1&lt;AM$1, AM$1&lt;$F$64),$U$65,0)</f>
        <v>12327.035</v>
      </c>
      <c r="AN65" s="127">
        <f>IF(AND($U$1&lt;AN$1, AN$1&lt;$F$64),$U$65,0)</f>
        <v>12327.035</v>
      </c>
      <c r="AO65" s="127">
        <f>IF(AND($U$1&lt;AO$1, AO$1&lt;$F$64),$U$65,0)</f>
        <v>12327.035</v>
      </c>
      <c r="AP65" s="127">
        <f>IF(AND($U$1&lt;AP$1, AP$1&lt;$F$64),$U$65,0)</f>
        <v>12327.035</v>
      </c>
      <c r="AQ65" s="127">
        <f>IF(AND($U$1&lt;AQ$1, AQ$1&lt;$F$64),$U$65,0)</f>
        <v>12327.035</v>
      </c>
      <c r="AR65" s="127">
        <f>IF(AND($U$1&lt;AR$1, AR$1&lt;$F$64),$U$65,0)</f>
        <v>12327.035</v>
      </c>
      <c r="AS65" s="127">
        <f>IF(AND($U$1&lt;AS$1, AS$1&lt;$F$64),$U$65,0)</f>
        <v>12327.035</v>
      </c>
      <c r="AT65" s="127">
        <f>IF(AND($U$1&lt;AT$1, AT$1&lt;$F$64),$U$65,0)</f>
        <v>12327.035</v>
      </c>
      <c r="AU65" s="127">
        <f>IF(AND($U$1&lt;AU$1, AU$1&lt;$F$64),$U$65,0)</f>
        <v>12327.035</v>
      </c>
      <c r="AV65" s="127">
        <f>IF(AND($U$1&lt;AV$1, AV$1&lt;$F$64),$U$65,0)</f>
        <v>12327.035</v>
      </c>
      <c r="AW65" s="127">
        <f>IF(AND($U$1&lt;AW$1, AW$1&lt;$F$64),$U$65,0)</f>
        <v>12327.035</v>
      </c>
      <c r="AX65" s="127">
        <f>IF(AND($U$1&lt;AX$1, AX$1&lt;$F$64),$U$65,0)</f>
        <v>12327.035</v>
      </c>
      <c r="AY65" s="127">
        <f>IF(AND($U$1&lt;AY$1, AY$1&lt;$F$64),$U$65,0)</f>
        <v>12327.035</v>
      </c>
      <c r="AZ65" s="127">
        <f>IF(AND($U$1&lt;AZ$1, AZ$1&lt;$F$64),$U$65,0)</f>
        <v>12327.035</v>
      </c>
      <c r="BA65" s="127">
        <f>IF(AND($U$1&lt;BA$1, BA$1&lt;$F$64),$U$65,0)</f>
        <v>12327.035</v>
      </c>
      <c r="BB65" s="127">
        <f>IF(AND($U$1&lt;BB$1, BB$1&lt;$F$64),$U$65,0)</f>
        <v>12327.035</v>
      </c>
      <c r="BC65" s="127">
        <f>IF(AND($U$1&lt;BC$1, BC$1&lt;$F$64),$U$65,0)</f>
        <v>12327.035</v>
      </c>
      <c r="BD65" s="127">
        <f>IF(AND($U$1&lt;BD$1, BD$1&lt;$F$64),$U$65,0)</f>
        <v>12327.035</v>
      </c>
      <c r="BE65" s="127">
        <f>IF(AND($U$1&lt;BE$1, BE$1&lt;$F$64),$U$65,0)</f>
        <v>12327.035</v>
      </c>
      <c r="BF65" s="127">
        <f>IF(AND($U$1&lt;BF$1, BF$1&lt;$F$64),$U$65,0)</f>
        <v>12327.035</v>
      </c>
      <c r="BG65" s="127">
        <f>IF(AND($U$1&lt;BG$1, BG$1&lt;$F$64),$U$65,0)</f>
        <v>12327.035</v>
      </c>
      <c r="BH65" s="127">
        <f>IF(AND($U$1&lt;BH$1, BH$1&lt;$F$64),$U$65,0)</f>
        <v>12327.035</v>
      </c>
      <c r="BI65" s="127">
        <f>IF(AND($U$1&lt;BI$1, BI$1&lt;$F$64),$U$65,0)</f>
        <v>12327.035</v>
      </c>
      <c r="BJ65" s="127">
        <f>IF(AND($U$1&lt;BJ$1, BJ$1&lt;$F$64),$U$65,0)</f>
        <v>12327.035</v>
      </c>
      <c r="BK65" s="127">
        <f>IF(AND($U$1&lt;BK$1, BK$1&lt;$F$64),$U$65,0)</f>
        <v>12327.035</v>
      </c>
      <c r="BL65" s="127">
        <f>IF(AND($U$1&lt;BL$1, BL$1&lt;$F$64),$U$65,0)</f>
        <v>12327.035</v>
      </c>
      <c r="BM65" s="127">
        <f>IF(AND($U$1&lt;BM$1, BM$1&lt;$F$64),$U$65,0)</f>
        <v>12327.035</v>
      </c>
      <c r="BN65" s="127">
        <f>IF(AND($U$1&lt;BN$1, BN$1&lt;$F$64),$U$65,0)</f>
        <v>12327.035</v>
      </c>
      <c r="BO65" s="127">
        <f>IF(AND($U$1&lt;BO$1, BO$1&lt;$F$64),$U$65,0)</f>
        <v>12327.035</v>
      </c>
      <c r="BP65" s="127">
        <f>IF(AND($U$1&lt;BP$1, BP$1&lt;$F$64),$U$65,0)</f>
        <v>12327.035</v>
      </c>
      <c r="BQ65" s="127">
        <f>IF(AND($U$1&lt;BQ$1, BQ$1&lt;$F$64),$U$65,0)</f>
        <v>0</v>
      </c>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c r="DU65" s="58"/>
      <c r="DV65" s="58"/>
      <c r="DW65" s="58"/>
      <c r="DX65" s="58"/>
      <c r="DY65" s="58"/>
    </row>
    <row r="66" spans="1:129" x14ac:dyDescent="0.45">
      <c r="A66" s="3"/>
      <c r="B66" s="2"/>
      <c r="C66" s="122" t="s">
        <v>266</v>
      </c>
      <c r="D66" s="17"/>
      <c r="E66" s="2"/>
      <c r="F66" s="2"/>
      <c r="G66" s="2"/>
      <c r="H66" s="2"/>
      <c r="I66" s="13"/>
      <c r="J66" s="58"/>
      <c r="K66" s="58"/>
      <c r="L66" s="58"/>
      <c r="M66" s="58"/>
      <c r="N66" s="58"/>
      <c r="O66" s="58"/>
      <c r="P66" s="58"/>
      <c r="Q66" s="58"/>
      <c r="R66" s="58"/>
      <c r="S66" s="58"/>
      <c r="T66" s="58"/>
      <c r="U66" s="97"/>
      <c r="V66" s="58"/>
      <c r="W66" s="58"/>
      <c r="X66" s="58"/>
      <c r="Y66" s="58"/>
      <c r="Z66" s="58"/>
      <c r="AA66" s="58"/>
      <c r="AB66" s="58"/>
      <c r="AC66" s="58"/>
      <c r="AD66" s="58"/>
      <c r="AE66" s="58"/>
      <c r="AF66" s="58"/>
      <c r="AG66" s="129">
        <f>'Plan Moyen Terme (PMT)'!D22-BAU_Liquidité_Dynamique!AG64</f>
        <v>42098.035000000003</v>
      </c>
      <c r="AH66" s="123">
        <f>IF(AND($AG$1&lt;AH$1, AH$1&lt;$F$64),$AG$66,0)</f>
        <v>42098.035000000003</v>
      </c>
      <c r="AI66" s="123">
        <f>IF(AND($AG$1&lt;AI$1, AI$1&lt;$F$64),$AG$66,0)</f>
        <v>42098.035000000003</v>
      </c>
      <c r="AJ66" s="123">
        <f>IF(AND($AG$1&lt;AJ$1, AJ$1&lt;$F$64),$AG$66,0)</f>
        <v>42098.035000000003</v>
      </c>
      <c r="AK66" s="123">
        <f>IF(AND($AG$1&lt;AK$1, AK$1&lt;$F$64),$AG$66,0)</f>
        <v>42098.035000000003</v>
      </c>
      <c r="AL66" s="123">
        <f>IF(AND($AG$1&lt;AL$1, AL$1&lt;$F$64),$AG$66,0)</f>
        <v>42098.035000000003</v>
      </c>
      <c r="AM66" s="123">
        <f>IF(AND($AG$1&lt;AM$1, AM$1&lt;$F$64),$AG$66,0)</f>
        <v>42098.035000000003</v>
      </c>
      <c r="AN66" s="123">
        <f>IF(AND($AG$1&lt;AN$1, AN$1&lt;$F$64),$AG$66,0)</f>
        <v>42098.035000000003</v>
      </c>
      <c r="AO66" s="123">
        <f>IF(AND($AG$1&lt;AO$1, AO$1&lt;$F$64),$AG$66,0)</f>
        <v>42098.035000000003</v>
      </c>
      <c r="AP66" s="123">
        <f>IF(AND($AG$1&lt;AP$1, AP$1&lt;$F$64),$AG$66,0)</f>
        <v>42098.035000000003</v>
      </c>
      <c r="AQ66" s="123">
        <f>IF(AND($AG$1&lt;AQ$1, AQ$1&lt;$F$64),$AG$66,0)</f>
        <v>42098.035000000003</v>
      </c>
      <c r="AR66" s="123">
        <f>IF(AND($AG$1&lt;AR$1, AR$1&lt;$F$64),$AG$66,0)</f>
        <v>42098.035000000003</v>
      </c>
      <c r="AS66" s="123">
        <f>IF(AND($AG$1&lt;AS$1, AS$1&lt;$F$64),$AG$66,0)</f>
        <v>42098.035000000003</v>
      </c>
      <c r="AT66" s="123">
        <f>IF(AND($AG$1&lt;AT$1, AT$1&lt;$F$64),$AG$66,0)</f>
        <v>42098.035000000003</v>
      </c>
      <c r="AU66" s="123">
        <f>IF(AND($AG$1&lt;AU$1, AU$1&lt;$F$64),$AG$66,0)</f>
        <v>42098.035000000003</v>
      </c>
      <c r="AV66" s="123">
        <f>IF(AND($AG$1&lt;AV$1, AV$1&lt;$F$64),$AG$66,0)</f>
        <v>42098.035000000003</v>
      </c>
      <c r="AW66" s="123">
        <f>IF(AND($AG$1&lt;AW$1, AW$1&lt;$F$64),$AG$66,0)</f>
        <v>42098.035000000003</v>
      </c>
      <c r="AX66" s="123">
        <f>IF(AND($AG$1&lt;AX$1, AX$1&lt;$F$64),$AG$66,0)</f>
        <v>42098.035000000003</v>
      </c>
      <c r="AY66" s="123">
        <f>IF(AND($AG$1&lt;AY$1, AY$1&lt;$F$64),$AG$66,0)</f>
        <v>42098.035000000003</v>
      </c>
      <c r="AZ66" s="123">
        <f>IF(AND($AG$1&lt;AZ$1, AZ$1&lt;$F$64),$AG$66,0)</f>
        <v>42098.035000000003</v>
      </c>
      <c r="BA66" s="123">
        <f>IF(AND($AG$1&lt;BA$1, BA$1&lt;$F$64),$AG$66,0)</f>
        <v>42098.035000000003</v>
      </c>
      <c r="BB66" s="123">
        <f>IF(AND($AG$1&lt;BB$1, BB$1&lt;$F$64),$AG$66,0)</f>
        <v>42098.035000000003</v>
      </c>
      <c r="BC66" s="123">
        <f>IF(AND($AG$1&lt;BC$1, BC$1&lt;$F$64),$AG$66,0)</f>
        <v>42098.035000000003</v>
      </c>
      <c r="BD66" s="123">
        <f>IF(AND($AG$1&lt;BD$1, BD$1&lt;$F$64),$AG$66,0)</f>
        <v>42098.035000000003</v>
      </c>
      <c r="BE66" s="123">
        <f>IF(AND($AG$1&lt;BE$1, BE$1&lt;$F$64),$AG$66,0)</f>
        <v>42098.035000000003</v>
      </c>
      <c r="BF66" s="123">
        <f>IF(AND($AG$1&lt;BF$1, BF$1&lt;$F$64),$AG$66,0)</f>
        <v>42098.035000000003</v>
      </c>
      <c r="BG66" s="123">
        <f>IF(AND($AG$1&lt;BG$1, BG$1&lt;$F$64),$AG$66,0)</f>
        <v>42098.035000000003</v>
      </c>
      <c r="BH66" s="123">
        <f>IF(AND($AG$1&lt;BH$1, BH$1&lt;$F$64),$AG$66,0)</f>
        <v>42098.035000000003</v>
      </c>
      <c r="BI66" s="123">
        <f>IF(AND($AG$1&lt;BI$1, BI$1&lt;$F$64),$AG$66,0)</f>
        <v>42098.035000000003</v>
      </c>
      <c r="BJ66" s="123">
        <f>IF(AND($AG$1&lt;BJ$1, BJ$1&lt;$F$64),$AG$66,0)</f>
        <v>42098.035000000003</v>
      </c>
      <c r="BK66" s="123">
        <f>IF(AND($AG$1&lt;BK$1, BK$1&lt;$F$64),$AG$66,0)</f>
        <v>42098.035000000003</v>
      </c>
      <c r="BL66" s="123">
        <f>IF(AND($AG$1&lt;BL$1, BL$1&lt;$F$64),$AG$66,0)</f>
        <v>42098.035000000003</v>
      </c>
      <c r="BM66" s="123">
        <f>IF(AND($AG$1&lt;BM$1, BM$1&lt;$F$64),$AG$66,0)</f>
        <v>42098.035000000003</v>
      </c>
      <c r="BN66" s="123">
        <f>IF(AND($AG$1&lt;BN$1, BN$1&lt;$F$64),$AG$66,0)</f>
        <v>42098.035000000003</v>
      </c>
      <c r="BO66" s="123">
        <f>IF(AND($AG$1&lt;BO$1, BO$1&lt;$F$64),$AG$66,0)</f>
        <v>42098.035000000003</v>
      </c>
      <c r="BP66" s="123">
        <f>IF(AND($AG$1&lt;BP$1, BP$1&lt;$F$64),$AG$66,0)</f>
        <v>42098.035000000003</v>
      </c>
      <c r="BQ66" s="123">
        <f>IF(AND($AG$1&lt;BQ$1, BQ$1&lt;$F$64),$AG$66,0)</f>
        <v>0</v>
      </c>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c r="DU66" s="58"/>
      <c r="DV66" s="58"/>
      <c r="DW66" s="58"/>
      <c r="DX66" s="58"/>
      <c r="DY66" s="58"/>
    </row>
    <row r="67" spans="1:129" x14ac:dyDescent="0.45">
      <c r="A67" s="3"/>
      <c r="B67" s="2"/>
      <c r="C67" s="125" t="s">
        <v>267</v>
      </c>
      <c r="D67" s="17"/>
      <c r="E67" s="2"/>
      <c r="F67" s="2"/>
      <c r="G67" s="2"/>
      <c r="H67" s="2"/>
      <c r="I67" s="13"/>
      <c r="J67" s="58"/>
      <c r="K67" s="58"/>
      <c r="L67" s="58"/>
      <c r="M67" s="58"/>
      <c r="N67" s="58"/>
      <c r="O67" s="58"/>
      <c r="P67" s="58"/>
      <c r="Q67" s="58"/>
      <c r="R67" s="58"/>
      <c r="S67" s="58"/>
      <c r="T67" s="58"/>
      <c r="U67" s="97"/>
      <c r="V67" s="58"/>
      <c r="W67" s="58"/>
      <c r="X67" s="58"/>
      <c r="Y67" s="58"/>
      <c r="Z67" s="58"/>
      <c r="AA67" s="58"/>
      <c r="AB67" s="58"/>
      <c r="AC67" s="58"/>
      <c r="AD67" s="58"/>
      <c r="AE67" s="58"/>
      <c r="AF67" s="58"/>
      <c r="AG67" s="103"/>
      <c r="AH67" s="58"/>
      <c r="AI67" s="58"/>
      <c r="AJ67" s="58"/>
      <c r="AK67" s="58"/>
      <c r="AL67" s="58"/>
      <c r="AM67" s="58"/>
      <c r="AN67" s="58"/>
      <c r="AO67" s="58"/>
      <c r="AP67" s="58"/>
      <c r="AQ67" s="58"/>
      <c r="AR67" s="58"/>
      <c r="AS67" s="130">
        <f>'Plan Moyen Terme (PMT)'!E22-BAU_Liquidité_Dynamique!AS64</f>
        <v>70305.035000000003</v>
      </c>
      <c r="AT67" s="128">
        <f>IF(AND($AS$1&lt;AT$1, AT$1&lt;$F$64),$AS$67,0)</f>
        <v>70305.035000000003</v>
      </c>
      <c r="AU67" s="128">
        <f t="shared" ref="AU67:BQ67" si="71">IF(AND($AS$1&lt;AU$1, AU$1&lt;$F$64),$AS$67,0)</f>
        <v>70305.035000000003</v>
      </c>
      <c r="AV67" s="128">
        <f t="shared" si="71"/>
        <v>70305.035000000003</v>
      </c>
      <c r="AW67" s="128">
        <f t="shared" si="71"/>
        <v>70305.035000000003</v>
      </c>
      <c r="AX67" s="128">
        <f t="shared" si="71"/>
        <v>70305.035000000003</v>
      </c>
      <c r="AY67" s="128">
        <f t="shared" si="71"/>
        <v>70305.035000000003</v>
      </c>
      <c r="AZ67" s="128">
        <f t="shared" si="71"/>
        <v>70305.035000000003</v>
      </c>
      <c r="BA67" s="128">
        <f t="shared" si="71"/>
        <v>70305.035000000003</v>
      </c>
      <c r="BB67" s="128">
        <f t="shared" si="71"/>
        <v>70305.035000000003</v>
      </c>
      <c r="BC67" s="128">
        <f t="shared" si="71"/>
        <v>70305.035000000003</v>
      </c>
      <c r="BD67" s="128">
        <f t="shared" si="71"/>
        <v>70305.035000000003</v>
      </c>
      <c r="BE67" s="128">
        <f t="shared" si="71"/>
        <v>70305.035000000003</v>
      </c>
      <c r="BF67" s="128">
        <f t="shared" si="71"/>
        <v>70305.035000000003</v>
      </c>
      <c r="BG67" s="128">
        <f t="shared" si="71"/>
        <v>70305.035000000003</v>
      </c>
      <c r="BH67" s="128">
        <f t="shared" si="71"/>
        <v>70305.035000000003</v>
      </c>
      <c r="BI67" s="128">
        <f t="shared" si="71"/>
        <v>70305.035000000003</v>
      </c>
      <c r="BJ67" s="128">
        <f t="shared" si="71"/>
        <v>70305.035000000003</v>
      </c>
      <c r="BK67" s="128">
        <f t="shared" si="71"/>
        <v>70305.035000000003</v>
      </c>
      <c r="BL67" s="128">
        <f t="shared" si="71"/>
        <v>70305.035000000003</v>
      </c>
      <c r="BM67" s="128">
        <f t="shared" si="71"/>
        <v>70305.035000000003</v>
      </c>
      <c r="BN67" s="128">
        <f t="shared" si="71"/>
        <v>70305.035000000003</v>
      </c>
      <c r="BO67" s="128">
        <f t="shared" si="71"/>
        <v>70305.035000000003</v>
      </c>
      <c r="BP67" s="128">
        <f t="shared" si="71"/>
        <v>70305.035000000003</v>
      </c>
      <c r="BQ67" s="128">
        <f t="shared" si="71"/>
        <v>0</v>
      </c>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c r="DU67" s="58"/>
      <c r="DV67" s="58"/>
      <c r="DW67" s="58"/>
      <c r="DX67" s="58"/>
      <c r="DY67" s="58"/>
    </row>
    <row r="68" spans="1:129" x14ac:dyDescent="0.45">
      <c r="A68" s="3">
        <v>46022</v>
      </c>
      <c r="B68" s="2" t="s">
        <v>19</v>
      </c>
      <c r="C68" s="4" t="s">
        <v>53</v>
      </c>
      <c r="D68" s="17">
        <v>0</v>
      </c>
      <c r="E68" s="2" t="s">
        <v>43</v>
      </c>
      <c r="F68" s="2">
        <v>120</v>
      </c>
      <c r="G68" s="2" t="s">
        <v>43</v>
      </c>
      <c r="H68" s="2">
        <v>120</v>
      </c>
      <c r="I68" s="13">
        <v>2297.337</v>
      </c>
      <c r="J68" s="58">
        <f t="shared" ref="J68:Y72" si="72">IF(J$1&lt;$F68,$I68*(($F68-J$1)/$F68),0)</f>
        <v>2278.1925249999999</v>
      </c>
      <c r="K68" s="58">
        <f t="shared" si="72"/>
        <v>2259.0480499999999</v>
      </c>
      <c r="L68" s="58">
        <f t="shared" si="72"/>
        <v>2239.9035749999998</v>
      </c>
      <c r="M68" s="58">
        <f t="shared" si="72"/>
        <v>2220.7591000000002</v>
      </c>
      <c r="N68" s="58">
        <f t="shared" si="72"/>
        <v>2201.6146250000002</v>
      </c>
      <c r="O68" s="58">
        <f t="shared" si="72"/>
        <v>2182.4701500000001</v>
      </c>
      <c r="P68" s="58">
        <f t="shared" si="72"/>
        <v>2163.325675</v>
      </c>
      <c r="Q68" s="58">
        <f t="shared" si="72"/>
        <v>2144.1812</v>
      </c>
      <c r="R68" s="58">
        <f t="shared" si="72"/>
        <v>2125.0367249999999</v>
      </c>
      <c r="S68" s="58">
        <f t="shared" si="72"/>
        <v>2105.8922499999999</v>
      </c>
      <c r="T68" s="58">
        <f t="shared" si="72"/>
        <v>2086.7477749999998</v>
      </c>
      <c r="U68" s="97">
        <f t="shared" si="72"/>
        <v>2067.6033000000002</v>
      </c>
      <c r="V68" s="58">
        <f t="shared" si="72"/>
        <v>2048.4588250000002</v>
      </c>
      <c r="W68" s="58">
        <f t="shared" si="72"/>
        <v>2029.3143499999999</v>
      </c>
      <c r="X68" s="58">
        <f t="shared" si="72"/>
        <v>2010.169875</v>
      </c>
      <c r="Y68" s="58">
        <f t="shared" si="72"/>
        <v>1991.0254</v>
      </c>
      <c r="Z68" s="58">
        <f t="shared" ref="Z68:CK72" si="73">IF(Z$1&lt;$F68,$I68*(($F68-Z$1)/$F68),0)</f>
        <v>1971.8809249999999</v>
      </c>
      <c r="AA68" s="58">
        <f t="shared" si="73"/>
        <v>1952.7364499999999</v>
      </c>
      <c r="AB68" s="58">
        <f t="shared" si="73"/>
        <v>1933.591975</v>
      </c>
      <c r="AC68" s="58">
        <f t="shared" si="73"/>
        <v>1914.4475</v>
      </c>
      <c r="AD68" s="58">
        <f t="shared" si="73"/>
        <v>1895.3030249999999</v>
      </c>
      <c r="AE68" s="58">
        <f t="shared" si="73"/>
        <v>1876.1585499999999</v>
      </c>
      <c r="AF68" s="58">
        <f t="shared" si="73"/>
        <v>1857.014075</v>
      </c>
      <c r="AG68" s="103">
        <f t="shared" si="73"/>
        <v>1837.8696</v>
      </c>
      <c r="AH68" s="58">
        <f t="shared" si="73"/>
        <v>1818.7251249999999</v>
      </c>
      <c r="AI68" s="58">
        <f t="shared" si="73"/>
        <v>1799.5806499999999</v>
      </c>
      <c r="AJ68" s="58">
        <f t="shared" si="73"/>
        <v>1780.436175</v>
      </c>
      <c r="AK68" s="58">
        <f t="shared" si="73"/>
        <v>1761.2917000000002</v>
      </c>
      <c r="AL68" s="58">
        <f t="shared" si="73"/>
        <v>1742.1472249999999</v>
      </c>
      <c r="AM68" s="58">
        <f t="shared" si="73"/>
        <v>1723.0027500000001</v>
      </c>
      <c r="AN68" s="58">
        <f t="shared" si="73"/>
        <v>1703.858275</v>
      </c>
      <c r="AO68" s="58">
        <f t="shared" si="73"/>
        <v>1684.7137999999998</v>
      </c>
      <c r="AP68" s="58">
        <f t="shared" si="73"/>
        <v>1665.5693249999999</v>
      </c>
      <c r="AQ68" s="58">
        <f t="shared" si="73"/>
        <v>1646.4248500000001</v>
      </c>
      <c r="AR68" s="58">
        <f t="shared" si="73"/>
        <v>1627.280375</v>
      </c>
      <c r="AS68" s="109">
        <f t="shared" si="73"/>
        <v>1608.1359</v>
      </c>
      <c r="AT68" s="58">
        <f t="shared" si="73"/>
        <v>1588.9914249999999</v>
      </c>
      <c r="AU68" s="58">
        <f t="shared" si="73"/>
        <v>1569.8469500000001</v>
      </c>
      <c r="AV68" s="58">
        <f t="shared" si="73"/>
        <v>1550.702475</v>
      </c>
      <c r="AW68" s="58">
        <f t="shared" si="73"/>
        <v>1531.558</v>
      </c>
      <c r="AX68" s="58">
        <f t="shared" si="73"/>
        <v>1512.4135249999999</v>
      </c>
      <c r="AY68" s="58">
        <f t="shared" si="73"/>
        <v>1493.2690500000001</v>
      </c>
      <c r="AZ68" s="58">
        <f t="shared" si="73"/>
        <v>1474.124575</v>
      </c>
      <c r="BA68" s="58">
        <f t="shared" si="73"/>
        <v>1454.9801</v>
      </c>
      <c r="BB68" s="58">
        <f t="shared" si="73"/>
        <v>1435.8356249999999</v>
      </c>
      <c r="BC68" s="58">
        <f t="shared" si="73"/>
        <v>1416.6911500000001</v>
      </c>
      <c r="BD68" s="58">
        <f t="shared" si="73"/>
        <v>1397.5466749999998</v>
      </c>
      <c r="BE68" s="58">
        <f t="shared" si="73"/>
        <v>1378.4022</v>
      </c>
      <c r="BF68" s="58">
        <f t="shared" si="73"/>
        <v>1359.2577249999999</v>
      </c>
      <c r="BG68" s="58">
        <f t="shared" si="73"/>
        <v>1340.1132500000001</v>
      </c>
      <c r="BH68" s="58">
        <f t="shared" si="73"/>
        <v>1320.9687749999998</v>
      </c>
      <c r="BI68" s="58">
        <f t="shared" si="73"/>
        <v>1301.8243</v>
      </c>
      <c r="BJ68" s="58">
        <f t="shared" si="73"/>
        <v>1282.6798249999999</v>
      </c>
      <c r="BK68" s="58">
        <f t="shared" si="73"/>
        <v>1263.5353500000001</v>
      </c>
      <c r="BL68" s="58">
        <f t="shared" si="73"/>
        <v>1244.3908749999998</v>
      </c>
      <c r="BM68" s="58">
        <f t="shared" si="73"/>
        <v>1225.2464</v>
      </c>
      <c r="BN68" s="58">
        <f t="shared" si="73"/>
        <v>1206.1019249999999</v>
      </c>
      <c r="BO68" s="58">
        <f t="shared" si="73"/>
        <v>1186.9574500000001</v>
      </c>
      <c r="BP68" s="58">
        <f t="shared" si="73"/>
        <v>1167.8129749999998</v>
      </c>
      <c r="BQ68" s="58">
        <f t="shared" si="73"/>
        <v>1148.6685</v>
      </c>
      <c r="BR68" s="58">
        <f t="shared" si="73"/>
        <v>1129.5240249999999</v>
      </c>
      <c r="BS68" s="58">
        <f t="shared" si="73"/>
        <v>1110.3795500000001</v>
      </c>
      <c r="BT68" s="58">
        <f t="shared" si="73"/>
        <v>1091.2350750000001</v>
      </c>
      <c r="BU68" s="58">
        <f t="shared" si="73"/>
        <v>1072.0906</v>
      </c>
      <c r="BV68" s="58">
        <f t="shared" si="73"/>
        <v>1052.9461249999999</v>
      </c>
      <c r="BW68" s="58">
        <f t="shared" si="73"/>
        <v>1033.8016500000001</v>
      </c>
      <c r="BX68" s="58">
        <f t="shared" si="73"/>
        <v>1014.6571749999999</v>
      </c>
      <c r="BY68" s="58">
        <f t="shared" si="73"/>
        <v>995.5127</v>
      </c>
      <c r="BZ68" s="58">
        <f t="shared" si="73"/>
        <v>976.36822499999994</v>
      </c>
      <c r="CA68" s="58">
        <f t="shared" si="73"/>
        <v>957.22375</v>
      </c>
      <c r="CB68" s="58">
        <f t="shared" si="73"/>
        <v>938.07927499999994</v>
      </c>
      <c r="CC68" s="58">
        <f t="shared" si="73"/>
        <v>918.9348</v>
      </c>
      <c r="CD68" s="58">
        <f t="shared" si="73"/>
        <v>899.79032499999994</v>
      </c>
      <c r="CE68" s="58">
        <f t="shared" si="73"/>
        <v>880.64585000000011</v>
      </c>
      <c r="CF68" s="58">
        <f t="shared" si="73"/>
        <v>861.50137500000005</v>
      </c>
      <c r="CG68" s="58">
        <f t="shared" si="73"/>
        <v>842.35689999999988</v>
      </c>
      <c r="CH68" s="58">
        <f t="shared" si="73"/>
        <v>823.21242500000005</v>
      </c>
      <c r="CI68" s="58">
        <f t="shared" si="73"/>
        <v>804.06795</v>
      </c>
      <c r="CJ68" s="58">
        <f t="shared" si="73"/>
        <v>784.92347500000005</v>
      </c>
      <c r="CK68" s="58">
        <f t="shared" si="73"/>
        <v>765.779</v>
      </c>
      <c r="CL68" s="58">
        <f t="shared" ref="CL68:DY72" si="74">IF(CL$1&lt;$F68,$I68*(($F68-CL$1)/$F68),0)</f>
        <v>746.63452500000005</v>
      </c>
      <c r="CM68" s="58">
        <f t="shared" si="74"/>
        <v>727.49005</v>
      </c>
      <c r="CN68" s="58">
        <f t="shared" si="74"/>
        <v>708.34557500000005</v>
      </c>
      <c r="CO68" s="58">
        <f t="shared" si="74"/>
        <v>689.2011</v>
      </c>
      <c r="CP68" s="58">
        <f t="shared" si="74"/>
        <v>670.05662500000005</v>
      </c>
      <c r="CQ68" s="58">
        <f t="shared" si="74"/>
        <v>650.91215</v>
      </c>
      <c r="CR68" s="58">
        <f t="shared" si="74"/>
        <v>631.76767500000005</v>
      </c>
      <c r="CS68" s="58">
        <f t="shared" si="74"/>
        <v>612.6232</v>
      </c>
      <c r="CT68" s="58">
        <f t="shared" si="74"/>
        <v>593.47872500000005</v>
      </c>
      <c r="CU68" s="58">
        <f t="shared" si="74"/>
        <v>574.33425</v>
      </c>
      <c r="CV68" s="58">
        <f t="shared" si="74"/>
        <v>555.18977500000005</v>
      </c>
      <c r="CW68" s="58">
        <f t="shared" si="74"/>
        <v>536.0453</v>
      </c>
      <c r="CX68" s="58">
        <f t="shared" si="74"/>
        <v>516.90082500000005</v>
      </c>
      <c r="CY68" s="58">
        <f t="shared" si="74"/>
        <v>497.75635</v>
      </c>
      <c r="CZ68" s="58">
        <f t="shared" si="74"/>
        <v>478.611875</v>
      </c>
      <c r="DA68" s="58">
        <f t="shared" si="74"/>
        <v>459.4674</v>
      </c>
      <c r="DB68" s="58">
        <f t="shared" si="74"/>
        <v>440.32292500000005</v>
      </c>
      <c r="DC68" s="58">
        <f t="shared" si="74"/>
        <v>421.17844999999994</v>
      </c>
      <c r="DD68" s="58">
        <f t="shared" si="74"/>
        <v>402.033975</v>
      </c>
      <c r="DE68" s="58">
        <f t="shared" si="74"/>
        <v>382.8895</v>
      </c>
      <c r="DF68" s="58">
        <f t="shared" si="74"/>
        <v>363.745025</v>
      </c>
      <c r="DG68" s="58">
        <f t="shared" si="74"/>
        <v>344.60055</v>
      </c>
      <c r="DH68" s="58">
        <f t="shared" si="74"/>
        <v>325.456075</v>
      </c>
      <c r="DI68" s="58">
        <f t="shared" si="74"/>
        <v>306.3116</v>
      </c>
      <c r="DJ68" s="58">
        <f t="shared" si="74"/>
        <v>287.167125</v>
      </c>
      <c r="DK68" s="58">
        <f t="shared" si="74"/>
        <v>268.02265</v>
      </c>
      <c r="DL68" s="58">
        <f t="shared" si="74"/>
        <v>248.878175</v>
      </c>
      <c r="DM68" s="58">
        <f t="shared" si="74"/>
        <v>229.7337</v>
      </c>
      <c r="DN68" s="58">
        <f t="shared" si="74"/>
        <v>210.58922499999997</v>
      </c>
      <c r="DO68" s="58">
        <f t="shared" si="74"/>
        <v>191.44475</v>
      </c>
      <c r="DP68" s="58">
        <f t="shared" si="74"/>
        <v>172.300275</v>
      </c>
      <c r="DQ68" s="58">
        <f t="shared" si="74"/>
        <v>153.1558</v>
      </c>
      <c r="DR68" s="58">
        <f t="shared" si="74"/>
        <v>134.011325</v>
      </c>
      <c r="DS68" s="58">
        <f t="shared" si="74"/>
        <v>114.86685</v>
      </c>
      <c r="DT68" s="58">
        <f t="shared" si="74"/>
        <v>95.722375</v>
      </c>
      <c r="DU68" s="58">
        <f t="shared" si="74"/>
        <v>76.5779</v>
      </c>
      <c r="DV68" s="58">
        <f t="shared" si="74"/>
        <v>57.433425</v>
      </c>
      <c r="DW68" s="58">
        <f t="shared" si="74"/>
        <v>38.28895</v>
      </c>
      <c r="DX68" s="58">
        <f t="shared" si="74"/>
        <v>19.144475</v>
      </c>
      <c r="DY68" s="58">
        <f t="shared" si="74"/>
        <v>0</v>
      </c>
    </row>
    <row r="69" spans="1:129" x14ac:dyDescent="0.45">
      <c r="A69" s="3"/>
      <c r="B69" s="2"/>
      <c r="C69" s="121" t="s">
        <v>265</v>
      </c>
      <c r="D69" s="17"/>
      <c r="E69" s="2"/>
      <c r="F69" s="2"/>
      <c r="G69" s="2"/>
      <c r="H69" s="2"/>
      <c r="I69" s="13"/>
      <c r="J69" s="58"/>
      <c r="K69" s="58"/>
      <c r="L69" s="58"/>
      <c r="M69" s="58"/>
      <c r="N69" s="58"/>
      <c r="O69" s="58"/>
      <c r="P69" s="58"/>
      <c r="Q69" s="58"/>
      <c r="R69" s="58"/>
      <c r="S69" s="58"/>
      <c r="T69" s="58"/>
      <c r="U69" s="119">
        <f>'Plan Moyen Terme (PMT)'!C23-BAU_Liquidité_Dynamique!U68</f>
        <v>255.39669999999978</v>
      </c>
      <c r="V69" s="120">
        <f>IF(AND(U$1&lt;V$1, V$1&lt;=$F68),$U69*($F68-V$1)/($F68-$U$1),0)</f>
        <v>253.03191574074052</v>
      </c>
      <c r="W69" s="120">
        <f>IF(AND(V$1&lt;W$1, W$1&lt;=$F68),$U69*($F68-W$1)/($F68-$U$1),0)</f>
        <v>250.66713148148125</v>
      </c>
      <c r="X69" s="120">
        <f t="shared" ref="X69:CI69" si="75">IF(AND(W$1&lt;X$1, X$1&lt;=$F68),$U69*($F68-X$1)/($F68-$U$1),0)</f>
        <v>248.30234722222201</v>
      </c>
      <c r="Y69" s="120">
        <f t="shared" si="75"/>
        <v>245.93756296296274</v>
      </c>
      <c r="Z69" s="120">
        <f t="shared" si="75"/>
        <v>243.57277870370348</v>
      </c>
      <c r="AA69" s="120">
        <f t="shared" si="75"/>
        <v>241.20799444444424</v>
      </c>
      <c r="AB69" s="120">
        <f t="shared" si="75"/>
        <v>238.84321018518497</v>
      </c>
      <c r="AC69" s="120">
        <f t="shared" si="75"/>
        <v>236.47842592592571</v>
      </c>
      <c r="AD69" s="120">
        <f t="shared" si="75"/>
        <v>234.11364166666647</v>
      </c>
      <c r="AE69" s="120">
        <f t="shared" si="75"/>
        <v>231.7488574074072</v>
      </c>
      <c r="AF69" s="120">
        <f t="shared" si="75"/>
        <v>229.38407314814796</v>
      </c>
      <c r="AG69" s="120">
        <f t="shared" si="75"/>
        <v>227.0192888888887</v>
      </c>
      <c r="AH69" s="120">
        <f t="shared" si="75"/>
        <v>224.65450462962943</v>
      </c>
      <c r="AI69" s="120">
        <f t="shared" si="75"/>
        <v>222.28972037037019</v>
      </c>
      <c r="AJ69" s="120">
        <f t="shared" si="75"/>
        <v>219.92493611111092</v>
      </c>
      <c r="AK69" s="120">
        <f t="shared" si="75"/>
        <v>217.56015185185169</v>
      </c>
      <c r="AL69" s="120">
        <f t="shared" si="75"/>
        <v>215.19536759259242</v>
      </c>
      <c r="AM69" s="120">
        <f t="shared" si="75"/>
        <v>212.83058333333315</v>
      </c>
      <c r="AN69" s="120">
        <f t="shared" si="75"/>
        <v>210.46579907407391</v>
      </c>
      <c r="AO69" s="120">
        <f t="shared" si="75"/>
        <v>208.10101481481465</v>
      </c>
      <c r="AP69" s="120">
        <f t="shared" si="75"/>
        <v>205.73623055555538</v>
      </c>
      <c r="AQ69" s="120">
        <f t="shared" si="75"/>
        <v>203.37144629629614</v>
      </c>
      <c r="AR69" s="120">
        <f t="shared" si="75"/>
        <v>201.00666203703688</v>
      </c>
      <c r="AS69" s="120">
        <f t="shared" si="75"/>
        <v>198.64187777777758</v>
      </c>
      <c r="AT69" s="120">
        <f t="shared" si="75"/>
        <v>196.27709351851834</v>
      </c>
      <c r="AU69" s="120">
        <f t="shared" si="75"/>
        <v>193.91230925925908</v>
      </c>
      <c r="AV69" s="120">
        <f t="shared" si="75"/>
        <v>191.54752499999984</v>
      </c>
      <c r="AW69" s="120">
        <f t="shared" si="75"/>
        <v>189.18274074074057</v>
      </c>
      <c r="AX69" s="120">
        <f t="shared" si="75"/>
        <v>186.8179564814813</v>
      </c>
      <c r="AY69" s="120">
        <f t="shared" si="75"/>
        <v>184.45317222222207</v>
      </c>
      <c r="AZ69" s="120">
        <f t="shared" si="75"/>
        <v>182.0883879629628</v>
      </c>
      <c r="BA69" s="120">
        <f t="shared" si="75"/>
        <v>179.72360370370356</v>
      </c>
      <c r="BB69" s="120">
        <f t="shared" si="75"/>
        <v>177.35881944444429</v>
      </c>
      <c r="BC69" s="120">
        <f t="shared" si="75"/>
        <v>174.99403518518503</v>
      </c>
      <c r="BD69" s="120">
        <f t="shared" si="75"/>
        <v>172.62925092592579</v>
      </c>
      <c r="BE69" s="120">
        <f t="shared" si="75"/>
        <v>170.26446666666652</v>
      </c>
      <c r="BF69" s="120">
        <f t="shared" si="75"/>
        <v>167.89968240740725</v>
      </c>
      <c r="BG69" s="120">
        <f t="shared" si="75"/>
        <v>165.53489814814802</v>
      </c>
      <c r="BH69" s="120">
        <f t="shared" si="75"/>
        <v>163.17011388888875</v>
      </c>
      <c r="BI69" s="120">
        <f t="shared" si="75"/>
        <v>160.80532962962948</v>
      </c>
      <c r="BJ69" s="120">
        <f t="shared" si="75"/>
        <v>158.44054537037024</v>
      </c>
      <c r="BK69" s="120">
        <f t="shared" si="75"/>
        <v>156.07576111111098</v>
      </c>
      <c r="BL69" s="120">
        <f t="shared" si="75"/>
        <v>153.71097685185174</v>
      </c>
      <c r="BM69" s="120">
        <f t="shared" si="75"/>
        <v>151.34619259259247</v>
      </c>
      <c r="BN69" s="120">
        <f t="shared" si="75"/>
        <v>148.98140833333321</v>
      </c>
      <c r="BO69" s="120">
        <f t="shared" si="75"/>
        <v>146.61662407407397</v>
      </c>
      <c r="BP69" s="120">
        <f t="shared" si="75"/>
        <v>144.2518398148147</v>
      </c>
      <c r="BQ69" s="120">
        <f t="shared" si="75"/>
        <v>141.88705555555543</v>
      </c>
      <c r="BR69" s="120">
        <f t="shared" si="75"/>
        <v>139.52227129629617</v>
      </c>
      <c r="BS69" s="120">
        <f t="shared" si="75"/>
        <v>137.1574870370369</v>
      </c>
      <c r="BT69" s="120">
        <f t="shared" si="75"/>
        <v>134.79270277777766</v>
      </c>
      <c r="BU69" s="120">
        <f t="shared" si="75"/>
        <v>132.4279185185184</v>
      </c>
      <c r="BV69" s="120">
        <f t="shared" si="75"/>
        <v>130.06313425925916</v>
      </c>
      <c r="BW69" s="120">
        <f t="shared" si="75"/>
        <v>127.69834999999991</v>
      </c>
      <c r="BX69" s="120">
        <f t="shared" si="75"/>
        <v>125.33356574074062</v>
      </c>
      <c r="BY69" s="120">
        <f t="shared" si="75"/>
        <v>122.96878148148137</v>
      </c>
      <c r="BZ69" s="120">
        <f t="shared" si="75"/>
        <v>120.60399722222212</v>
      </c>
      <c r="CA69" s="120">
        <f t="shared" si="75"/>
        <v>118.23921296296285</v>
      </c>
      <c r="CB69" s="120">
        <f t="shared" si="75"/>
        <v>115.8744287037036</v>
      </c>
      <c r="CC69" s="120">
        <f t="shared" si="75"/>
        <v>113.50964444444435</v>
      </c>
      <c r="CD69" s="120">
        <f t="shared" si="75"/>
        <v>111.1448601851851</v>
      </c>
      <c r="CE69" s="120">
        <f t="shared" si="75"/>
        <v>108.78007592592584</v>
      </c>
      <c r="CF69" s="120">
        <f t="shared" si="75"/>
        <v>106.41529166666658</v>
      </c>
      <c r="CG69" s="120">
        <f t="shared" si="75"/>
        <v>104.05050740740732</v>
      </c>
      <c r="CH69" s="120">
        <f t="shared" si="75"/>
        <v>101.68572314814807</v>
      </c>
      <c r="CI69" s="120">
        <f t="shared" si="75"/>
        <v>99.32093888888879</v>
      </c>
      <c r="CJ69" s="120">
        <f t="shared" ref="CJ69:DY69" si="76">IF(AND(CI$1&lt;CJ$1, CJ$1&lt;=$F68),$U69*($F68-CJ$1)/($F68-$U$1),0)</f>
        <v>96.956154629629538</v>
      </c>
      <c r="CK69" s="120">
        <f t="shared" si="76"/>
        <v>94.591370370370285</v>
      </c>
      <c r="CL69" s="120">
        <f t="shared" si="76"/>
        <v>92.226586111111033</v>
      </c>
      <c r="CM69" s="120">
        <f t="shared" si="76"/>
        <v>89.86180185185178</v>
      </c>
      <c r="CN69" s="120">
        <f t="shared" si="76"/>
        <v>87.497017592592513</v>
      </c>
      <c r="CO69" s="120">
        <f t="shared" si="76"/>
        <v>85.132233333333261</v>
      </c>
      <c r="CP69" s="120">
        <f t="shared" si="76"/>
        <v>82.767449074074008</v>
      </c>
      <c r="CQ69" s="120">
        <f t="shared" si="76"/>
        <v>80.402664814814742</v>
      </c>
      <c r="CR69" s="120">
        <f t="shared" si="76"/>
        <v>78.037880555555489</v>
      </c>
      <c r="CS69" s="120">
        <f t="shared" si="76"/>
        <v>75.673096296296237</v>
      </c>
      <c r="CT69" s="120">
        <f t="shared" si="76"/>
        <v>73.308312037036984</v>
      </c>
      <c r="CU69" s="120">
        <f t="shared" si="76"/>
        <v>70.943527777777717</v>
      </c>
      <c r="CV69" s="120">
        <f t="shared" si="76"/>
        <v>68.578743518518451</v>
      </c>
      <c r="CW69" s="120">
        <f t="shared" si="76"/>
        <v>66.213959259259198</v>
      </c>
      <c r="CX69" s="120">
        <f t="shared" si="76"/>
        <v>63.849174999999953</v>
      </c>
      <c r="CY69" s="120">
        <f t="shared" si="76"/>
        <v>61.484390740740686</v>
      </c>
      <c r="CZ69" s="120">
        <f t="shared" si="76"/>
        <v>59.119606481481426</v>
      </c>
      <c r="DA69" s="120">
        <f t="shared" si="76"/>
        <v>56.754822222222174</v>
      </c>
      <c r="DB69" s="120">
        <f t="shared" si="76"/>
        <v>54.390037962962921</v>
      </c>
      <c r="DC69" s="120">
        <f t="shared" si="76"/>
        <v>52.025253703703662</v>
      </c>
      <c r="DD69" s="120">
        <f t="shared" si="76"/>
        <v>49.660469444444395</v>
      </c>
      <c r="DE69" s="120">
        <f t="shared" si="76"/>
        <v>47.295685185185143</v>
      </c>
      <c r="DF69" s="120">
        <f t="shared" si="76"/>
        <v>44.93090092592589</v>
      </c>
      <c r="DG69" s="120">
        <f t="shared" si="76"/>
        <v>42.56611666666663</v>
      </c>
      <c r="DH69" s="120">
        <f t="shared" si="76"/>
        <v>40.201332407407371</v>
      </c>
      <c r="DI69" s="120">
        <f t="shared" si="76"/>
        <v>37.836548148148118</v>
      </c>
      <c r="DJ69" s="120">
        <f t="shared" si="76"/>
        <v>35.471763888888859</v>
      </c>
      <c r="DK69" s="120">
        <f t="shared" si="76"/>
        <v>33.106979629629599</v>
      </c>
      <c r="DL69" s="120">
        <f t="shared" si="76"/>
        <v>30.742195370370343</v>
      </c>
      <c r="DM69" s="120">
        <f t="shared" si="76"/>
        <v>28.377411111111087</v>
      </c>
      <c r="DN69" s="120">
        <f t="shared" si="76"/>
        <v>26.012626851851831</v>
      </c>
      <c r="DO69" s="120">
        <f t="shared" si="76"/>
        <v>23.647842592592571</v>
      </c>
      <c r="DP69" s="120">
        <f t="shared" si="76"/>
        <v>21.283058333333315</v>
      </c>
      <c r="DQ69" s="120">
        <f t="shared" si="76"/>
        <v>18.918274074074059</v>
      </c>
      <c r="DR69" s="120">
        <f t="shared" si="76"/>
        <v>16.5534898148148</v>
      </c>
      <c r="DS69" s="120">
        <f t="shared" si="76"/>
        <v>14.188705555555543</v>
      </c>
      <c r="DT69" s="120">
        <f t="shared" si="76"/>
        <v>11.823921296296286</v>
      </c>
      <c r="DU69" s="120">
        <f t="shared" si="76"/>
        <v>9.4591370370370296</v>
      </c>
      <c r="DV69" s="120">
        <f t="shared" si="76"/>
        <v>7.0943527777777717</v>
      </c>
      <c r="DW69" s="120">
        <f t="shared" si="76"/>
        <v>4.7295685185185148</v>
      </c>
      <c r="DX69" s="120">
        <f t="shared" si="76"/>
        <v>2.3647842592592574</v>
      </c>
      <c r="DY69" s="120">
        <f t="shared" si="76"/>
        <v>0</v>
      </c>
    </row>
    <row r="70" spans="1:129" x14ac:dyDescent="0.45">
      <c r="A70" s="3"/>
      <c r="B70" s="2"/>
      <c r="C70" s="122" t="s">
        <v>266</v>
      </c>
      <c r="D70" s="17"/>
      <c r="E70" s="2"/>
      <c r="F70" s="2"/>
      <c r="G70" s="2"/>
      <c r="H70" s="2"/>
      <c r="I70" s="13"/>
      <c r="J70" s="58"/>
      <c r="K70" s="58"/>
      <c r="L70" s="58"/>
      <c r="M70" s="58"/>
      <c r="N70" s="58"/>
      <c r="O70" s="58"/>
      <c r="P70" s="58"/>
      <c r="Q70" s="58"/>
      <c r="R70" s="58"/>
      <c r="S70" s="58"/>
      <c r="T70" s="58"/>
      <c r="U70" s="95"/>
      <c r="V70" s="91"/>
      <c r="W70" s="91"/>
      <c r="X70" s="91"/>
      <c r="Y70" s="91"/>
      <c r="Z70" s="55"/>
      <c r="AA70" s="55"/>
      <c r="AB70" s="55"/>
      <c r="AC70" s="55"/>
      <c r="AD70" s="55"/>
      <c r="AE70" s="55"/>
      <c r="AF70" s="55"/>
      <c r="AG70" s="129">
        <f>'Plan Moyen Terme (PMT)'!D23-BAU_Liquidité_Dynamique!AG68</f>
        <v>1902.1304</v>
      </c>
      <c r="AH70" s="124">
        <f>IF(AND(AG$1&lt;AH$1, AH$1&lt;=$F68),$AG70*($F68-AH$1)/($F68-$AG$1),0)</f>
        <v>1882.3165416666668</v>
      </c>
      <c r="AI70" s="124">
        <f>IF(AND(AH$1&lt;AI$1, AI$1&lt;=$F68),$AG70*($F68-AI$1)/($F68-$AG$1),0)</f>
        <v>1862.5026833333334</v>
      </c>
      <c r="AJ70" s="124">
        <f t="shared" ref="AJ70:CU70" si="77">IF(AND(AI$1&lt;AJ$1, AJ$1&lt;=$F68),$AG70*($F68-AJ$1)/($F68-$AG$1),0)</f>
        <v>1842.688825</v>
      </c>
      <c r="AK70" s="124">
        <f t="shared" si="77"/>
        <v>1822.8749666666665</v>
      </c>
      <c r="AL70" s="124">
        <f t="shared" si="77"/>
        <v>1803.0611083333333</v>
      </c>
      <c r="AM70" s="124">
        <f t="shared" si="77"/>
        <v>1783.2472500000001</v>
      </c>
      <c r="AN70" s="124">
        <f t="shared" si="77"/>
        <v>1763.4333916666667</v>
      </c>
      <c r="AO70" s="124">
        <f t="shared" si="77"/>
        <v>1743.6195333333333</v>
      </c>
      <c r="AP70" s="124">
        <f t="shared" si="77"/>
        <v>1723.8056749999998</v>
      </c>
      <c r="AQ70" s="124">
        <f t="shared" si="77"/>
        <v>1703.9918166666666</v>
      </c>
      <c r="AR70" s="124">
        <f t="shared" si="77"/>
        <v>1684.1779583333334</v>
      </c>
      <c r="AS70" s="124">
        <f t="shared" si="77"/>
        <v>1664.3641</v>
      </c>
      <c r="AT70" s="124">
        <f t="shared" si="77"/>
        <v>1644.5502416666668</v>
      </c>
      <c r="AU70" s="124">
        <f t="shared" si="77"/>
        <v>1624.7363833333332</v>
      </c>
      <c r="AV70" s="124">
        <f t="shared" si="77"/>
        <v>1604.922525</v>
      </c>
      <c r="AW70" s="124">
        <f t="shared" si="77"/>
        <v>1585.1086666666667</v>
      </c>
      <c r="AX70" s="124">
        <f t="shared" si="77"/>
        <v>1565.2948083333333</v>
      </c>
      <c r="AY70" s="124">
        <f t="shared" si="77"/>
        <v>1545.4809500000001</v>
      </c>
      <c r="AZ70" s="124">
        <f t="shared" si="77"/>
        <v>1525.6670916666665</v>
      </c>
      <c r="BA70" s="124">
        <f t="shared" si="77"/>
        <v>1505.8532333333333</v>
      </c>
      <c r="BB70" s="124">
        <f t="shared" si="77"/>
        <v>1486.0393750000001</v>
      </c>
      <c r="BC70" s="124">
        <f t="shared" si="77"/>
        <v>1466.2255166666666</v>
      </c>
      <c r="BD70" s="124">
        <f t="shared" si="77"/>
        <v>1446.4116583333334</v>
      </c>
      <c r="BE70" s="124">
        <f t="shared" si="77"/>
        <v>1426.5978000000002</v>
      </c>
      <c r="BF70" s="124">
        <f t="shared" si="77"/>
        <v>1406.7839416666666</v>
      </c>
      <c r="BG70" s="124">
        <f t="shared" si="77"/>
        <v>1386.9700833333334</v>
      </c>
      <c r="BH70" s="124">
        <f t="shared" si="77"/>
        <v>1367.1562249999999</v>
      </c>
      <c r="BI70" s="124">
        <f t="shared" si="77"/>
        <v>1347.3423666666667</v>
      </c>
      <c r="BJ70" s="124">
        <f t="shared" si="77"/>
        <v>1327.5285083333333</v>
      </c>
      <c r="BK70" s="124">
        <f t="shared" si="77"/>
        <v>1307.7146500000001</v>
      </c>
      <c r="BL70" s="124">
        <f t="shared" si="77"/>
        <v>1287.9007916666667</v>
      </c>
      <c r="BM70" s="124">
        <f t="shared" si="77"/>
        <v>1268.0869333333333</v>
      </c>
      <c r="BN70" s="124">
        <f t="shared" si="77"/>
        <v>1248.2730750000001</v>
      </c>
      <c r="BO70" s="124">
        <f t="shared" si="77"/>
        <v>1228.4592166666666</v>
      </c>
      <c r="BP70" s="124">
        <f t="shared" si="77"/>
        <v>1208.6453583333334</v>
      </c>
      <c r="BQ70" s="124">
        <f t="shared" si="77"/>
        <v>1188.8315</v>
      </c>
      <c r="BR70" s="124">
        <f t="shared" si="77"/>
        <v>1169.0176416666666</v>
      </c>
      <c r="BS70" s="124">
        <f t="shared" si="77"/>
        <v>1149.2037833333334</v>
      </c>
      <c r="BT70" s="124">
        <f t="shared" si="77"/>
        <v>1129.3899249999999</v>
      </c>
      <c r="BU70" s="124">
        <f t="shared" si="77"/>
        <v>1109.5760666666667</v>
      </c>
      <c r="BV70" s="124">
        <f t="shared" si="77"/>
        <v>1089.7622083333333</v>
      </c>
      <c r="BW70" s="124">
        <f t="shared" si="77"/>
        <v>1069.9483499999999</v>
      </c>
      <c r="BX70" s="124">
        <f t="shared" si="77"/>
        <v>1050.1344916666667</v>
      </c>
      <c r="BY70" s="124">
        <f t="shared" si="77"/>
        <v>1030.3206333333335</v>
      </c>
      <c r="BZ70" s="124">
        <f t="shared" si="77"/>
        <v>1010.5067749999999</v>
      </c>
      <c r="CA70" s="124">
        <f t="shared" si="77"/>
        <v>990.69291666666675</v>
      </c>
      <c r="CB70" s="124">
        <f t="shared" si="77"/>
        <v>970.87905833333332</v>
      </c>
      <c r="CC70" s="124">
        <f t="shared" si="77"/>
        <v>951.0652</v>
      </c>
      <c r="CD70" s="124">
        <f t="shared" si="77"/>
        <v>931.25134166666669</v>
      </c>
      <c r="CE70" s="124">
        <f t="shared" si="77"/>
        <v>911.43748333333326</v>
      </c>
      <c r="CF70" s="124">
        <f t="shared" si="77"/>
        <v>891.62362500000006</v>
      </c>
      <c r="CG70" s="124">
        <f t="shared" si="77"/>
        <v>871.80976666666663</v>
      </c>
      <c r="CH70" s="124">
        <f t="shared" si="77"/>
        <v>851.99590833333332</v>
      </c>
      <c r="CI70" s="124">
        <f t="shared" si="77"/>
        <v>832.18205</v>
      </c>
      <c r="CJ70" s="124">
        <f t="shared" si="77"/>
        <v>812.36819166666658</v>
      </c>
      <c r="CK70" s="124">
        <f t="shared" si="77"/>
        <v>792.55433333333337</v>
      </c>
      <c r="CL70" s="124">
        <f t="shared" si="77"/>
        <v>772.74047500000006</v>
      </c>
      <c r="CM70" s="124">
        <f t="shared" si="77"/>
        <v>752.92661666666663</v>
      </c>
      <c r="CN70" s="124">
        <f t="shared" si="77"/>
        <v>733.11275833333332</v>
      </c>
      <c r="CO70" s="124">
        <f t="shared" si="77"/>
        <v>713.29890000000012</v>
      </c>
      <c r="CP70" s="124">
        <f t="shared" si="77"/>
        <v>693.48504166666669</v>
      </c>
      <c r="CQ70" s="124">
        <f t="shared" si="77"/>
        <v>673.67118333333337</v>
      </c>
      <c r="CR70" s="124">
        <f t="shared" si="77"/>
        <v>653.85732500000006</v>
      </c>
      <c r="CS70" s="124">
        <f t="shared" si="77"/>
        <v>634.04346666666663</v>
      </c>
      <c r="CT70" s="124">
        <f t="shared" si="77"/>
        <v>614.22960833333332</v>
      </c>
      <c r="CU70" s="124">
        <f t="shared" si="77"/>
        <v>594.41575</v>
      </c>
      <c r="CV70" s="124">
        <f t="shared" ref="CV70:DY70" si="78">IF(AND(CU$1&lt;CV$1, CV$1&lt;=$F68),$AG70*($F68-CV$1)/($F68-$AG$1),0)</f>
        <v>574.60189166666669</v>
      </c>
      <c r="CW70" s="124">
        <f t="shared" si="78"/>
        <v>554.78803333333337</v>
      </c>
      <c r="CX70" s="124">
        <f t="shared" si="78"/>
        <v>534.97417499999995</v>
      </c>
      <c r="CY70" s="124">
        <f t="shared" si="78"/>
        <v>515.16031666666674</v>
      </c>
      <c r="CZ70" s="124">
        <f t="shared" si="78"/>
        <v>495.34645833333337</v>
      </c>
      <c r="DA70" s="124">
        <f t="shared" si="78"/>
        <v>475.5326</v>
      </c>
      <c r="DB70" s="124">
        <f t="shared" si="78"/>
        <v>455.71874166666663</v>
      </c>
      <c r="DC70" s="124">
        <f t="shared" si="78"/>
        <v>435.90488333333332</v>
      </c>
      <c r="DD70" s="124">
        <f t="shared" si="78"/>
        <v>416.091025</v>
      </c>
      <c r="DE70" s="124">
        <f t="shared" si="78"/>
        <v>396.27716666666669</v>
      </c>
      <c r="DF70" s="124">
        <f t="shared" si="78"/>
        <v>376.46330833333332</v>
      </c>
      <c r="DG70" s="124">
        <f t="shared" si="78"/>
        <v>356.64945000000006</v>
      </c>
      <c r="DH70" s="124">
        <f t="shared" si="78"/>
        <v>336.83559166666669</v>
      </c>
      <c r="DI70" s="124">
        <f t="shared" si="78"/>
        <v>317.02173333333332</v>
      </c>
      <c r="DJ70" s="124">
        <f t="shared" si="78"/>
        <v>297.207875</v>
      </c>
      <c r="DK70" s="124">
        <f t="shared" si="78"/>
        <v>277.39401666666669</v>
      </c>
      <c r="DL70" s="124">
        <f t="shared" si="78"/>
        <v>257.58015833333337</v>
      </c>
      <c r="DM70" s="124">
        <f t="shared" si="78"/>
        <v>237.7663</v>
      </c>
      <c r="DN70" s="124">
        <f t="shared" si="78"/>
        <v>217.95244166666666</v>
      </c>
      <c r="DO70" s="124">
        <f t="shared" si="78"/>
        <v>198.13858333333334</v>
      </c>
      <c r="DP70" s="124">
        <f t="shared" si="78"/>
        <v>178.32472500000003</v>
      </c>
      <c r="DQ70" s="124">
        <f t="shared" si="78"/>
        <v>158.51086666666666</v>
      </c>
      <c r="DR70" s="124">
        <f t="shared" si="78"/>
        <v>138.69700833333334</v>
      </c>
      <c r="DS70" s="124">
        <f t="shared" si="78"/>
        <v>118.88315</v>
      </c>
      <c r="DT70" s="124">
        <f t="shared" si="78"/>
        <v>99.069291666666672</v>
      </c>
      <c r="DU70" s="124">
        <f t="shared" si="78"/>
        <v>79.255433333333329</v>
      </c>
      <c r="DV70" s="124">
        <f t="shared" si="78"/>
        <v>59.441575</v>
      </c>
      <c r="DW70" s="124">
        <f t="shared" si="78"/>
        <v>39.627716666666664</v>
      </c>
      <c r="DX70" s="124">
        <f t="shared" si="78"/>
        <v>19.813858333333332</v>
      </c>
      <c r="DY70" s="124">
        <f t="shared" si="78"/>
        <v>0</v>
      </c>
    </row>
    <row r="71" spans="1:129" x14ac:dyDescent="0.45">
      <c r="A71" s="3"/>
      <c r="B71" s="2"/>
      <c r="C71" s="125" t="s">
        <v>267</v>
      </c>
      <c r="D71" s="17"/>
      <c r="E71" s="2"/>
      <c r="F71" s="2"/>
      <c r="G71" s="2"/>
      <c r="H71" s="2"/>
      <c r="I71" s="13"/>
      <c r="J71" s="58"/>
      <c r="K71" s="58"/>
      <c r="L71" s="58"/>
      <c r="M71" s="58"/>
      <c r="N71" s="58"/>
      <c r="O71" s="58"/>
      <c r="P71" s="58"/>
      <c r="Q71" s="58"/>
      <c r="R71" s="58"/>
      <c r="S71" s="58"/>
      <c r="T71" s="58"/>
      <c r="U71" s="96"/>
      <c r="V71" s="55"/>
      <c r="W71" s="55"/>
      <c r="X71" s="55"/>
      <c r="Y71" s="55"/>
      <c r="Z71" s="55"/>
      <c r="AA71" s="55"/>
      <c r="AB71" s="55"/>
      <c r="AC71" s="55"/>
      <c r="AD71" s="55"/>
      <c r="AE71" s="55"/>
      <c r="AF71" s="55"/>
      <c r="AG71" s="102"/>
      <c r="AH71" s="91"/>
      <c r="AI71" s="91"/>
      <c r="AJ71" s="91"/>
      <c r="AK71" s="55"/>
      <c r="AL71" s="55"/>
      <c r="AM71" s="55"/>
      <c r="AN71" s="55"/>
      <c r="AO71" s="55"/>
      <c r="AP71" s="55"/>
      <c r="AQ71" s="55"/>
      <c r="AR71" s="55"/>
      <c r="AS71" s="130">
        <f>'Plan Moyen Terme (PMT)'!E23-BAU_Liquidité_Dynamique!AS68</f>
        <v>1277.8641</v>
      </c>
      <c r="AT71" s="126">
        <f>IF(AND(AS$1&lt;AT$1, AT$1&lt;=$F68),$AS71*($F68-AT$1)/($F68-$AS$1),0)</f>
        <v>1262.6514321428572</v>
      </c>
      <c r="AU71" s="126">
        <f t="shared" ref="AU71:DF71" si="79">IF(AND(AT$1&lt;AU$1, AU$1&lt;=$F68),$AS71*($F68-AU$1)/($F68-$AS$1),0)</f>
        <v>1247.4387642857141</v>
      </c>
      <c r="AV71" s="126">
        <f t="shared" si="79"/>
        <v>1232.2260964285715</v>
      </c>
      <c r="AW71" s="126">
        <f t="shared" si="79"/>
        <v>1217.0134285714284</v>
      </c>
      <c r="AX71" s="126">
        <f t="shared" si="79"/>
        <v>1201.8007607142858</v>
      </c>
      <c r="AY71" s="126">
        <f t="shared" si="79"/>
        <v>1186.5880928571428</v>
      </c>
      <c r="AZ71" s="126">
        <f t="shared" si="79"/>
        <v>1171.3754250000002</v>
      </c>
      <c r="BA71" s="126">
        <f t="shared" si="79"/>
        <v>1156.1627571428571</v>
      </c>
      <c r="BB71" s="126">
        <f t="shared" si="79"/>
        <v>1140.9500892857143</v>
      </c>
      <c r="BC71" s="126">
        <f t="shared" si="79"/>
        <v>1125.7374214285715</v>
      </c>
      <c r="BD71" s="126">
        <f t="shared" si="79"/>
        <v>1110.5247535714286</v>
      </c>
      <c r="BE71" s="126">
        <f t="shared" si="79"/>
        <v>1095.3120857142858</v>
      </c>
      <c r="BF71" s="126">
        <f t="shared" si="79"/>
        <v>1080.099417857143</v>
      </c>
      <c r="BG71" s="126">
        <f t="shared" si="79"/>
        <v>1064.8867499999999</v>
      </c>
      <c r="BH71" s="126">
        <f t="shared" si="79"/>
        <v>1049.6740821428571</v>
      </c>
      <c r="BI71" s="126">
        <f t="shared" si="79"/>
        <v>1034.4614142857142</v>
      </c>
      <c r="BJ71" s="126">
        <f t="shared" si="79"/>
        <v>1019.2487464285715</v>
      </c>
      <c r="BK71" s="126">
        <f t="shared" si="79"/>
        <v>1004.0360785714286</v>
      </c>
      <c r="BL71" s="126">
        <f t="shared" si="79"/>
        <v>988.82341071428584</v>
      </c>
      <c r="BM71" s="126">
        <f t="shared" si="79"/>
        <v>973.6107428571429</v>
      </c>
      <c r="BN71" s="126">
        <f t="shared" si="79"/>
        <v>958.39807499999995</v>
      </c>
      <c r="BO71" s="126">
        <f t="shared" si="79"/>
        <v>943.18540714285723</v>
      </c>
      <c r="BP71" s="126">
        <f t="shared" si="79"/>
        <v>927.97273928571428</v>
      </c>
      <c r="BQ71" s="126">
        <f t="shared" si="79"/>
        <v>912.76007142857145</v>
      </c>
      <c r="BR71" s="126">
        <f t="shared" si="79"/>
        <v>897.5474035714285</v>
      </c>
      <c r="BS71" s="126">
        <f t="shared" si="79"/>
        <v>882.33473571428578</v>
      </c>
      <c r="BT71" s="126">
        <f t="shared" si="79"/>
        <v>867.12206785714284</v>
      </c>
      <c r="BU71" s="126">
        <f t="shared" si="79"/>
        <v>851.90939999999989</v>
      </c>
      <c r="BV71" s="126">
        <f t="shared" si="79"/>
        <v>836.69673214285717</v>
      </c>
      <c r="BW71" s="126">
        <f t="shared" si="79"/>
        <v>821.48406428571423</v>
      </c>
      <c r="BX71" s="126">
        <f t="shared" si="79"/>
        <v>806.27139642857151</v>
      </c>
      <c r="BY71" s="126">
        <f t="shared" si="79"/>
        <v>791.05872857142856</v>
      </c>
      <c r="BZ71" s="126">
        <f t="shared" si="79"/>
        <v>775.84606071428573</v>
      </c>
      <c r="CA71" s="126">
        <f t="shared" si="79"/>
        <v>760.63339285714289</v>
      </c>
      <c r="CB71" s="126">
        <f t="shared" si="79"/>
        <v>745.42072500000006</v>
      </c>
      <c r="CC71" s="126">
        <f t="shared" si="79"/>
        <v>730.20805714285723</v>
      </c>
      <c r="CD71" s="126">
        <f t="shared" si="79"/>
        <v>714.99538928571428</v>
      </c>
      <c r="CE71" s="126">
        <f t="shared" si="79"/>
        <v>699.78272142857145</v>
      </c>
      <c r="CF71" s="126">
        <f t="shared" si="79"/>
        <v>684.57005357142862</v>
      </c>
      <c r="CG71" s="126">
        <f t="shared" si="79"/>
        <v>669.35738571428578</v>
      </c>
      <c r="CH71" s="126">
        <f t="shared" si="79"/>
        <v>654.14471785714284</v>
      </c>
      <c r="CI71" s="126">
        <f t="shared" si="79"/>
        <v>638.93205</v>
      </c>
      <c r="CJ71" s="126">
        <f t="shared" si="79"/>
        <v>623.71938214285706</v>
      </c>
      <c r="CK71" s="126">
        <f t="shared" si="79"/>
        <v>608.50671428571422</v>
      </c>
      <c r="CL71" s="126">
        <f t="shared" si="79"/>
        <v>593.29404642857139</v>
      </c>
      <c r="CM71" s="126">
        <f t="shared" si="79"/>
        <v>578.08137857142856</v>
      </c>
      <c r="CN71" s="126">
        <f t="shared" si="79"/>
        <v>562.86871071428573</v>
      </c>
      <c r="CO71" s="126">
        <f t="shared" si="79"/>
        <v>547.65604285714289</v>
      </c>
      <c r="CP71" s="126">
        <f t="shared" si="79"/>
        <v>532.44337499999995</v>
      </c>
      <c r="CQ71" s="126">
        <f t="shared" si="79"/>
        <v>517.23070714285711</v>
      </c>
      <c r="CR71" s="126">
        <f t="shared" si="79"/>
        <v>502.01803928571428</v>
      </c>
      <c r="CS71" s="126">
        <f t="shared" si="79"/>
        <v>486.80537142857145</v>
      </c>
      <c r="CT71" s="126">
        <f t="shared" si="79"/>
        <v>471.59270357142861</v>
      </c>
      <c r="CU71" s="126">
        <f t="shared" si="79"/>
        <v>456.38003571428573</v>
      </c>
      <c r="CV71" s="126">
        <f t="shared" si="79"/>
        <v>441.16736785714289</v>
      </c>
      <c r="CW71" s="126">
        <f t="shared" si="79"/>
        <v>425.95469999999995</v>
      </c>
      <c r="CX71" s="126">
        <f t="shared" si="79"/>
        <v>410.74203214285711</v>
      </c>
      <c r="CY71" s="126">
        <f t="shared" si="79"/>
        <v>395.52936428571428</v>
      </c>
      <c r="CZ71" s="126">
        <f t="shared" si="79"/>
        <v>380.31669642857145</v>
      </c>
      <c r="DA71" s="126">
        <f t="shared" si="79"/>
        <v>365.10402857142861</v>
      </c>
      <c r="DB71" s="126">
        <f t="shared" si="79"/>
        <v>349.89136071428572</v>
      </c>
      <c r="DC71" s="126">
        <f t="shared" si="79"/>
        <v>334.67869285714289</v>
      </c>
      <c r="DD71" s="126">
        <f t="shared" si="79"/>
        <v>319.466025</v>
      </c>
      <c r="DE71" s="126">
        <f t="shared" si="79"/>
        <v>304.25335714285711</v>
      </c>
      <c r="DF71" s="126">
        <f t="shared" si="79"/>
        <v>289.04068928571428</v>
      </c>
      <c r="DG71" s="126">
        <f t="shared" ref="DG71:DY71" si="80">IF(AND(DF$1&lt;DG$1, DG$1&lt;=$F68),$AS71*($F68-DG$1)/($F68-$AS$1),0)</f>
        <v>273.82802142857145</v>
      </c>
      <c r="DH71" s="126">
        <f t="shared" si="80"/>
        <v>258.61535357142856</v>
      </c>
      <c r="DI71" s="126">
        <f t="shared" si="80"/>
        <v>243.40268571428572</v>
      </c>
      <c r="DJ71" s="126">
        <f t="shared" si="80"/>
        <v>228.19001785714286</v>
      </c>
      <c r="DK71" s="126">
        <f t="shared" si="80"/>
        <v>212.97734999999997</v>
      </c>
      <c r="DL71" s="126">
        <f t="shared" si="80"/>
        <v>197.76468214285714</v>
      </c>
      <c r="DM71" s="126">
        <f t="shared" si="80"/>
        <v>182.55201428571431</v>
      </c>
      <c r="DN71" s="126">
        <f t="shared" si="80"/>
        <v>167.33934642857145</v>
      </c>
      <c r="DO71" s="126">
        <f t="shared" si="80"/>
        <v>152.12667857142856</v>
      </c>
      <c r="DP71" s="126">
        <f t="shared" si="80"/>
        <v>136.91401071428572</v>
      </c>
      <c r="DQ71" s="126">
        <f t="shared" si="80"/>
        <v>121.70134285714286</v>
      </c>
      <c r="DR71" s="126">
        <f t="shared" si="80"/>
        <v>106.48867499999999</v>
      </c>
      <c r="DS71" s="126">
        <f t="shared" si="80"/>
        <v>91.276007142857154</v>
      </c>
      <c r="DT71" s="126">
        <f t="shared" si="80"/>
        <v>76.063339285714278</v>
      </c>
      <c r="DU71" s="126">
        <f t="shared" si="80"/>
        <v>60.850671428571431</v>
      </c>
      <c r="DV71" s="126">
        <f t="shared" si="80"/>
        <v>45.638003571428577</v>
      </c>
      <c r="DW71" s="126">
        <f t="shared" si="80"/>
        <v>30.425335714285715</v>
      </c>
      <c r="DX71" s="126">
        <f t="shared" si="80"/>
        <v>15.212667857142858</v>
      </c>
      <c r="DY71" s="126">
        <f t="shared" si="80"/>
        <v>0</v>
      </c>
    </row>
    <row r="72" spans="1:129" x14ac:dyDescent="0.45">
      <c r="A72" s="3">
        <v>46022</v>
      </c>
      <c r="B72" s="2" t="s">
        <v>19</v>
      </c>
      <c r="C72" s="4" t="s">
        <v>22</v>
      </c>
      <c r="D72" s="17">
        <v>0</v>
      </c>
      <c r="E72" s="2" t="s">
        <v>43</v>
      </c>
      <c r="F72" s="2">
        <v>120</v>
      </c>
      <c r="G72" s="2" t="s">
        <v>43</v>
      </c>
      <c r="H72" s="2">
        <v>120</v>
      </c>
      <c r="I72" s="13">
        <v>2994.7869999999998</v>
      </c>
      <c r="J72" s="58">
        <f t="shared" si="72"/>
        <v>2969.8304416666665</v>
      </c>
      <c r="K72" s="58">
        <f t="shared" si="72"/>
        <v>2944.8738833333332</v>
      </c>
      <c r="L72" s="58">
        <f t="shared" si="72"/>
        <v>2919.9173249999999</v>
      </c>
      <c r="M72" s="58">
        <f t="shared" si="72"/>
        <v>2894.9607666666666</v>
      </c>
      <c r="N72" s="58">
        <f t="shared" si="72"/>
        <v>2870.0042083333333</v>
      </c>
      <c r="O72" s="58">
        <f t="shared" si="72"/>
        <v>2845.0476499999995</v>
      </c>
      <c r="P72" s="58">
        <f t="shared" si="72"/>
        <v>2820.0910916666662</v>
      </c>
      <c r="Q72" s="58">
        <f t="shared" si="72"/>
        <v>2795.1345333333334</v>
      </c>
      <c r="R72" s="58">
        <f t="shared" si="72"/>
        <v>2770.1779750000001</v>
      </c>
      <c r="S72" s="58">
        <f t="shared" si="72"/>
        <v>2745.2214166666663</v>
      </c>
      <c r="T72" s="58">
        <f t="shared" si="72"/>
        <v>2720.264858333333</v>
      </c>
      <c r="U72" s="97">
        <f t="shared" si="72"/>
        <v>2695.3082999999997</v>
      </c>
      <c r="V72" s="58">
        <f t="shared" si="72"/>
        <v>2670.3517416666668</v>
      </c>
      <c r="W72" s="58">
        <f t="shared" si="72"/>
        <v>2645.3951833333331</v>
      </c>
      <c r="X72" s="58">
        <f t="shared" si="72"/>
        <v>2620.4386249999998</v>
      </c>
      <c r="Y72" s="58">
        <f t="shared" si="72"/>
        <v>2595.4820666666665</v>
      </c>
      <c r="Z72" s="58">
        <f t="shared" si="73"/>
        <v>2570.5255083333332</v>
      </c>
      <c r="AA72" s="58">
        <f t="shared" si="73"/>
        <v>2545.5689499999999</v>
      </c>
      <c r="AB72" s="58">
        <f t="shared" si="73"/>
        <v>2520.6123916666666</v>
      </c>
      <c r="AC72" s="58">
        <f t="shared" si="73"/>
        <v>2495.6558333333332</v>
      </c>
      <c r="AD72" s="58">
        <f t="shared" si="73"/>
        <v>2470.6992749999995</v>
      </c>
      <c r="AE72" s="58">
        <f t="shared" si="73"/>
        <v>2445.7427166666666</v>
      </c>
      <c r="AF72" s="58">
        <f t="shared" si="73"/>
        <v>2420.7861583333333</v>
      </c>
      <c r="AG72" s="103">
        <f t="shared" si="73"/>
        <v>2395.8296</v>
      </c>
      <c r="AH72" s="58">
        <f t="shared" si="73"/>
        <v>2370.8730416666663</v>
      </c>
      <c r="AI72" s="58">
        <f t="shared" si="73"/>
        <v>2345.916483333333</v>
      </c>
      <c r="AJ72" s="58">
        <f t="shared" si="73"/>
        <v>2320.9599250000001</v>
      </c>
      <c r="AK72" s="58">
        <f t="shared" si="73"/>
        <v>2296.0033666666668</v>
      </c>
      <c r="AL72" s="58">
        <f t="shared" si="73"/>
        <v>2271.046808333333</v>
      </c>
      <c r="AM72" s="58">
        <f t="shared" si="73"/>
        <v>2246.0902499999997</v>
      </c>
      <c r="AN72" s="58">
        <f t="shared" si="73"/>
        <v>2221.1336916666664</v>
      </c>
      <c r="AO72" s="58">
        <f t="shared" si="73"/>
        <v>2196.1771333333331</v>
      </c>
      <c r="AP72" s="58">
        <f t="shared" si="73"/>
        <v>2171.2205749999998</v>
      </c>
      <c r="AQ72" s="58">
        <f t="shared" si="73"/>
        <v>2146.2640166666665</v>
      </c>
      <c r="AR72" s="58">
        <f t="shared" si="73"/>
        <v>2121.3074583333332</v>
      </c>
      <c r="AS72" s="109">
        <f t="shared" si="73"/>
        <v>2096.3508999999999</v>
      </c>
      <c r="AT72" s="58">
        <f t="shared" si="73"/>
        <v>2071.3943416666666</v>
      </c>
      <c r="AU72" s="58">
        <f t="shared" si="73"/>
        <v>2046.4377833333333</v>
      </c>
      <c r="AV72" s="58">
        <f t="shared" si="73"/>
        <v>2021.481225</v>
      </c>
      <c r="AW72" s="58">
        <f t="shared" si="73"/>
        <v>1996.5246666666665</v>
      </c>
      <c r="AX72" s="58">
        <f t="shared" si="73"/>
        <v>1971.5681083333332</v>
      </c>
      <c r="AY72" s="58">
        <f t="shared" si="73"/>
        <v>1946.6115499999999</v>
      </c>
      <c r="AZ72" s="58">
        <f t="shared" si="73"/>
        <v>1921.6549916666668</v>
      </c>
      <c r="BA72" s="58">
        <f t="shared" si="73"/>
        <v>1896.698433333333</v>
      </c>
      <c r="BB72" s="58">
        <f t="shared" si="73"/>
        <v>1871.7418749999999</v>
      </c>
      <c r="BC72" s="58">
        <f t="shared" si="73"/>
        <v>1846.7853166666666</v>
      </c>
      <c r="BD72" s="58">
        <f t="shared" si="73"/>
        <v>1821.8287583333331</v>
      </c>
      <c r="BE72" s="58">
        <f t="shared" si="73"/>
        <v>1796.8721999999998</v>
      </c>
      <c r="BF72" s="58">
        <f t="shared" si="73"/>
        <v>1771.9156416666665</v>
      </c>
      <c r="BG72" s="58">
        <f t="shared" si="73"/>
        <v>1746.9590833333334</v>
      </c>
      <c r="BH72" s="58">
        <f t="shared" si="73"/>
        <v>1722.0025249999997</v>
      </c>
      <c r="BI72" s="58">
        <f t="shared" si="73"/>
        <v>1697.0459666666666</v>
      </c>
      <c r="BJ72" s="58">
        <f t="shared" si="73"/>
        <v>1672.0894083333333</v>
      </c>
      <c r="BK72" s="58">
        <f t="shared" si="73"/>
        <v>1647.13285</v>
      </c>
      <c r="BL72" s="58">
        <f t="shared" si="73"/>
        <v>1622.1762916666664</v>
      </c>
      <c r="BM72" s="58">
        <f t="shared" si="73"/>
        <v>1597.2197333333331</v>
      </c>
      <c r="BN72" s="58">
        <f t="shared" si="73"/>
        <v>1572.263175</v>
      </c>
      <c r="BO72" s="58">
        <f t="shared" si="73"/>
        <v>1547.3066166666667</v>
      </c>
      <c r="BP72" s="58">
        <f t="shared" si="73"/>
        <v>1522.3500583333332</v>
      </c>
      <c r="BQ72" s="58">
        <f t="shared" si="73"/>
        <v>1497.3934999999999</v>
      </c>
      <c r="BR72" s="58">
        <f t="shared" si="73"/>
        <v>1472.4369416666666</v>
      </c>
      <c r="BS72" s="58">
        <f t="shared" si="73"/>
        <v>1447.4803833333333</v>
      </c>
      <c r="BT72" s="58">
        <f t="shared" si="73"/>
        <v>1422.5238249999998</v>
      </c>
      <c r="BU72" s="58">
        <f t="shared" si="73"/>
        <v>1397.5672666666667</v>
      </c>
      <c r="BV72" s="58">
        <f t="shared" si="73"/>
        <v>1372.6107083333332</v>
      </c>
      <c r="BW72" s="58">
        <f t="shared" si="73"/>
        <v>1347.6541499999998</v>
      </c>
      <c r="BX72" s="58">
        <f t="shared" si="73"/>
        <v>1322.6975916666665</v>
      </c>
      <c r="BY72" s="58">
        <f t="shared" si="73"/>
        <v>1297.7410333333332</v>
      </c>
      <c r="BZ72" s="58">
        <f t="shared" si="73"/>
        <v>1272.7844749999999</v>
      </c>
      <c r="CA72" s="58">
        <f t="shared" si="73"/>
        <v>1247.8279166666666</v>
      </c>
      <c r="CB72" s="58">
        <f t="shared" si="73"/>
        <v>1222.8713583333333</v>
      </c>
      <c r="CC72" s="58">
        <f t="shared" si="73"/>
        <v>1197.9148</v>
      </c>
      <c r="CD72" s="58">
        <f t="shared" si="73"/>
        <v>1172.9582416666665</v>
      </c>
      <c r="CE72" s="58">
        <f t="shared" si="73"/>
        <v>1148.0016833333334</v>
      </c>
      <c r="CF72" s="58">
        <f t="shared" si="73"/>
        <v>1123.0451249999999</v>
      </c>
      <c r="CG72" s="58">
        <f t="shared" si="73"/>
        <v>1098.0885666666666</v>
      </c>
      <c r="CH72" s="58">
        <f t="shared" si="73"/>
        <v>1073.1320083333333</v>
      </c>
      <c r="CI72" s="58">
        <f t="shared" si="73"/>
        <v>1048.17545</v>
      </c>
      <c r="CJ72" s="58">
        <f t="shared" si="73"/>
        <v>1023.2188916666667</v>
      </c>
      <c r="CK72" s="58">
        <f t="shared" si="73"/>
        <v>998.26233333333323</v>
      </c>
      <c r="CL72" s="58">
        <f t="shared" si="74"/>
        <v>973.30577499999993</v>
      </c>
      <c r="CM72" s="58">
        <f t="shared" si="74"/>
        <v>948.34921666666651</v>
      </c>
      <c r="CN72" s="58">
        <f t="shared" si="74"/>
        <v>923.39265833333332</v>
      </c>
      <c r="CO72" s="58">
        <f t="shared" si="74"/>
        <v>898.4360999999999</v>
      </c>
      <c r="CP72" s="58">
        <f t="shared" si="74"/>
        <v>873.47954166666671</v>
      </c>
      <c r="CQ72" s="58">
        <f t="shared" si="74"/>
        <v>848.52298333333329</v>
      </c>
      <c r="CR72" s="58">
        <f t="shared" si="74"/>
        <v>823.56642499999998</v>
      </c>
      <c r="CS72" s="58">
        <f t="shared" si="74"/>
        <v>798.60986666666656</v>
      </c>
      <c r="CT72" s="58">
        <f t="shared" si="74"/>
        <v>773.65330833333337</v>
      </c>
      <c r="CU72" s="58">
        <f t="shared" si="74"/>
        <v>748.69674999999995</v>
      </c>
      <c r="CV72" s="58">
        <f t="shared" si="74"/>
        <v>723.74019166666665</v>
      </c>
      <c r="CW72" s="58">
        <f t="shared" si="74"/>
        <v>698.78363333333334</v>
      </c>
      <c r="CX72" s="58">
        <f t="shared" si="74"/>
        <v>673.82707499999992</v>
      </c>
      <c r="CY72" s="58">
        <f t="shared" si="74"/>
        <v>648.87051666666662</v>
      </c>
      <c r="CZ72" s="58">
        <f t="shared" si="74"/>
        <v>623.91395833333331</v>
      </c>
      <c r="DA72" s="58">
        <f t="shared" si="74"/>
        <v>598.95740000000001</v>
      </c>
      <c r="DB72" s="58">
        <f t="shared" si="74"/>
        <v>574.0008416666667</v>
      </c>
      <c r="DC72" s="58">
        <f t="shared" si="74"/>
        <v>549.04428333333328</v>
      </c>
      <c r="DD72" s="58">
        <f t="shared" si="74"/>
        <v>524.08772499999998</v>
      </c>
      <c r="DE72" s="58">
        <f t="shared" si="74"/>
        <v>499.13116666666662</v>
      </c>
      <c r="DF72" s="58">
        <f t="shared" si="74"/>
        <v>474.17460833333325</v>
      </c>
      <c r="DG72" s="58">
        <f t="shared" si="74"/>
        <v>449.21804999999995</v>
      </c>
      <c r="DH72" s="58">
        <f t="shared" si="74"/>
        <v>424.26149166666664</v>
      </c>
      <c r="DI72" s="58">
        <f t="shared" si="74"/>
        <v>399.30493333333328</v>
      </c>
      <c r="DJ72" s="58">
        <f t="shared" si="74"/>
        <v>374.34837499999998</v>
      </c>
      <c r="DK72" s="58">
        <f t="shared" si="74"/>
        <v>349.39181666666667</v>
      </c>
      <c r="DL72" s="58">
        <f t="shared" si="74"/>
        <v>324.43525833333331</v>
      </c>
      <c r="DM72" s="58">
        <f t="shared" si="74"/>
        <v>299.4787</v>
      </c>
      <c r="DN72" s="58">
        <f t="shared" si="74"/>
        <v>274.52214166666664</v>
      </c>
      <c r="DO72" s="58">
        <f t="shared" si="74"/>
        <v>249.56558333333331</v>
      </c>
      <c r="DP72" s="58">
        <f t="shared" si="74"/>
        <v>224.60902499999997</v>
      </c>
      <c r="DQ72" s="58">
        <f t="shared" si="74"/>
        <v>199.65246666666664</v>
      </c>
      <c r="DR72" s="58">
        <f t="shared" si="74"/>
        <v>174.69590833333334</v>
      </c>
      <c r="DS72" s="58">
        <f t="shared" si="74"/>
        <v>149.73935</v>
      </c>
      <c r="DT72" s="58">
        <f t="shared" si="74"/>
        <v>124.78279166666665</v>
      </c>
      <c r="DU72" s="58">
        <f t="shared" si="74"/>
        <v>99.82623333333332</v>
      </c>
      <c r="DV72" s="58">
        <f t="shared" si="74"/>
        <v>74.869675000000001</v>
      </c>
      <c r="DW72" s="58">
        <f t="shared" si="74"/>
        <v>49.91311666666666</v>
      </c>
      <c r="DX72" s="58">
        <f t="shared" si="74"/>
        <v>24.95655833333333</v>
      </c>
      <c r="DY72" s="58">
        <f t="shared" si="74"/>
        <v>0</v>
      </c>
    </row>
    <row r="73" spans="1:129" x14ac:dyDescent="0.45">
      <c r="A73" s="3"/>
      <c r="B73" s="2"/>
      <c r="C73" s="121" t="s">
        <v>265</v>
      </c>
      <c r="D73" s="17"/>
      <c r="E73" s="2"/>
      <c r="F73" s="2"/>
      <c r="G73" s="2"/>
      <c r="H73" s="2"/>
      <c r="I73" s="13"/>
      <c r="J73" s="58"/>
      <c r="K73" s="58"/>
      <c r="L73" s="58"/>
      <c r="M73" s="58"/>
      <c r="N73" s="58"/>
      <c r="O73" s="58"/>
      <c r="P73" s="58"/>
      <c r="Q73" s="58"/>
      <c r="R73" s="58"/>
      <c r="S73" s="58"/>
      <c r="T73" s="58"/>
      <c r="U73" s="119">
        <f>'Plan Moyen Terme (PMT)'!C24-BAU_Liquidité_Dynamique!U72</f>
        <v>252.69170000000031</v>
      </c>
      <c r="V73" s="120">
        <f>IF(AND(U$1&lt;V$1, V$1&lt;=$F72),$U73*($F72-V$1)/($F72-$U$1),0)</f>
        <v>250.35196203703734</v>
      </c>
      <c r="W73" s="120">
        <f>IF(AND(V$1&lt;W$1, W$1&lt;=$F72),$U73*($F72-W$1)/($F72-$U$1),0)</f>
        <v>248.01222407407437</v>
      </c>
      <c r="X73" s="120">
        <f t="shared" ref="X73:CI73" si="81">IF(AND(W$1&lt;X$1, X$1&lt;=$F72),$U73*($F72-X$1)/($F72-$U$1),0)</f>
        <v>245.6724861111114</v>
      </c>
      <c r="Y73" s="120">
        <f t="shared" si="81"/>
        <v>243.33274814814845</v>
      </c>
      <c r="Z73" s="120">
        <f t="shared" si="81"/>
        <v>240.99301018518548</v>
      </c>
      <c r="AA73" s="120">
        <f t="shared" si="81"/>
        <v>238.65327222222254</v>
      </c>
      <c r="AB73" s="120">
        <f t="shared" si="81"/>
        <v>236.31353425925954</v>
      </c>
      <c r="AC73" s="120">
        <f t="shared" si="81"/>
        <v>233.97379629629657</v>
      </c>
      <c r="AD73" s="120">
        <f t="shared" si="81"/>
        <v>231.63405833333363</v>
      </c>
      <c r="AE73" s="120">
        <f t="shared" si="81"/>
        <v>229.29432037037063</v>
      </c>
      <c r="AF73" s="120">
        <f t="shared" si="81"/>
        <v>226.95458240740768</v>
      </c>
      <c r="AG73" s="120">
        <f t="shared" si="81"/>
        <v>224.61484444444471</v>
      </c>
      <c r="AH73" s="120">
        <f t="shared" si="81"/>
        <v>222.27510648148177</v>
      </c>
      <c r="AI73" s="120">
        <f t="shared" si="81"/>
        <v>219.9353685185188</v>
      </c>
      <c r="AJ73" s="120">
        <f t="shared" si="81"/>
        <v>217.5956305555558</v>
      </c>
      <c r="AK73" s="120">
        <f t="shared" si="81"/>
        <v>215.25589259259286</v>
      </c>
      <c r="AL73" s="120">
        <f t="shared" si="81"/>
        <v>212.91615462962989</v>
      </c>
      <c r="AM73" s="120">
        <f t="shared" si="81"/>
        <v>210.57641666666692</v>
      </c>
      <c r="AN73" s="120">
        <f t="shared" si="81"/>
        <v>208.23667870370394</v>
      </c>
      <c r="AO73" s="120">
        <f t="shared" si="81"/>
        <v>205.896940740741</v>
      </c>
      <c r="AP73" s="120">
        <f t="shared" si="81"/>
        <v>203.55720277777803</v>
      </c>
      <c r="AQ73" s="120">
        <f t="shared" si="81"/>
        <v>201.21746481481509</v>
      </c>
      <c r="AR73" s="120">
        <f t="shared" si="81"/>
        <v>198.87772685185209</v>
      </c>
      <c r="AS73" s="120">
        <f t="shared" si="81"/>
        <v>196.53798888888912</v>
      </c>
      <c r="AT73" s="120">
        <f t="shared" si="81"/>
        <v>194.19825092592617</v>
      </c>
      <c r="AU73" s="120">
        <f t="shared" si="81"/>
        <v>191.85851296296318</v>
      </c>
      <c r="AV73" s="120">
        <f t="shared" si="81"/>
        <v>189.51877500000023</v>
      </c>
      <c r="AW73" s="120">
        <f t="shared" si="81"/>
        <v>187.17903703703726</v>
      </c>
      <c r="AX73" s="120">
        <f t="shared" si="81"/>
        <v>184.83929907407432</v>
      </c>
      <c r="AY73" s="120">
        <f t="shared" si="81"/>
        <v>182.49956111111135</v>
      </c>
      <c r="AZ73" s="120">
        <f t="shared" si="81"/>
        <v>180.15982314814835</v>
      </c>
      <c r="BA73" s="120">
        <f t="shared" si="81"/>
        <v>177.82008518518541</v>
      </c>
      <c r="BB73" s="120">
        <f t="shared" si="81"/>
        <v>175.48034722222243</v>
      </c>
      <c r="BC73" s="120">
        <f t="shared" si="81"/>
        <v>173.14060925925946</v>
      </c>
      <c r="BD73" s="120">
        <f t="shared" si="81"/>
        <v>170.80087129629649</v>
      </c>
      <c r="BE73" s="120">
        <f t="shared" si="81"/>
        <v>168.46113333333355</v>
      </c>
      <c r="BF73" s="120">
        <f t="shared" si="81"/>
        <v>166.12139537037058</v>
      </c>
      <c r="BG73" s="120">
        <f t="shared" si="81"/>
        <v>163.78165740740764</v>
      </c>
      <c r="BH73" s="120">
        <f t="shared" si="81"/>
        <v>161.44191944444464</v>
      </c>
      <c r="BI73" s="120">
        <f t="shared" si="81"/>
        <v>159.10218148148167</v>
      </c>
      <c r="BJ73" s="120">
        <f t="shared" si="81"/>
        <v>156.76244351851872</v>
      </c>
      <c r="BK73" s="120">
        <f t="shared" si="81"/>
        <v>154.42270555555572</v>
      </c>
      <c r="BL73" s="120">
        <f t="shared" si="81"/>
        <v>152.08296759259278</v>
      </c>
      <c r="BM73" s="120">
        <f t="shared" si="81"/>
        <v>149.74322962962981</v>
      </c>
      <c r="BN73" s="120">
        <f t="shared" si="81"/>
        <v>147.40349166666687</v>
      </c>
      <c r="BO73" s="120">
        <f t="shared" si="81"/>
        <v>145.0637537037039</v>
      </c>
      <c r="BP73" s="120">
        <f t="shared" si="81"/>
        <v>142.7240157407409</v>
      </c>
      <c r="BQ73" s="120">
        <f t="shared" si="81"/>
        <v>140.38427777777795</v>
      </c>
      <c r="BR73" s="120">
        <f t="shared" si="81"/>
        <v>138.04453981481498</v>
      </c>
      <c r="BS73" s="120">
        <f t="shared" si="81"/>
        <v>135.70480185185201</v>
      </c>
      <c r="BT73" s="120">
        <f t="shared" si="81"/>
        <v>133.36506388888904</v>
      </c>
      <c r="BU73" s="120">
        <f t="shared" si="81"/>
        <v>131.0253259259261</v>
      </c>
      <c r="BV73" s="120">
        <f t="shared" si="81"/>
        <v>128.68558796296313</v>
      </c>
      <c r="BW73" s="120">
        <f t="shared" si="81"/>
        <v>126.34585000000015</v>
      </c>
      <c r="BX73" s="120">
        <f t="shared" si="81"/>
        <v>124.00611203703718</v>
      </c>
      <c r="BY73" s="120">
        <f t="shared" si="81"/>
        <v>121.66637407407423</v>
      </c>
      <c r="BZ73" s="120">
        <f t="shared" si="81"/>
        <v>119.32663611111127</v>
      </c>
      <c r="CA73" s="120">
        <f t="shared" si="81"/>
        <v>116.98689814814828</v>
      </c>
      <c r="CB73" s="120">
        <f t="shared" si="81"/>
        <v>114.64716018518531</v>
      </c>
      <c r="CC73" s="120">
        <f t="shared" si="81"/>
        <v>112.30742222222236</v>
      </c>
      <c r="CD73" s="120">
        <f t="shared" si="81"/>
        <v>109.9676842592594</v>
      </c>
      <c r="CE73" s="120">
        <f t="shared" si="81"/>
        <v>107.62794629629643</v>
      </c>
      <c r="CF73" s="120">
        <f t="shared" si="81"/>
        <v>105.28820833333346</v>
      </c>
      <c r="CG73" s="120">
        <f t="shared" si="81"/>
        <v>102.9484703703705</v>
      </c>
      <c r="CH73" s="120">
        <f t="shared" si="81"/>
        <v>100.60873240740754</v>
      </c>
      <c r="CI73" s="120">
        <f t="shared" si="81"/>
        <v>98.268994444444559</v>
      </c>
      <c r="CJ73" s="120">
        <f t="shared" ref="CJ73:DY73" si="82">IF(AND(CI$1&lt;CJ$1, CJ$1&lt;=$F72),$U73*($F72-CJ$1)/($F72-$U$1),0)</f>
        <v>95.929256481481588</v>
      </c>
      <c r="CK73" s="120">
        <f t="shared" si="82"/>
        <v>93.589518518518631</v>
      </c>
      <c r="CL73" s="120">
        <f t="shared" si="82"/>
        <v>91.249780555555674</v>
      </c>
      <c r="CM73" s="120">
        <f t="shared" si="82"/>
        <v>88.910042592592703</v>
      </c>
      <c r="CN73" s="120">
        <f t="shared" si="82"/>
        <v>86.570304629629732</v>
      </c>
      <c r="CO73" s="120">
        <f t="shared" si="82"/>
        <v>84.230566666666775</v>
      </c>
      <c r="CP73" s="120">
        <f t="shared" si="82"/>
        <v>81.890828703703818</v>
      </c>
      <c r="CQ73" s="120">
        <f t="shared" si="82"/>
        <v>79.551090740740833</v>
      </c>
      <c r="CR73" s="120">
        <f t="shared" si="82"/>
        <v>77.211352777777861</v>
      </c>
      <c r="CS73" s="120">
        <f t="shared" si="82"/>
        <v>74.871614814814905</v>
      </c>
      <c r="CT73" s="120">
        <f t="shared" si="82"/>
        <v>72.531876851851948</v>
      </c>
      <c r="CU73" s="120">
        <f t="shared" si="82"/>
        <v>70.192138888888977</v>
      </c>
      <c r="CV73" s="120">
        <f t="shared" si="82"/>
        <v>67.852400925926005</v>
      </c>
      <c r="CW73" s="120">
        <f t="shared" si="82"/>
        <v>65.512662962963049</v>
      </c>
      <c r="CX73" s="120">
        <f t="shared" si="82"/>
        <v>63.172925000000077</v>
      </c>
      <c r="CY73" s="120">
        <f t="shared" si="82"/>
        <v>60.833187037037113</v>
      </c>
      <c r="CZ73" s="120">
        <f t="shared" si="82"/>
        <v>58.493449074074142</v>
      </c>
      <c r="DA73" s="120">
        <f t="shared" si="82"/>
        <v>56.153711111111178</v>
      </c>
      <c r="DB73" s="120">
        <f t="shared" si="82"/>
        <v>53.813973148148214</v>
      </c>
      <c r="DC73" s="120">
        <f t="shared" si="82"/>
        <v>51.47423518518525</v>
      </c>
      <c r="DD73" s="120">
        <f t="shared" si="82"/>
        <v>49.134497222222279</v>
      </c>
      <c r="DE73" s="120">
        <f t="shared" si="82"/>
        <v>46.794759259259315</v>
      </c>
      <c r="DF73" s="120">
        <f t="shared" si="82"/>
        <v>44.455021296296351</v>
      </c>
      <c r="DG73" s="120">
        <f t="shared" si="82"/>
        <v>42.115283333333387</v>
      </c>
      <c r="DH73" s="120">
        <f t="shared" si="82"/>
        <v>39.775545370370416</v>
      </c>
      <c r="DI73" s="120">
        <f t="shared" si="82"/>
        <v>37.435807407407452</v>
      </c>
      <c r="DJ73" s="120">
        <f t="shared" si="82"/>
        <v>35.096069444444488</v>
      </c>
      <c r="DK73" s="120">
        <f t="shared" si="82"/>
        <v>32.756331481481524</v>
      </c>
      <c r="DL73" s="120">
        <f t="shared" si="82"/>
        <v>30.416593518518557</v>
      </c>
      <c r="DM73" s="120">
        <f t="shared" si="82"/>
        <v>28.076855555555589</v>
      </c>
      <c r="DN73" s="120">
        <f t="shared" si="82"/>
        <v>25.737117592592625</v>
      </c>
      <c r="DO73" s="120">
        <f t="shared" si="82"/>
        <v>23.397379629629658</v>
      </c>
      <c r="DP73" s="120">
        <f t="shared" si="82"/>
        <v>21.057641666666694</v>
      </c>
      <c r="DQ73" s="120">
        <f t="shared" si="82"/>
        <v>18.717903703703726</v>
      </c>
      <c r="DR73" s="120">
        <f t="shared" si="82"/>
        <v>16.378165740740762</v>
      </c>
      <c r="DS73" s="120">
        <f t="shared" si="82"/>
        <v>14.038427777777795</v>
      </c>
      <c r="DT73" s="120">
        <f t="shared" si="82"/>
        <v>11.698689814814829</v>
      </c>
      <c r="DU73" s="120">
        <f t="shared" si="82"/>
        <v>9.3589518518518631</v>
      </c>
      <c r="DV73" s="120">
        <f t="shared" si="82"/>
        <v>7.0192138888888973</v>
      </c>
      <c r="DW73" s="120">
        <f t="shared" si="82"/>
        <v>4.6794759259259315</v>
      </c>
      <c r="DX73" s="120">
        <f t="shared" si="82"/>
        <v>2.3397379629629658</v>
      </c>
      <c r="DY73" s="120">
        <f t="shared" si="82"/>
        <v>0</v>
      </c>
    </row>
    <row r="74" spans="1:129" x14ac:dyDescent="0.45">
      <c r="A74" s="3"/>
      <c r="B74" s="2"/>
      <c r="C74" s="122" t="s">
        <v>266</v>
      </c>
      <c r="D74" s="17"/>
      <c r="E74" s="2"/>
      <c r="F74" s="2"/>
      <c r="G74" s="2"/>
      <c r="H74" s="2"/>
      <c r="I74" s="13"/>
      <c r="J74" s="58"/>
      <c r="K74" s="58"/>
      <c r="L74" s="58"/>
      <c r="M74" s="58"/>
      <c r="N74" s="58"/>
      <c r="O74" s="58"/>
      <c r="P74" s="58"/>
      <c r="Q74" s="58"/>
      <c r="R74" s="58"/>
      <c r="S74" s="58"/>
      <c r="T74" s="58"/>
      <c r="U74" s="95"/>
      <c r="V74" s="91"/>
      <c r="W74" s="91"/>
      <c r="X74" s="91"/>
      <c r="Y74" s="91"/>
      <c r="Z74" s="55"/>
      <c r="AA74" s="55"/>
      <c r="AB74" s="55"/>
      <c r="AC74" s="55"/>
      <c r="AD74" s="55"/>
      <c r="AE74" s="55"/>
      <c r="AF74" s="55"/>
      <c r="AG74" s="129">
        <f>'Plan Moyen Terme (PMT)'!D24-BAU_Liquidité_Dynamique!AG72</f>
        <v>-795.82960000000003</v>
      </c>
      <c r="AH74" s="124">
        <f>IF(AND(AG$1&lt;AH$1, AH$1&lt;=$F72),$AG74*($F72-AH$1)/($F72-$AG$1),0)</f>
        <v>-787.53970833333335</v>
      </c>
      <c r="AI74" s="124">
        <f>IF(AND(AH$1&lt;AI$1, AI$1&lt;=$F72),$AG74*($F72-AI$1)/($F72-$AG$1),0)</f>
        <v>-779.24981666666679</v>
      </c>
      <c r="AJ74" s="124">
        <f t="shared" ref="AJ74:CU74" si="83">IF(AND(AI$1&lt;AJ$1, AJ$1&lt;=$F72),$AG74*($F72-AJ$1)/($F72-$AG$1),0)</f>
        <v>-770.959925</v>
      </c>
      <c r="AK74" s="124">
        <f t="shared" si="83"/>
        <v>-762.67003333333332</v>
      </c>
      <c r="AL74" s="124">
        <f t="shared" si="83"/>
        <v>-754.38014166666665</v>
      </c>
      <c r="AM74" s="124">
        <f t="shared" si="83"/>
        <v>-746.09025000000008</v>
      </c>
      <c r="AN74" s="124">
        <f t="shared" si="83"/>
        <v>-737.80035833333341</v>
      </c>
      <c r="AO74" s="124">
        <f t="shared" si="83"/>
        <v>-729.51046666666662</v>
      </c>
      <c r="AP74" s="124">
        <f t="shared" si="83"/>
        <v>-721.22057499999994</v>
      </c>
      <c r="AQ74" s="124">
        <f t="shared" si="83"/>
        <v>-712.93068333333338</v>
      </c>
      <c r="AR74" s="124">
        <f t="shared" si="83"/>
        <v>-704.6407916666667</v>
      </c>
      <c r="AS74" s="124">
        <f t="shared" si="83"/>
        <v>-696.35090000000002</v>
      </c>
      <c r="AT74" s="124">
        <f t="shared" si="83"/>
        <v>-688.06100833333346</v>
      </c>
      <c r="AU74" s="124">
        <f t="shared" si="83"/>
        <v>-679.77111666666667</v>
      </c>
      <c r="AV74" s="124">
        <f t="shared" si="83"/>
        <v>-671.48122499999999</v>
      </c>
      <c r="AW74" s="124">
        <f t="shared" si="83"/>
        <v>-663.19133333333332</v>
      </c>
      <c r="AX74" s="124">
        <f t="shared" si="83"/>
        <v>-654.90144166666676</v>
      </c>
      <c r="AY74" s="124">
        <f t="shared" si="83"/>
        <v>-646.61154999999997</v>
      </c>
      <c r="AZ74" s="124">
        <f t="shared" si="83"/>
        <v>-638.3216583333334</v>
      </c>
      <c r="BA74" s="124">
        <f t="shared" si="83"/>
        <v>-630.03176666666661</v>
      </c>
      <c r="BB74" s="124">
        <f t="shared" si="83"/>
        <v>-621.74187500000005</v>
      </c>
      <c r="BC74" s="124">
        <f t="shared" si="83"/>
        <v>-613.45198333333337</v>
      </c>
      <c r="BD74" s="124">
        <f t="shared" si="83"/>
        <v>-605.1620916666667</v>
      </c>
      <c r="BE74" s="124">
        <f t="shared" si="83"/>
        <v>-596.87220000000002</v>
      </c>
      <c r="BF74" s="124">
        <f t="shared" si="83"/>
        <v>-588.58230833333334</v>
      </c>
      <c r="BG74" s="124">
        <f t="shared" si="83"/>
        <v>-580.29241666666667</v>
      </c>
      <c r="BH74" s="124">
        <f t="shared" si="83"/>
        <v>-572.00252499999999</v>
      </c>
      <c r="BI74" s="124">
        <f t="shared" si="83"/>
        <v>-563.71263333333343</v>
      </c>
      <c r="BJ74" s="124">
        <f t="shared" si="83"/>
        <v>-555.42274166666664</v>
      </c>
      <c r="BK74" s="124">
        <f t="shared" si="83"/>
        <v>-547.13285000000008</v>
      </c>
      <c r="BL74" s="124">
        <f t="shared" si="83"/>
        <v>-538.84295833333329</v>
      </c>
      <c r="BM74" s="124">
        <f t="shared" si="83"/>
        <v>-530.55306666666672</v>
      </c>
      <c r="BN74" s="124">
        <f t="shared" si="83"/>
        <v>-522.26317500000005</v>
      </c>
      <c r="BO74" s="124">
        <f t="shared" si="83"/>
        <v>-513.97328333333337</v>
      </c>
      <c r="BP74" s="124">
        <f t="shared" si="83"/>
        <v>-505.68339166666669</v>
      </c>
      <c r="BQ74" s="124">
        <f t="shared" si="83"/>
        <v>-497.39349999999996</v>
      </c>
      <c r="BR74" s="124">
        <f t="shared" si="83"/>
        <v>-489.10360833333334</v>
      </c>
      <c r="BS74" s="124">
        <f t="shared" si="83"/>
        <v>-480.81371666666672</v>
      </c>
      <c r="BT74" s="124">
        <f t="shared" si="83"/>
        <v>-472.52382499999999</v>
      </c>
      <c r="BU74" s="124">
        <f t="shared" si="83"/>
        <v>-464.23393333333337</v>
      </c>
      <c r="BV74" s="124">
        <f t="shared" si="83"/>
        <v>-455.94404166666669</v>
      </c>
      <c r="BW74" s="124">
        <f t="shared" si="83"/>
        <v>-447.65415000000002</v>
      </c>
      <c r="BX74" s="124">
        <f t="shared" si="83"/>
        <v>-439.36425833333334</v>
      </c>
      <c r="BY74" s="124">
        <f t="shared" si="83"/>
        <v>-431.07436666666672</v>
      </c>
      <c r="BZ74" s="124">
        <f t="shared" si="83"/>
        <v>-422.78447499999999</v>
      </c>
      <c r="CA74" s="124">
        <f t="shared" si="83"/>
        <v>-414.49458333333337</v>
      </c>
      <c r="CB74" s="124">
        <f t="shared" si="83"/>
        <v>-406.20469166666663</v>
      </c>
      <c r="CC74" s="124">
        <f t="shared" si="83"/>
        <v>-397.91480000000001</v>
      </c>
      <c r="CD74" s="124">
        <f t="shared" si="83"/>
        <v>-389.62490833333339</v>
      </c>
      <c r="CE74" s="124">
        <f t="shared" si="83"/>
        <v>-381.33501666666666</v>
      </c>
      <c r="CF74" s="124">
        <f t="shared" si="83"/>
        <v>-373.04512500000004</v>
      </c>
      <c r="CG74" s="124">
        <f t="shared" si="83"/>
        <v>-364.75523333333331</v>
      </c>
      <c r="CH74" s="124">
        <f t="shared" si="83"/>
        <v>-356.46534166666669</v>
      </c>
      <c r="CI74" s="124">
        <f t="shared" si="83"/>
        <v>-348.17545000000001</v>
      </c>
      <c r="CJ74" s="124">
        <f t="shared" si="83"/>
        <v>-339.88555833333334</v>
      </c>
      <c r="CK74" s="124">
        <f t="shared" si="83"/>
        <v>-331.59566666666666</v>
      </c>
      <c r="CL74" s="124">
        <f t="shared" si="83"/>
        <v>-323.30577499999998</v>
      </c>
      <c r="CM74" s="124">
        <f t="shared" si="83"/>
        <v>-315.01588333333331</v>
      </c>
      <c r="CN74" s="124">
        <f t="shared" si="83"/>
        <v>-306.72599166666669</v>
      </c>
      <c r="CO74" s="124">
        <f t="shared" si="83"/>
        <v>-298.43610000000001</v>
      </c>
      <c r="CP74" s="124">
        <f t="shared" si="83"/>
        <v>-290.14620833333333</v>
      </c>
      <c r="CQ74" s="124">
        <f t="shared" si="83"/>
        <v>-281.85631666666671</v>
      </c>
      <c r="CR74" s="124">
        <f t="shared" si="83"/>
        <v>-273.56642500000004</v>
      </c>
      <c r="CS74" s="124">
        <f t="shared" si="83"/>
        <v>-265.27653333333336</v>
      </c>
      <c r="CT74" s="124">
        <f t="shared" si="83"/>
        <v>-256.98664166666669</v>
      </c>
      <c r="CU74" s="124">
        <f t="shared" si="83"/>
        <v>-248.69674999999998</v>
      </c>
      <c r="CV74" s="124">
        <f t="shared" ref="CV74:DY74" si="84">IF(AND(CU$1&lt;CV$1, CV$1&lt;=$F72),$AG74*($F72-CV$1)/($F72-$AG$1),0)</f>
        <v>-240.40685833333336</v>
      </c>
      <c r="CW74" s="124">
        <f t="shared" si="84"/>
        <v>-232.11696666666668</v>
      </c>
      <c r="CX74" s="124">
        <f t="shared" si="84"/>
        <v>-223.82707500000001</v>
      </c>
      <c r="CY74" s="124">
        <f t="shared" si="84"/>
        <v>-215.53718333333336</v>
      </c>
      <c r="CZ74" s="124">
        <f t="shared" si="84"/>
        <v>-207.24729166666668</v>
      </c>
      <c r="DA74" s="124">
        <f t="shared" si="84"/>
        <v>-198.95740000000001</v>
      </c>
      <c r="DB74" s="124">
        <f t="shared" si="84"/>
        <v>-190.66750833333333</v>
      </c>
      <c r="DC74" s="124">
        <f t="shared" si="84"/>
        <v>-182.37761666666665</v>
      </c>
      <c r="DD74" s="124">
        <f t="shared" si="84"/>
        <v>-174.08772500000001</v>
      </c>
      <c r="DE74" s="124">
        <f t="shared" si="84"/>
        <v>-165.79783333333333</v>
      </c>
      <c r="DF74" s="124">
        <f t="shared" si="84"/>
        <v>-157.50794166666665</v>
      </c>
      <c r="DG74" s="124">
        <f t="shared" si="84"/>
        <v>-149.21805000000001</v>
      </c>
      <c r="DH74" s="124">
        <f t="shared" si="84"/>
        <v>-140.92815833333336</v>
      </c>
      <c r="DI74" s="124">
        <f t="shared" si="84"/>
        <v>-132.63826666666668</v>
      </c>
      <c r="DJ74" s="124">
        <f t="shared" si="84"/>
        <v>-124.34837499999999</v>
      </c>
      <c r="DK74" s="124">
        <f t="shared" si="84"/>
        <v>-116.05848333333334</v>
      </c>
      <c r="DL74" s="124">
        <f t="shared" si="84"/>
        <v>-107.76859166666668</v>
      </c>
      <c r="DM74" s="124">
        <f t="shared" si="84"/>
        <v>-99.478700000000003</v>
      </c>
      <c r="DN74" s="124">
        <f t="shared" si="84"/>
        <v>-91.188808333333327</v>
      </c>
      <c r="DO74" s="124">
        <f t="shared" si="84"/>
        <v>-82.898916666666665</v>
      </c>
      <c r="DP74" s="124">
        <f t="shared" si="84"/>
        <v>-74.609025000000003</v>
      </c>
      <c r="DQ74" s="124">
        <f t="shared" si="84"/>
        <v>-66.31913333333334</v>
      </c>
      <c r="DR74" s="124">
        <f t="shared" si="84"/>
        <v>-58.029241666666671</v>
      </c>
      <c r="DS74" s="124">
        <f t="shared" si="84"/>
        <v>-49.739350000000002</v>
      </c>
      <c r="DT74" s="124">
        <f t="shared" si="84"/>
        <v>-41.449458333333332</v>
      </c>
      <c r="DU74" s="124">
        <f t="shared" si="84"/>
        <v>-33.15956666666667</v>
      </c>
      <c r="DV74" s="124">
        <f t="shared" si="84"/>
        <v>-24.869675000000001</v>
      </c>
      <c r="DW74" s="124">
        <f t="shared" si="84"/>
        <v>-16.579783333333335</v>
      </c>
      <c r="DX74" s="124">
        <f t="shared" si="84"/>
        <v>-8.2898916666666675</v>
      </c>
      <c r="DY74" s="124">
        <f t="shared" si="84"/>
        <v>0</v>
      </c>
    </row>
    <row r="75" spans="1:129" x14ac:dyDescent="0.45">
      <c r="A75" s="3"/>
      <c r="B75" s="2"/>
      <c r="C75" s="125" t="s">
        <v>267</v>
      </c>
      <c r="D75" s="17"/>
      <c r="E75" s="2"/>
      <c r="F75" s="2"/>
      <c r="G75" s="2"/>
      <c r="H75" s="2"/>
      <c r="I75" s="13"/>
      <c r="J75" s="58"/>
      <c r="K75" s="58"/>
      <c r="L75" s="58"/>
      <c r="M75" s="58"/>
      <c r="N75" s="58"/>
      <c r="O75" s="58"/>
      <c r="P75" s="58"/>
      <c r="Q75" s="58"/>
      <c r="R75" s="58"/>
      <c r="S75" s="58"/>
      <c r="T75" s="58"/>
      <c r="U75" s="96"/>
      <c r="V75" s="55"/>
      <c r="W75" s="55"/>
      <c r="X75" s="55"/>
      <c r="Y75" s="55"/>
      <c r="Z75" s="55"/>
      <c r="AA75" s="55"/>
      <c r="AB75" s="55"/>
      <c r="AC75" s="55"/>
      <c r="AD75" s="55"/>
      <c r="AE75" s="55"/>
      <c r="AF75" s="55"/>
      <c r="AG75" s="102"/>
      <c r="AH75" s="91"/>
      <c r="AI75" s="91"/>
      <c r="AJ75" s="91"/>
      <c r="AK75" s="55"/>
      <c r="AL75" s="55"/>
      <c r="AM75" s="55"/>
      <c r="AN75" s="55"/>
      <c r="AO75" s="55"/>
      <c r="AP75" s="55"/>
      <c r="AQ75" s="55"/>
      <c r="AR75" s="55"/>
      <c r="AS75" s="130">
        <f>'Plan Moyen Terme (PMT)'!E24-BAU_Liquidité_Dynamique!AS72</f>
        <v>38.649100000000089</v>
      </c>
      <c r="AT75" s="126">
        <f>IF(AND(AS$1&lt;AT$1, AT$1&lt;=$F72),$AS75*($F72-AT$1)/($F72-$AS$1),0)</f>
        <v>38.188991666666752</v>
      </c>
      <c r="AU75" s="126">
        <f t="shared" ref="AU75:DF75" si="85">IF(AND(AT$1&lt;AU$1, AU$1&lt;=$F72),$AS75*($F72-AU$1)/($F72-$AS$1),0)</f>
        <v>37.728883333333421</v>
      </c>
      <c r="AV75" s="126">
        <f t="shared" si="85"/>
        <v>37.268775000000083</v>
      </c>
      <c r="AW75" s="126">
        <f t="shared" si="85"/>
        <v>36.808666666666753</v>
      </c>
      <c r="AX75" s="126">
        <f t="shared" si="85"/>
        <v>36.348558333333415</v>
      </c>
      <c r="AY75" s="126">
        <f t="shared" si="85"/>
        <v>35.888450000000084</v>
      </c>
      <c r="AZ75" s="126">
        <f t="shared" si="85"/>
        <v>35.428341666666746</v>
      </c>
      <c r="BA75" s="126">
        <f t="shared" si="85"/>
        <v>34.968233333333416</v>
      </c>
      <c r="BB75" s="126">
        <f t="shared" si="85"/>
        <v>34.508125000000078</v>
      </c>
      <c r="BC75" s="126">
        <f t="shared" si="85"/>
        <v>34.048016666666747</v>
      </c>
      <c r="BD75" s="126">
        <f t="shared" si="85"/>
        <v>33.587908333333409</v>
      </c>
      <c r="BE75" s="126">
        <f t="shared" si="85"/>
        <v>33.127800000000079</v>
      </c>
      <c r="BF75" s="126">
        <f t="shared" si="85"/>
        <v>32.667691666666741</v>
      </c>
      <c r="BG75" s="126">
        <f t="shared" si="85"/>
        <v>32.20758333333341</v>
      </c>
      <c r="BH75" s="126">
        <f t="shared" si="85"/>
        <v>31.747475000000072</v>
      </c>
      <c r="BI75" s="126">
        <f t="shared" si="85"/>
        <v>31.287366666666738</v>
      </c>
      <c r="BJ75" s="126">
        <f t="shared" si="85"/>
        <v>30.827258333333404</v>
      </c>
      <c r="BK75" s="126">
        <f t="shared" si="85"/>
        <v>30.36715000000007</v>
      </c>
      <c r="BL75" s="126">
        <f t="shared" si="85"/>
        <v>29.907041666666736</v>
      </c>
      <c r="BM75" s="126">
        <f t="shared" si="85"/>
        <v>29.446933333333401</v>
      </c>
      <c r="BN75" s="126">
        <f t="shared" si="85"/>
        <v>28.986825000000067</v>
      </c>
      <c r="BO75" s="126">
        <f t="shared" si="85"/>
        <v>28.526716666666733</v>
      </c>
      <c r="BP75" s="126">
        <f t="shared" si="85"/>
        <v>28.066608333333399</v>
      </c>
      <c r="BQ75" s="126">
        <f t="shared" si="85"/>
        <v>27.606500000000064</v>
      </c>
      <c r="BR75" s="126">
        <f t="shared" si="85"/>
        <v>27.14639166666673</v>
      </c>
      <c r="BS75" s="126">
        <f t="shared" si="85"/>
        <v>26.686283333333396</v>
      </c>
      <c r="BT75" s="126">
        <f t="shared" si="85"/>
        <v>26.226175000000062</v>
      </c>
      <c r="BU75" s="126">
        <f t="shared" si="85"/>
        <v>25.766066666666728</v>
      </c>
      <c r="BV75" s="126">
        <f t="shared" si="85"/>
        <v>25.305958333333393</v>
      </c>
      <c r="BW75" s="126">
        <f t="shared" si="85"/>
        <v>24.845850000000059</v>
      </c>
      <c r="BX75" s="126">
        <f t="shared" si="85"/>
        <v>24.385741666666725</v>
      </c>
      <c r="BY75" s="126">
        <f t="shared" si="85"/>
        <v>23.925633333333387</v>
      </c>
      <c r="BZ75" s="126">
        <f t="shared" si="85"/>
        <v>23.465525000000053</v>
      </c>
      <c r="CA75" s="126">
        <f t="shared" si="85"/>
        <v>23.005416666666719</v>
      </c>
      <c r="CB75" s="126">
        <f t="shared" si="85"/>
        <v>22.545308333333384</v>
      </c>
      <c r="CC75" s="126">
        <f t="shared" si="85"/>
        <v>22.08520000000005</v>
      </c>
      <c r="CD75" s="126">
        <f t="shared" si="85"/>
        <v>21.625091666666716</v>
      </c>
      <c r="CE75" s="126">
        <f t="shared" si="85"/>
        <v>21.164983333333382</v>
      </c>
      <c r="CF75" s="126">
        <f t="shared" si="85"/>
        <v>20.704875000000047</v>
      </c>
      <c r="CG75" s="126">
        <f t="shared" si="85"/>
        <v>20.244766666666713</v>
      </c>
      <c r="CH75" s="126">
        <f t="shared" si="85"/>
        <v>19.784658333333379</v>
      </c>
      <c r="CI75" s="126">
        <f t="shared" si="85"/>
        <v>19.324550000000045</v>
      </c>
      <c r="CJ75" s="126">
        <f t="shared" si="85"/>
        <v>18.864441666666711</v>
      </c>
      <c r="CK75" s="126">
        <f t="shared" si="85"/>
        <v>18.404333333333376</v>
      </c>
      <c r="CL75" s="126">
        <f t="shared" si="85"/>
        <v>17.944225000000042</v>
      </c>
      <c r="CM75" s="126">
        <f t="shared" si="85"/>
        <v>17.484116666666708</v>
      </c>
      <c r="CN75" s="126">
        <f t="shared" si="85"/>
        <v>17.024008333333374</v>
      </c>
      <c r="CO75" s="126">
        <f t="shared" si="85"/>
        <v>16.563900000000039</v>
      </c>
      <c r="CP75" s="126">
        <f t="shared" si="85"/>
        <v>16.103791666666705</v>
      </c>
      <c r="CQ75" s="126">
        <f t="shared" si="85"/>
        <v>15.643683333333369</v>
      </c>
      <c r="CR75" s="126">
        <f t="shared" si="85"/>
        <v>15.183575000000035</v>
      </c>
      <c r="CS75" s="126">
        <f t="shared" si="85"/>
        <v>14.723466666666701</v>
      </c>
      <c r="CT75" s="126">
        <f t="shared" si="85"/>
        <v>14.263358333333366</v>
      </c>
      <c r="CU75" s="126">
        <f t="shared" si="85"/>
        <v>13.803250000000032</v>
      </c>
      <c r="CV75" s="126">
        <f t="shared" si="85"/>
        <v>13.343141666666698</v>
      </c>
      <c r="CW75" s="126">
        <f t="shared" si="85"/>
        <v>12.883033333333364</v>
      </c>
      <c r="CX75" s="126">
        <f t="shared" si="85"/>
        <v>12.42292500000003</v>
      </c>
      <c r="CY75" s="126">
        <f t="shared" si="85"/>
        <v>11.962816666666694</v>
      </c>
      <c r="CZ75" s="126">
        <f t="shared" si="85"/>
        <v>11.502708333333359</v>
      </c>
      <c r="DA75" s="126">
        <f t="shared" si="85"/>
        <v>11.042600000000025</v>
      </c>
      <c r="DB75" s="126">
        <f t="shared" si="85"/>
        <v>10.582491666666691</v>
      </c>
      <c r="DC75" s="126">
        <f t="shared" si="85"/>
        <v>10.122383333333357</v>
      </c>
      <c r="DD75" s="126">
        <f t="shared" si="85"/>
        <v>9.6622750000000224</v>
      </c>
      <c r="DE75" s="126">
        <f t="shared" si="85"/>
        <v>9.2021666666666881</v>
      </c>
      <c r="DF75" s="126">
        <f t="shared" si="85"/>
        <v>8.7420583333333539</v>
      </c>
      <c r="DG75" s="126">
        <f t="shared" ref="DG75:DY75" si="86">IF(AND(DF$1&lt;DG$1, DG$1&lt;=$F72),$AS75*($F72-DG$1)/($F72-$AS$1),0)</f>
        <v>8.2819500000000197</v>
      </c>
      <c r="DH75" s="126">
        <f t="shared" si="86"/>
        <v>7.8218416666666846</v>
      </c>
      <c r="DI75" s="126">
        <f t="shared" si="86"/>
        <v>7.3617333333333503</v>
      </c>
      <c r="DJ75" s="126">
        <f t="shared" si="86"/>
        <v>6.9016250000000161</v>
      </c>
      <c r="DK75" s="126">
        <f t="shared" si="86"/>
        <v>6.4415166666666819</v>
      </c>
      <c r="DL75" s="126">
        <f t="shared" si="86"/>
        <v>5.9814083333333468</v>
      </c>
      <c r="DM75" s="126">
        <f t="shared" si="86"/>
        <v>5.5213000000000125</v>
      </c>
      <c r="DN75" s="126">
        <f t="shared" si="86"/>
        <v>5.0611916666666783</v>
      </c>
      <c r="DO75" s="126">
        <f t="shared" si="86"/>
        <v>4.6010833333333441</v>
      </c>
      <c r="DP75" s="126">
        <f t="shared" si="86"/>
        <v>4.1409750000000098</v>
      </c>
      <c r="DQ75" s="126">
        <f t="shared" si="86"/>
        <v>3.6808666666666752</v>
      </c>
      <c r="DR75" s="126">
        <f t="shared" si="86"/>
        <v>3.2207583333333409</v>
      </c>
      <c r="DS75" s="126">
        <f t="shared" si="86"/>
        <v>2.7606500000000063</v>
      </c>
      <c r="DT75" s="126">
        <f t="shared" si="86"/>
        <v>2.300541666666672</v>
      </c>
      <c r="DU75" s="126">
        <f t="shared" si="86"/>
        <v>1.8404333333333376</v>
      </c>
      <c r="DV75" s="126">
        <f t="shared" si="86"/>
        <v>1.3803250000000031</v>
      </c>
      <c r="DW75" s="126">
        <f t="shared" si="86"/>
        <v>0.92021666666666879</v>
      </c>
      <c r="DX75" s="126">
        <f t="shared" si="86"/>
        <v>0.4601083333333344</v>
      </c>
      <c r="DY75" s="126">
        <f t="shared" si="86"/>
        <v>0</v>
      </c>
    </row>
    <row r="76" spans="1:129" x14ac:dyDescent="0.45">
      <c r="A76" s="3">
        <v>46022</v>
      </c>
      <c r="B76" s="2" t="s">
        <v>19</v>
      </c>
      <c r="C76" s="4" t="s">
        <v>32</v>
      </c>
      <c r="D76" s="17">
        <v>3.5000000000000003E-2</v>
      </c>
      <c r="E76" s="2" t="s">
        <v>45</v>
      </c>
      <c r="F76" s="2">
        <v>72</v>
      </c>
      <c r="G76" s="2" t="s">
        <v>45</v>
      </c>
      <c r="H76" s="2">
        <v>72</v>
      </c>
      <c r="I76" s="59">
        <v>130</v>
      </c>
      <c r="J76" s="58">
        <f t="shared" ref="J76:BU76" si="87">IF(J$1&lt;$F76,$I76,0)</f>
        <v>130</v>
      </c>
      <c r="K76" s="58">
        <f t="shared" si="87"/>
        <v>130</v>
      </c>
      <c r="L76" s="58">
        <f t="shared" si="87"/>
        <v>130</v>
      </c>
      <c r="M76" s="58">
        <f t="shared" si="87"/>
        <v>130</v>
      </c>
      <c r="N76" s="58">
        <f t="shared" si="87"/>
        <v>130</v>
      </c>
      <c r="O76" s="58">
        <f t="shared" si="87"/>
        <v>130</v>
      </c>
      <c r="P76" s="58">
        <f t="shared" si="87"/>
        <v>130</v>
      </c>
      <c r="Q76" s="58">
        <f t="shared" si="87"/>
        <v>130</v>
      </c>
      <c r="R76" s="58">
        <f t="shared" si="87"/>
        <v>130</v>
      </c>
      <c r="S76" s="58">
        <f t="shared" si="87"/>
        <v>130</v>
      </c>
      <c r="T76" s="58">
        <f t="shared" si="87"/>
        <v>130</v>
      </c>
      <c r="U76" s="97">
        <f t="shared" si="87"/>
        <v>130</v>
      </c>
      <c r="V76" s="58">
        <f t="shared" si="87"/>
        <v>130</v>
      </c>
      <c r="W76" s="58">
        <f t="shared" si="87"/>
        <v>130</v>
      </c>
      <c r="X76" s="58">
        <f t="shared" si="87"/>
        <v>130</v>
      </c>
      <c r="Y76" s="58">
        <f t="shared" si="87"/>
        <v>130</v>
      </c>
      <c r="Z76" s="58">
        <f t="shared" si="87"/>
        <v>130</v>
      </c>
      <c r="AA76" s="58">
        <f t="shared" si="87"/>
        <v>130</v>
      </c>
      <c r="AB76" s="58">
        <f t="shared" si="87"/>
        <v>130</v>
      </c>
      <c r="AC76" s="58">
        <f t="shared" si="87"/>
        <v>130</v>
      </c>
      <c r="AD76" s="58">
        <f t="shared" si="87"/>
        <v>130</v>
      </c>
      <c r="AE76" s="58">
        <f t="shared" si="87"/>
        <v>130</v>
      </c>
      <c r="AF76" s="58">
        <f t="shared" si="87"/>
        <v>130</v>
      </c>
      <c r="AG76" s="103">
        <f t="shared" si="87"/>
        <v>130</v>
      </c>
      <c r="AH76" s="58">
        <f t="shared" si="87"/>
        <v>130</v>
      </c>
      <c r="AI76" s="58">
        <f t="shared" si="87"/>
        <v>130</v>
      </c>
      <c r="AJ76" s="58">
        <f t="shared" si="87"/>
        <v>130</v>
      </c>
      <c r="AK76" s="58">
        <f t="shared" si="87"/>
        <v>130</v>
      </c>
      <c r="AL76" s="58">
        <f t="shared" si="87"/>
        <v>130</v>
      </c>
      <c r="AM76" s="58">
        <f t="shared" si="87"/>
        <v>130</v>
      </c>
      <c r="AN76" s="58">
        <f t="shared" si="87"/>
        <v>130</v>
      </c>
      <c r="AO76" s="58">
        <f t="shared" si="87"/>
        <v>130</v>
      </c>
      <c r="AP76" s="58">
        <f t="shared" si="87"/>
        <v>130</v>
      </c>
      <c r="AQ76" s="58">
        <f t="shared" si="87"/>
        <v>130</v>
      </c>
      <c r="AR76" s="58">
        <f t="shared" si="87"/>
        <v>130</v>
      </c>
      <c r="AS76" s="109">
        <f t="shared" si="87"/>
        <v>130</v>
      </c>
      <c r="AT76" s="58">
        <f t="shared" si="87"/>
        <v>130</v>
      </c>
      <c r="AU76" s="58">
        <f t="shared" si="87"/>
        <v>130</v>
      </c>
      <c r="AV76" s="58">
        <f t="shared" si="87"/>
        <v>130</v>
      </c>
      <c r="AW76" s="58">
        <f t="shared" si="87"/>
        <v>130</v>
      </c>
      <c r="AX76" s="58">
        <f t="shared" si="87"/>
        <v>130</v>
      </c>
      <c r="AY76" s="58">
        <f t="shared" si="87"/>
        <v>130</v>
      </c>
      <c r="AZ76" s="58">
        <f t="shared" si="87"/>
        <v>130</v>
      </c>
      <c r="BA76" s="58">
        <f t="shared" si="87"/>
        <v>130</v>
      </c>
      <c r="BB76" s="58">
        <f t="shared" si="87"/>
        <v>130</v>
      </c>
      <c r="BC76" s="58">
        <f t="shared" si="87"/>
        <v>130</v>
      </c>
      <c r="BD76" s="58">
        <f t="shared" si="87"/>
        <v>130</v>
      </c>
      <c r="BE76" s="58">
        <f t="shared" si="87"/>
        <v>130</v>
      </c>
      <c r="BF76" s="58">
        <f t="shared" si="87"/>
        <v>130</v>
      </c>
      <c r="BG76" s="58">
        <f t="shared" si="87"/>
        <v>130</v>
      </c>
      <c r="BH76" s="58">
        <f t="shared" si="87"/>
        <v>130</v>
      </c>
      <c r="BI76" s="58">
        <f t="shared" si="87"/>
        <v>130</v>
      </c>
      <c r="BJ76" s="58">
        <f t="shared" si="87"/>
        <v>130</v>
      </c>
      <c r="BK76" s="58">
        <f t="shared" si="87"/>
        <v>130</v>
      </c>
      <c r="BL76" s="58">
        <f t="shared" si="87"/>
        <v>130</v>
      </c>
      <c r="BM76" s="58">
        <f t="shared" si="87"/>
        <v>130</v>
      </c>
      <c r="BN76" s="58">
        <f t="shared" si="87"/>
        <v>130</v>
      </c>
      <c r="BO76" s="58">
        <f t="shared" si="87"/>
        <v>130</v>
      </c>
      <c r="BP76" s="58">
        <f t="shared" si="87"/>
        <v>130</v>
      </c>
      <c r="BQ76" s="58">
        <f t="shared" si="87"/>
        <v>130</v>
      </c>
      <c r="BR76" s="58">
        <f t="shared" si="87"/>
        <v>130</v>
      </c>
      <c r="BS76" s="58">
        <f t="shared" si="87"/>
        <v>130</v>
      </c>
      <c r="BT76" s="58">
        <f t="shared" si="87"/>
        <v>130</v>
      </c>
      <c r="BU76" s="58">
        <f t="shared" si="87"/>
        <v>130</v>
      </c>
      <c r="BV76" s="58">
        <f t="shared" ref="BV76:DY76" si="88">IF(BV$1&lt;$F76,$I76,0)</f>
        <v>130</v>
      </c>
      <c r="BW76" s="58">
        <f t="shared" si="88"/>
        <v>130</v>
      </c>
      <c r="BX76" s="58">
        <f t="shared" si="88"/>
        <v>130</v>
      </c>
      <c r="BY76" s="58">
        <f t="shared" si="88"/>
        <v>130</v>
      </c>
      <c r="BZ76" s="58">
        <f t="shared" si="88"/>
        <v>130</v>
      </c>
      <c r="CA76" s="58">
        <f t="shared" si="88"/>
        <v>130</v>
      </c>
      <c r="CB76" s="58">
        <f t="shared" si="88"/>
        <v>130</v>
      </c>
      <c r="CC76" s="58">
        <f t="shared" si="88"/>
        <v>0</v>
      </c>
      <c r="CD76" s="58">
        <f t="shared" si="88"/>
        <v>0</v>
      </c>
      <c r="CE76" s="58">
        <f t="shared" si="88"/>
        <v>0</v>
      </c>
      <c r="CF76" s="58">
        <f t="shared" si="88"/>
        <v>0</v>
      </c>
      <c r="CG76" s="58">
        <f t="shared" si="88"/>
        <v>0</v>
      </c>
      <c r="CH76" s="58">
        <f t="shared" si="88"/>
        <v>0</v>
      </c>
      <c r="CI76" s="58">
        <f t="shared" si="88"/>
        <v>0</v>
      </c>
      <c r="CJ76" s="58">
        <f t="shared" si="88"/>
        <v>0</v>
      </c>
      <c r="CK76" s="58">
        <f t="shared" si="88"/>
        <v>0</v>
      </c>
      <c r="CL76" s="58">
        <f t="shared" si="88"/>
        <v>0</v>
      </c>
      <c r="CM76" s="58">
        <f t="shared" si="88"/>
        <v>0</v>
      </c>
      <c r="CN76" s="58">
        <f t="shared" si="88"/>
        <v>0</v>
      </c>
      <c r="CO76" s="58">
        <f t="shared" si="88"/>
        <v>0</v>
      </c>
      <c r="CP76" s="58">
        <f t="shared" si="88"/>
        <v>0</v>
      </c>
      <c r="CQ76" s="58">
        <f t="shared" si="88"/>
        <v>0</v>
      </c>
      <c r="CR76" s="58">
        <f t="shared" si="88"/>
        <v>0</v>
      </c>
      <c r="CS76" s="58">
        <f t="shared" si="88"/>
        <v>0</v>
      </c>
      <c r="CT76" s="58">
        <f t="shared" si="88"/>
        <v>0</v>
      </c>
      <c r="CU76" s="58">
        <f t="shared" si="88"/>
        <v>0</v>
      </c>
      <c r="CV76" s="58">
        <f t="shared" si="88"/>
        <v>0</v>
      </c>
      <c r="CW76" s="58">
        <f t="shared" si="88"/>
        <v>0</v>
      </c>
      <c r="CX76" s="58">
        <f t="shared" si="88"/>
        <v>0</v>
      </c>
      <c r="CY76" s="58">
        <f t="shared" si="88"/>
        <v>0</v>
      </c>
      <c r="CZ76" s="58">
        <f t="shared" si="88"/>
        <v>0</v>
      </c>
      <c r="DA76" s="58">
        <f t="shared" si="88"/>
        <v>0</v>
      </c>
      <c r="DB76" s="58">
        <f t="shared" si="88"/>
        <v>0</v>
      </c>
      <c r="DC76" s="58">
        <f t="shared" si="88"/>
        <v>0</v>
      </c>
      <c r="DD76" s="58">
        <f t="shared" si="88"/>
        <v>0</v>
      </c>
      <c r="DE76" s="58">
        <f t="shared" si="88"/>
        <v>0</v>
      </c>
      <c r="DF76" s="58">
        <f t="shared" si="88"/>
        <v>0</v>
      </c>
      <c r="DG76" s="58">
        <f t="shared" si="88"/>
        <v>0</v>
      </c>
      <c r="DH76" s="58">
        <f t="shared" si="88"/>
        <v>0</v>
      </c>
      <c r="DI76" s="58">
        <f t="shared" si="88"/>
        <v>0</v>
      </c>
      <c r="DJ76" s="58">
        <f t="shared" si="88"/>
        <v>0</v>
      </c>
      <c r="DK76" s="58">
        <f t="shared" si="88"/>
        <v>0</v>
      </c>
      <c r="DL76" s="58">
        <f t="shared" si="88"/>
        <v>0</v>
      </c>
      <c r="DM76" s="58">
        <f t="shared" si="88"/>
        <v>0</v>
      </c>
      <c r="DN76" s="58">
        <f t="shared" si="88"/>
        <v>0</v>
      </c>
      <c r="DO76" s="58">
        <f t="shared" si="88"/>
        <v>0</v>
      </c>
      <c r="DP76" s="58">
        <f t="shared" si="88"/>
        <v>0</v>
      </c>
      <c r="DQ76" s="58">
        <f t="shared" si="88"/>
        <v>0</v>
      </c>
      <c r="DR76" s="58">
        <f t="shared" si="88"/>
        <v>0</v>
      </c>
      <c r="DS76" s="58">
        <f t="shared" si="88"/>
        <v>0</v>
      </c>
      <c r="DT76" s="58">
        <f t="shared" si="88"/>
        <v>0</v>
      </c>
      <c r="DU76" s="58">
        <f t="shared" si="88"/>
        <v>0</v>
      </c>
      <c r="DV76" s="58">
        <f t="shared" si="88"/>
        <v>0</v>
      </c>
      <c r="DW76" s="58">
        <f t="shared" si="88"/>
        <v>0</v>
      </c>
      <c r="DX76" s="58">
        <f t="shared" si="88"/>
        <v>0</v>
      </c>
      <c r="DY76" s="58">
        <f t="shared" si="88"/>
        <v>0</v>
      </c>
    </row>
    <row r="77" spans="1:129" x14ac:dyDescent="0.45">
      <c r="A77" s="3"/>
      <c r="B77" s="2"/>
      <c r="C77" s="121" t="s">
        <v>265</v>
      </c>
      <c r="D77" s="17"/>
      <c r="E77" s="2"/>
      <c r="F77" s="2"/>
      <c r="G77" s="2"/>
      <c r="H77" s="2"/>
      <c r="I77" s="13"/>
      <c r="J77" s="58"/>
      <c r="K77" s="58"/>
      <c r="L77" s="58"/>
      <c r="M77" s="58"/>
      <c r="N77" s="58"/>
      <c r="O77" s="58"/>
      <c r="P77" s="58"/>
      <c r="Q77" s="58"/>
      <c r="R77" s="58"/>
      <c r="S77" s="58"/>
      <c r="T77" s="58"/>
      <c r="U77" s="97">
        <f>'Plan Moyen Terme (PMT)'!C25-BAU_Liquidité_Dynamique!U76</f>
        <v>6344.1510000000126</v>
      </c>
      <c r="V77" s="127">
        <f>IF(AND($U$1&lt;V$1, V$1&lt;$F$76),$U$77,0)</f>
        <v>6344.1510000000126</v>
      </c>
      <c r="W77" s="127">
        <f t="shared" ref="W77:CC77" si="89">IF(AND($U$1&lt;W$1, W$1&lt;$F$76),$U$77,0)</f>
        <v>6344.1510000000126</v>
      </c>
      <c r="X77" s="127">
        <f t="shared" si="89"/>
        <v>6344.1510000000126</v>
      </c>
      <c r="Y77" s="127">
        <f t="shared" si="89"/>
        <v>6344.1510000000126</v>
      </c>
      <c r="Z77" s="127">
        <f t="shared" si="89"/>
        <v>6344.1510000000126</v>
      </c>
      <c r="AA77" s="127">
        <f t="shared" si="89"/>
        <v>6344.1510000000126</v>
      </c>
      <c r="AB77" s="127">
        <f t="shared" si="89"/>
        <v>6344.1510000000126</v>
      </c>
      <c r="AC77" s="127">
        <f t="shared" si="89"/>
        <v>6344.1510000000126</v>
      </c>
      <c r="AD77" s="127">
        <f t="shared" si="89"/>
        <v>6344.1510000000126</v>
      </c>
      <c r="AE77" s="127">
        <f t="shared" si="89"/>
        <v>6344.1510000000126</v>
      </c>
      <c r="AF77" s="127">
        <f t="shared" si="89"/>
        <v>6344.1510000000126</v>
      </c>
      <c r="AG77" s="127">
        <f t="shared" si="89"/>
        <v>6344.1510000000126</v>
      </c>
      <c r="AH77" s="127">
        <f t="shared" si="89"/>
        <v>6344.1510000000126</v>
      </c>
      <c r="AI77" s="127">
        <f t="shared" si="89"/>
        <v>6344.1510000000126</v>
      </c>
      <c r="AJ77" s="127">
        <f t="shared" si="89"/>
        <v>6344.1510000000126</v>
      </c>
      <c r="AK77" s="127">
        <f t="shared" si="89"/>
        <v>6344.1510000000126</v>
      </c>
      <c r="AL77" s="127">
        <f t="shared" si="89"/>
        <v>6344.1510000000126</v>
      </c>
      <c r="AM77" s="127">
        <f t="shared" si="89"/>
        <v>6344.1510000000126</v>
      </c>
      <c r="AN77" s="127">
        <f t="shared" si="89"/>
        <v>6344.1510000000126</v>
      </c>
      <c r="AO77" s="127">
        <f t="shared" si="89"/>
        <v>6344.1510000000126</v>
      </c>
      <c r="AP77" s="127">
        <f t="shared" si="89"/>
        <v>6344.1510000000126</v>
      </c>
      <c r="AQ77" s="127">
        <f t="shared" si="89"/>
        <v>6344.1510000000126</v>
      </c>
      <c r="AR77" s="127">
        <f t="shared" si="89"/>
        <v>6344.1510000000126</v>
      </c>
      <c r="AS77" s="127">
        <f t="shared" si="89"/>
        <v>6344.1510000000126</v>
      </c>
      <c r="AT77" s="127">
        <f t="shared" si="89"/>
        <v>6344.1510000000126</v>
      </c>
      <c r="AU77" s="127">
        <f t="shared" si="89"/>
        <v>6344.1510000000126</v>
      </c>
      <c r="AV77" s="127">
        <f t="shared" si="89"/>
        <v>6344.1510000000126</v>
      </c>
      <c r="AW77" s="127">
        <f t="shared" si="89"/>
        <v>6344.1510000000126</v>
      </c>
      <c r="AX77" s="127">
        <f t="shared" si="89"/>
        <v>6344.1510000000126</v>
      </c>
      <c r="AY77" s="127">
        <f t="shared" si="89"/>
        <v>6344.1510000000126</v>
      </c>
      <c r="AZ77" s="127">
        <f t="shared" si="89"/>
        <v>6344.1510000000126</v>
      </c>
      <c r="BA77" s="127">
        <f t="shared" si="89"/>
        <v>6344.1510000000126</v>
      </c>
      <c r="BB77" s="127">
        <f t="shared" si="89"/>
        <v>6344.1510000000126</v>
      </c>
      <c r="BC77" s="127">
        <f t="shared" si="89"/>
        <v>6344.1510000000126</v>
      </c>
      <c r="BD77" s="127">
        <f t="shared" si="89"/>
        <v>6344.1510000000126</v>
      </c>
      <c r="BE77" s="127">
        <f t="shared" si="89"/>
        <v>6344.1510000000126</v>
      </c>
      <c r="BF77" s="127">
        <f t="shared" si="89"/>
        <v>6344.1510000000126</v>
      </c>
      <c r="BG77" s="127">
        <f t="shared" si="89"/>
        <v>6344.1510000000126</v>
      </c>
      <c r="BH77" s="127">
        <f t="shared" si="89"/>
        <v>6344.1510000000126</v>
      </c>
      <c r="BI77" s="127">
        <f t="shared" si="89"/>
        <v>6344.1510000000126</v>
      </c>
      <c r="BJ77" s="127">
        <f t="shared" si="89"/>
        <v>6344.1510000000126</v>
      </c>
      <c r="BK77" s="127">
        <f t="shared" si="89"/>
        <v>6344.1510000000126</v>
      </c>
      <c r="BL77" s="127">
        <f t="shared" si="89"/>
        <v>6344.1510000000126</v>
      </c>
      <c r="BM77" s="127">
        <f t="shared" si="89"/>
        <v>6344.1510000000126</v>
      </c>
      <c r="BN77" s="127">
        <f t="shared" si="89"/>
        <v>6344.1510000000126</v>
      </c>
      <c r="BO77" s="127">
        <f t="shared" si="89"/>
        <v>6344.1510000000126</v>
      </c>
      <c r="BP77" s="127">
        <f t="shared" si="89"/>
        <v>6344.1510000000126</v>
      </c>
      <c r="BQ77" s="127">
        <f t="shared" si="89"/>
        <v>6344.1510000000126</v>
      </c>
      <c r="BR77" s="127">
        <f t="shared" si="89"/>
        <v>6344.1510000000126</v>
      </c>
      <c r="BS77" s="127">
        <f t="shared" si="89"/>
        <v>6344.1510000000126</v>
      </c>
      <c r="BT77" s="127">
        <f t="shared" si="89"/>
        <v>6344.1510000000126</v>
      </c>
      <c r="BU77" s="127">
        <f t="shared" si="89"/>
        <v>6344.1510000000126</v>
      </c>
      <c r="BV77" s="127">
        <f t="shared" si="89"/>
        <v>6344.1510000000126</v>
      </c>
      <c r="BW77" s="127">
        <f t="shared" si="89"/>
        <v>6344.1510000000126</v>
      </c>
      <c r="BX77" s="127">
        <f t="shared" si="89"/>
        <v>6344.1510000000126</v>
      </c>
      <c r="BY77" s="127">
        <f t="shared" si="89"/>
        <v>6344.1510000000126</v>
      </c>
      <c r="BZ77" s="127">
        <f t="shared" si="89"/>
        <v>6344.1510000000126</v>
      </c>
      <c r="CA77" s="127">
        <f t="shared" si="89"/>
        <v>6344.1510000000126</v>
      </c>
      <c r="CB77" s="127">
        <f t="shared" si="89"/>
        <v>6344.1510000000126</v>
      </c>
      <c r="CC77" s="127">
        <f t="shared" si="89"/>
        <v>0</v>
      </c>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row>
    <row r="78" spans="1:129" x14ac:dyDescent="0.45">
      <c r="A78" s="3"/>
      <c r="B78" s="2"/>
      <c r="C78" s="122" t="s">
        <v>266</v>
      </c>
      <c r="D78" s="17"/>
      <c r="E78" s="2"/>
      <c r="F78" s="2"/>
      <c r="G78" s="2"/>
      <c r="H78" s="2"/>
      <c r="I78" s="13"/>
      <c r="J78" s="58"/>
      <c r="K78" s="58"/>
      <c r="L78" s="58"/>
      <c r="M78" s="58"/>
      <c r="N78" s="58"/>
      <c r="O78" s="58"/>
      <c r="P78" s="58"/>
      <c r="Q78" s="58"/>
      <c r="R78" s="58"/>
      <c r="S78" s="58"/>
      <c r="T78" s="58"/>
      <c r="U78" s="97"/>
      <c r="V78" s="58"/>
      <c r="W78" s="58"/>
      <c r="X78" s="58"/>
      <c r="Y78" s="58"/>
      <c r="Z78" s="58"/>
      <c r="AA78" s="58"/>
      <c r="AB78" s="58"/>
      <c r="AC78" s="58"/>
      <c r="AD78" s="58"/>
      <c r="AE78" s="58"/>
      <c r="AF78" s="58"/>
      <c r="AG78" s="129">
        <f>'Plan Moyen Terme (PMT)'!D25-BAU_Liquidité_Dynamique!AG76</f>
        <v>3444.003320000018</v>
      </c>
      <c r="AH78" s="123">
        <f>IF(AND($AG$1&lt;AH$1, AH$1&lt;$F$76),$AG$78,0)</f>
        <v>3444.003320000018</v>
      </c>
      <c r="AI78" s="123">
        <f t="shared" ref="AI78:CC78" si="90">IF(AND($AG$1&lt;AI$1, AI$1&lt;$F$76),$AG$78,0)</f>
        <v>3444.003320000018</v>
      </c>
      <c r="AJ78" s="123">
        <f t="shared" si="90"/>
        <v>3444.003320000018</v>
      </c>
      <c r="AK78" s="123">
        <f t="shared" si="90"/>
        <v>3444.003320000018</v>
      </c>
      <c r="AL78" s="123">
        <f t="shared" si="90"/>
        <v>3444.003320000018</v>
      </c>
      <c r="AM78" s="123">
        <f t="shared" si="90"/>
        <v>3444.003320000018</v>
      </c>
      <c r="AN78" s="123">
        <f t="shared" si="90"/>
        <v>3444.003320000018</v>
      </c>
      <c r="AO78" s="123">
        <f t="shared" si="90"/>
        <v>3444.003320000018</v>
      </c>
      <c r="AP78" s="123">
        <f t="shared" si="90"/>
        <v>3444.003320000018</v>
      </c>
      <c r="AQ78" s="123">
        <f t="shared" si="90"/>
        <v>3444.003320000018</v>
      </c>
      <c r="AR78" s="123">
        <f t="shared" si="90"/>
        <v>3444.003320000018</v>
      </c>
      <c r="AS78" s="123">
        <f t="shared" si="90"/>
        <v>3444.003320000018</v>
      </c>
      <c r="AT78" s="123">
        <f t="shared" si="90"/>
        <v>3444.003320000018</v>
      </c>
      <c r="AU78" s="123">
        <f t="shared" si="90"/>
        <v>3444.003320000018</v>
      </c>
      <c r="AV78" s="123">
        <f t="shared" si="90"/>
        <v>3444.003320000018</v>
      </c>
      <c r="AW78" s="123">
        <f t="shared" si="90"/>
        <v>3444.003320000018</v>
      </c>
      <c r="AX78" s="123">
        <f t="shared" si="90"/>
        <v>3444.003320000018</v>
      </c>
      <c r="AY78" s="123">
        <f t="shared" si="90"/>
        <v>3444.003320000018</v>
      </c>
      <c r="AZ78" s="123">
        <f t="shared" si="90"/>
        <v>3444.003320000018</v>
      </c>
      <c r="BA78" s="123">
        <f t="shared" si="90"/>
        <v>3444.003320000018</v>
      </c>
      <c r="BB78" s="123">
        <f t="shared" si="90"/>
        <v>3444.003320000018</v>
      </c>
      <c r="BC78" s="123">
        <f t="shared" si="90"/>
        <v>3444.003320000018</v>
      </c>
      <c r="BD78" s="123">
        <f t="shared" si="90"/>
        <v>3444.003320000018</v>
      </c>
      <c r="BE78" s="123">
        <f t="shared" si="90"/>
        <v>3444.003320000018</v>
      </c>
      <c r="BF78" s="123">
        <f t="shared" si="90"/>
        <v>3444.003320000018</v>
      </c>
      <c r="BG78" s="123">
        <f t="shared" si="90"/>
        <v>3444.003320000018</v>
      </c>
      <c r="BH78" s="123">
        <f t="shared" si="90"/>
        <v>3444.003320000018</v>
      </c>
      <c r="BI78" s="123">
        <f t="shared" si="90"/>
        <v>3444.003320000018</v>
      </c>
      <c r="BJ78" s="123">
        <f t="shared" si="90"/>
        <v>3444.003320000018</v>
      </c>
      <c r="BK78" s="123">
        <f t="shared" si="90"/>
        <v>3444.003320000018</v>
      </c>
      <c r="BL78" s="123">
        <f t="shared" si="90"/>
        <v>3444.003320000018</v>
      </c>
      <c r="BM78" s="123">
        <f t="shared" si="90"/>
        <v>3444.003320000018</v>
      </c>
      <c r="BN78" s="123">
        <f t="shared" si="90"/>
        <v>3444.003320000018</v>
      </c>
      <c r="BO78" s="123">
        <f t="shared" si="90"/>
        <v>3444.003320000018</v>
      </c>
      <c r="BP78" s="123">
        <f t="shared" si="90"/>
        <v>3444.003320000018</v>
      </c>
      <c r="BQ78" s="123">
        <f t="shared" si="90"/>
        <v>3444.003320000018</v>
      </c>
      <c r="BR78" s="123">
        <f t="shared" si="90"/>
        <v>3444.003320000018</v>
      </c>
      <c r="BS78" s="123">
        <f t="shared" si="90"/>
        <v>3444.003320000018</v>
      </c>
      <c r="BT78" s="123">
        <f t="shared" si="90"/>
        <v>3444.003320000018</v>
      </c>
      <c r="BU78" s="123">
        <f t="shared" si="90"/>
        <v>3444.003320000018</v>
      </c>
      <c r="BV78" s="123">
        <f t="shared" si="90"/>
        <v>3444.003320000018</v>
      </c>
      <c r="BW78" s="123">
        <f t="shared" si="90"/>
        <v>3444.003320000018</v>
      </c>
      <c r="BX78" s="123">
        <f t="shared" si="90"/>
        <v>3444.003320000018</v>
      </c>
      <c r="BY78" s="123">
        <f t="shared" si="90"/>
        <v>3444.003320000018</v>
      </c>
      <c r="BZ78" s="123">
        <f t="shared" si="90"/>
        <v>3444.003320000018</v>
      </c>
      <c r="CA78" s="123">
        <f t="shared" si="90"/>
        <v>3444.003320000018</v>
      </c>
      <c r="CB78" s="123">
        <f t="shared" si="90"/>
        <v>3444.003320000018</v>
      </c>
      <c r="CC78" s="123">
        <f t="shared" si="90"/>
        <v>0</v>
      </c>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row>
    <row r="79" spans="1:129" x14ac:dyDescent="0.45">
      <c r="A79" s="3"/>
      <c r="B79" s="2"/>
      <c r="C79" s="125" t="s">
        <v>267</v>
      </c>
      <c r="D79" s="17"/>
      <c r="E79" s="2"/>
      <c r="F79" s="2"/>
      <c r="G79" s="2"/>
      <c r="H79" s="2"/>
      <c r="I79" s="13"/>
      <c r="J79" s="58"/>
      <c r="K79" s="58"/>
      <c r="L79" s="58"/>
      <c r="M79" s="58"/>
      <c r="N79" s="58"/>
      <c r="O79" s="58"/>
      <c r="P79" s="58"/>
      <c r="Q79" s="58"/>
      <c r="R79" s="58"/>
      <c r="S79" s="58"/>
      <c r="T79" s="58"/>
      <c r="U79" s="97"/>
      <c r="V79" s="58"/>
      <c r="W79" s="58"/>
      <c r="X79" s="58"/>
      <c r="Y79" s="58"/>
      <c r="Z79" s="58"/>
      <c r="AA79" s="58"/>
      <c r="AB79" s="58"/>
      <c r="AC79" s="58"/>
      <c r="AD79" s="58"/>
      <c r="AE79" s="58"/>
      <c r="AF79" s="58"/>
      <c r="AG79" s="103"/>
      <c r="AH79" s="58"/>
      <c r="AI79" s="58"/>
      <c r="AJ79" s="58"/>
      <c r="AK79" s="58"/>
      <c r="AL79" s="58"/>
      <c r="AM79" s="58"/>
      <c r="AN79" s="58"/>
      <c r="AO79" s="58"/>
      <c r="AP79" s="58"/>
      <c r="AQ79" s="58"/>
      <c r="AR79" s="58"/>
      <c r="AS79" s="130">
        <f>'Plan Moyen Terme (PMT)'!E25-BAU_Liquidité_Dynamique!AS76</f>
        <v>116.55586000002222</v>
      </c>
      <c r="AT79" s="128">
        <f>IF(AND($AS$1&lt;AT$1, AT$1&lt;$F$76),$AS$79,0)</f>
        <v>116.55586000002222</v>
      </c>
      <c r="AU79" s="128">
        <f t="shared" ref="AU79:CC79" si="91">IF(AND($AS$1&lt;AU$1, AU$1&lt;$F$76),$AS$79,0)</f>
        <v>116.55586000002222</v>
      </c>
      <c r="AV79" s="128">
        <f t="shared" si="91"/>
        <v>116.55586000002222</v>
      </c>
      <c r="AW79" s="128">
        <f t="shared" si="91"/>
        <v>116.55586000002222</v>
      </c>
      <c r="AX79" s="128">
        <f t="shared" si="91"/>
        <v>116.55586000002222</v>
      </c>
      <c r="AY79" s="128">
        <f t="shared" si="91"/>
        <v>116.55586000002222</v>
      </c>
      <c r="AZ79" s="128">
        <f t="shared" si="91"/>
        <v>116.55586000002222</v>
      </c>
      <c r="BA79" s="128">
        <f t="shared" si="91"/>
        <v>116.55586000002222</v>
      </c>
      <c r="BB79" s="128">
        <f t="shared" si="91"/>
        <v>116.55586000002222</v>
      </c>
      <c r="BC79" s="128">
        <f t="shared" si="91"/>
        <v>116.55586000002222</v>
      </c>
      <c r="BD79" s="128">
        <f t="shared" si="91"/>
        <v>116.55586000002222</v>
      </c>
      <c r="BE79" s="128">
        <f t="shared" si="91"/>
        <v>116.55586000002222</v>
      </c>
      <c r="BF79" s="128">
        <f t="shared" si="91"/>
        <v>116.55586000002222</v>
      </c>
      <c r="BG79" s="128">
        <f t="shared" si="91"/>
        <v>116.55586000002222</v>
      </c>
      <c r="BH79" s="128">
        <f t="shared" si="91"/>
        <v>116.55586000002222</v>
      </c>
      <c r="BI79" s="128">
        <f t="shared" si="91"/>
        <v>116.55586000002222</v>
      </c>
      <c r="BJ79" s="128">
        <f t="shared" si="91"/>
        <v>116.55586000002222</v>
      </c>
      <c r="BK79" s="128">
        <f t="shared" si="91"/>
        <v>116.55586000002222</v>
      </c>
      <c r="BL79" s="128">
        <f t="shared" si="91"/>
        <v>116.55586000002222</v>
      </c>
      <c r="BM79" s="128">
        <f t="shared" si="91"/>
        <v>116.55586000002222</v>
      </c>
      <c r="BN79" s="128">
        <f t="shared" si="91"/>
        <v>116.55586000002222</v>
      </c>
      <c r="BO79" s="128">
        <f t="shared" si="91"/>
        <v>116.55586000002222</v>
      </c>
      <c r="BP79" s="128">
        <f t="shared" si="91"/>
        <v>116.55586000002222</v>
      </c>
      <c r="BQ79" s="128">
        <f t="shared" si="91"/>
        <v>116.55586000002222</v>
      </c>
      <c r="BR79" s="128">
        <f t="shared" si="91"/>
        <v>116.55586000002222</v>
      </c>
      <c r="BS79" s="128">
        <f t="shared" si="91"/>
        <v>116.55586000002222</v>
      </c>
      <c r="BT79" s="128">
        <f t="shared" si="91"/>
        <v>116.55586000002222</v>
      </c>
      <c r="BU79" s="128">
        <f t="shared" si="91"/>
        <v>116.55586000002222</v>
      </c>
      <c r="BV79" s="128">
        <f t="shared" si="91"/>
        <v>116.55586000002222</v>
      </c>
      <c r="BW79" s="128">
        <f t="shared" si="91"/>
        <v>116.55586000002222</v>
      </c>
      <c r="BX79" s="128">
        <f t="shared" si="91"/>
        <v>116.55586000002222</v>
      </c>
      <c r="BY79" s="128">
        <f t="shared" si="91"/>
        <v>116.55586000002222</v>
      </c>
      <c r="BZ79" s="128">
        <f t="shared" si="91"/>
        <v>116.55586000002222</v>
      </c>
      <c r="CA79" s="128">
        <f t="shared" si="91"/>
        <v>116.55586000002222</v>
      </c>
      <c r="CB79" s="128">
        <f t="shared" si="91"/>
        <v>116.55586000002222</v>
      </c>
      <c r="CC79" s="128">
        <f t="shared" si="91"/>
        <v>0</v>
      </c>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row>
    <row r="80" spans="1:129" x14ac:dyDescent="0.45">
      <c r="A80" s="3">
        <v>46022</v>
      </c>
      <c r="B80" s="2" t="s">
        <v>19</v>
      </c>
      <c r="C80" s="4" t="s">
        <v>23</v>
      </c>
      <c r="D80" s="16"/>
      <c r="E80" s="54"/>
      <c r="F80" s="54"/>
      <c r="G80" s="54"/>
      <c r="H80" s="54"/>
      <c r="I80" s="13">
        <f>I81+I85+I89+I93+I97</f>
        <v>25913.849000000002</v>
      </c>
      <c r="J80" s="58">
        <f>SUM(J81:J105)</f>
        <v>25697.900258333335</v>
      </c>
      <c r="K80" s="58">
        <f t="shared" ref="K80:BV80" si="92">SUM(K81:K105)</f>
        <v>25481.951516666664</v>
      </c>
      <c r="L80" s="58">
        <f t="shared" si="92"/>
        <v>25266.002774999997</v>
      </c>
      <c r="M80" s="58">
        <f t="shared" si="92"/>
        <v>25050.054033333334</v>
      </c>
      <c r="N80" s="58">
        <f t="shared" si="92"/>
        <v>24834.105291666667</v>
      </c>
      <c r="O80" s="58">
        <f t="shared" si="92"/>
        <v>24618.15655</v>
      </c>
      <c r="P80" s="58">
        <f t="shared" si="92"/>
        <v>24402.207808333333</v>
      </c>
      <c r="Q80" s="58">
        <f t="shared" si="92"/>
        <v>24186.259066666669</v>
      </c>
      <c r="R80" s="58">
        <f t="shared" si="92"/>
        <v>23970.310325000002</v>
      </c>
      <c r="S80" s="58">
        <f t="shared" si="92"/>
        <v>23754.361583333332</v>
      </c>
      <c r="T80" s="58">
        <f t="shared" si="92"/>
        <v>23538.412841666668</v>
      </c>
      <c r="U80" s="97">
        <f t="shared" si="92"/>
        <v>25914.849000000006</v>
      </c>
      <c r="V80" s="58">
        <f t="shared" si="92"/>
        <v>25674.896694444451</v>
      </c>
      <c r="W80" s="58">
        <f t="shared" si="92"/>
        <v>25434.944388888882</v>
      </c>
      <c r="X80" s="58">
        <f t="shared" si="92"/>
        <v>25194.992083333331</v>
      </c>
      <c r="Y80" s="58">
        <f t="shared" si="92"/>
        <v>24955.03977777778</v>
      </c>
      <c r="Z80" s="58">
        <f t="shared" si="92"/>
        <v>24715.087472222222</v>
      </c>
      <c r="AA80" s="58">
        <f t="shared" si="92"/>
        <v>24475.135166666667</v>
      </c>
      <c r="AB80" s="58">
        <f t="shared" si="92"/>
        <v>24235.182861111112</v>
      </c>
      <c r="AC80" s="58">
        <f t="shared" si="92"/>
        <v>23995.230555555554</v>
      </c>
      <c r="AD80" s="58">
        <f t="shared" si="92"/>
        <v>23755.278249999996</v>
      </c>
      <c r="AE80" s="58">
        <f t="shared" si="92"/>
        <v>23515.325944444445</v>
      </c>
      <c r="AF80" s="58">
        <f t="shared" si="92"/>
        <v>23275.37363888889</v>
      </c>
      <c r="AG80" s="103">
        <f t="shared" si="92"/>
        <v>28219.191133333341</v>
      </c>
      <c r="AH80" s="58">
        <f t="shared" si="92"/>
        <v>27925.241225694444</v>
      </c>
      <c r="AI80" s="58">
        <f t="shared" si="92"/>
        <v>27631.291318055555</v>
      </c>
      <c r="AJ80" s="58">
        <f t="shared" si="92"/>
        <v>27337.341410416666</v>
      </c>
      <c r="AK80" s="58">
        <f t="shared" si="92"/>
        <v>27043.39150277778</v>
      </c>
      <c r="AL80" s="58">
        <f t="shared" si="92"/>
        <v>26749.441595138887</v>
      </c>
      <c r="AM80" s="58">
        <f t="shared" si="92"/>
        <v>26455.491687500002</v>
      </c>
      <c r="AN80" s="58">
        <f t="shared" si="92"/>
        <v>26161.541779861105</v>
      </c>
      <c r="AO80" s="58">
        <f t="shared" si="92"/>
        <v>25867.591872222216</v>
      </c>
      <c r="AP80" s="58">
        <f t="shared" si="92"/>
        <v>25573.641964583334</v>
      </c>
      <c r="AQ80" s="58">
        <f t="shared" si="92"/>
        <v>25279.692056944448</v>
      </c>
      <c r="AR80" s="58">
        <f t="shared" si="92"/>
        <v>24985.742149305552</v>
      </c>
      <c r="AS80" s="109">
        <f t="shared" si="92"/>
        <v>65720.638941666679</v>
      </c>
      <c r="AT80" s="58">
        <f t="shared" si="92"/>
        <v>64938.250382837301</v>
      </c>
      <c r="AU80" s="58">
        <f t="shared" si="92"/>
        <v>64155.86182400793</v>
      </c>
      <c r="AV80" s="58">
        <f t="shared" si="92"/>
        <v>63373.473265178567</v>
      </c>
      <c r="AW80" s="58">
        <f t="shared" si="92"/>
        <v>62591.084706349211</v>
      </c>
      <c r="AX80" s="58">
        <f t="shared" si="92"/>
        <v>61808.69614751984</v>
      </c>
      <c r="AY80" s="58">
        <f t="shared" si="92"/>
        <v>61026.307588690477</v>
      </c>
      <c r="AZ80" s="58">
        <f t="shared" si="92"/>
        <v>60243.919029861121</v>
      </c>
      <c r="BA80" s="58">
        <f t="shared" si="92"/>
        <v>59461.530471031743</v>
      </c>
      <c r="BB80" s="58">
        <f t="shared" si="92"/>
        <v>58679.141912202373</v>
      </c>
      <c r="BC80" s="58">
        <f t="shared" si="92"/>
        <v>57896.753353373017</v>
      </c>
      <c r="BD80" s="58">
        <f t="shared" si="92"/>
        <v>57114.364794543631</v>
      </c>
      <c r="BE80" s="58">
        <f t="shared" si="92"/>
        <v>56331.97623571429</v>
      </c>
      <c r="BF80" s="58">
        <f t="shared" si="92"/>
        <v>55549.587676884912</v>
      </c>
      <c r="BG80" s="58">
        <f t="shared" si="92"/>
        <v>54767.199118055549</v>
      </c>
      <c r="BH80" s="58">
        <f t="shared" si="92"/>
        <v>53984.8105592262</v>
      </c>
      <c r="BI80" s="58">
        <f t="shared" si="92"/>
        <v>53202.422000396815</v>
      </c>
      <c r="BJ80" s="58">
        <f t="shared" si="92"/>
        <v>52420.033441567481</v>
      </c>
      <c r="BK80" s="58">
        <f t="shared" si="92"/>
        <v>51637.644882738088</v>
      </c>
      <c r="BL80" s="58">
        <f t="shared" si="92"/>
        <v>50855.256323908718</v>
      </c>
      <c r="BM80" s="58">
        <f t="shared" si="92"/>
        <v>50072.867765079376</v>
      </c>
      <c r="BN80" s="58">
        <f t="shared" si="92"/>
        <v>49290.479206249998</v>
      </c>
      <c r="BO80" s="58">
        <f t="shared" si="92"/>
        <v>48508.09064742062</v>
      </c>
      <c r="BP80" s="58">
        <f t="shared" si="92"/>
        <v>47725.702088591264</v>
      </c>
      <c r="BQ80" s="58">
        <f t="shared" si="92"/>
        <v>46943.313529761908</v>
      </c>
      <c r="BR80" s="58">
        <f t="shared" si="92"/>
        <v>46160.924970932538</v>
      </c>
      <c r="BS80" s="58">
        <f t="shared" si="92"/>
        <v>45378.536412103174</v>
      </c>
      <c r="BT80" s="58">
        <f t="shared" si="92"/>
        <v>44596.147853273811</v>
      </c>
      <c r="BU80" s="58">
        <f t="shared" si="92"/>
        <v>43813.75929444444</v>
      </c>
      <c r="BV80" s="58">
        <f t="shared" si="92"/>
        <v>43031.370735615084</v>
      </c>
      <c r="BW80" s="58">
        <f t="shared" ref="BW80:DY80" si="93">SUM(BW81:BW105)</f>
        <v>42248.982176785721</v>
      </c>
      <c r="BX80" s="58">
        <f t="shared" si="93"/>
        <v>41466.593617956343</v>
      </c>
      <c r="BY80" s="58">
        <f t="shared" si="93"/>
        <v>40684.205059126994</v>
      </c>
      <c r="BZ80" s="58">
        <f t="shared" si="93"/>
        <v>39901.816500297602</v>
      </c>
      <c r="CA80" s="58">
        <f t="shared" si="93"/>
        <v>39119.427941468268</v>
      </c>
      <c r="CB80" s="58">
        <f t="shared" si="93"/>
        <v>38337.039382638897</v>
      </c>
      <c r="CC80" s="58">
        <f t="shared" si="93"/>
        <v>37554.650823809519</v>
      </c>
      <c r="CD80" s="58">
        <f t="shared" si="93"/>
        <v>36772.262264980171</v>
      </c>
      <c r="CE80" s="58">
        <f t="shared" si="93"/>
        <v>35989.873706150793</v>
      </c>
      <c r="CF80" s="58">
        <f t="shared" si="93"/>
        <v>35207.485147321422</v>
      </c>
      <c r="CG80" s="58">
        <f t="shared" si="93"/>
        <v>34425.096588492066</v>
      </c>
      <c r="CH80" s="58">
        <f t="shared" si="93"/>
        <v>33642.708029662695</v>
      </c>
      <c r="CI80" s="58">
        <f t="shared" si="93"/>
        <v>32860.319470833339</v>
      </c>
      <c r="CJ80" s="58">
        <f t="shared" si="93"/>
        <v>32077.930912003965</v>
      </c>
      <c r="CK80" s="58">
        <f t="shared" si="93"/>
        <v>31295.542353174606</v>
      </c>
      <c r="CL80" s="58">
        <f t="shared" si="93"/>
        <v>30513.153794345239</v>
      </c>
      <c r="CM80" s="58">
        <f t="shared" si="93"/>
        <v>29730.765235515872</v>
      </c>
      <c r="CN80" s="58">
        <f t="shared" si="93"/>
        <v>28948.376676686508</v>
      </c>
      <c r="CO80" s="58">
        <f t="shared" si="93"/>
        <v>28165.988117857145</v>
      </c>
      <c r="CP80" s="58">
        <f t="shared" si="93"/>
        <v>27383.599559027774</v>
      </c>
      <c r="CQ80" s="58">
        <f t="shared" si="93"/>
        <v>26601.211000198407</v>
      </c>
      <c r="CR80" s="58">
        <f t="shared" si="93"/>
        <v>25818.822441369044</v>
      </c>
      <c r="CS80" s="58">
        <f t="shared" si="93"/>
        <v>25036.433882539688</v>
      </c>
      <c r="CT80" s="58">
        <f t="shared" si="93"/>
        <v>24254.04532371031</v>
      </c>
      <c r="CU80" s="58">
        <f t="shared" si="93"/>
        <v>23471.656764880954</v>
      </c>
      <c r="CV80" s="58">
        <f t="shared" si="93"/>
        <v>22689.268206051587</v>
      </c>
      <c r="CW80" s="58">
        <f t="shared" si="93"/>
        <v>21906.87964722222</v>
      </c>
      <c r="CX80" s="58">
        <f t="shared" si="93"/>
        <v>21124.491088392861</v>
      </c>
      <c r="CY80" s="58">
        <f t="shared" si="93"/>
        <v>20342.102529563497</v>
      </c>
      <c r="CZ80" s="58">
        <f t="shared" si="93"/>
        <v>19559.713970734134</v>
      </c>
      <c r="DA80" s="58">
        <f t="shared" si="93"/>
        <v>18777.32541190476</v>
      </c>
      <c r="DB80" s="58">
        <f t="shared" si="93"/>
        <v>17994.936853075396</v>
      </c>
      <c r="DC80" s="58">
        <f t="shared" si="93"/>
        <v>17212.548294246033</v>
      </c>
      <c r="DD80" s="58">
        <f t="shared" si="93"/>
        <v>16430.15973541667</v>
      </c>
      <c r="DE80" s="58">
        <f t="shared" si="93"/>
        <v>15647.771176587303</v>
      </c>
      <c r="DF80" s="58">
        <f t="shared" si="93"/>
        <v>14865.382617757936</v>
      </c>
      <c r="DG80" s="58">
        <f t="shared" si="93"/>
        <v>14082.994058928572</v>
      </c>
      <c r="DH80" s="58">
        <f t="shared" si="93"/>
        <v>13300.605500099204</v>
      </c>
      <c r="DI80" s="58">
        <f t="shared" si="93"/>
        <v>12518.216941269844</v>
      </c>
      <c r="DJ80" s="58">
        <f t="shared" si="93"/>
        <v>11735.828382440477</v>
      </c>
      <c r="DK80" s="58">
        <f t="shared" si="93"/>
        <v>10953.43982361111</v>
      </c>
      <c r="DL80" s="58">
        <f t="shared" si="93"/>
        <v>10171.051264781749</v>
      </c>
      <c r="DM80" s="58">
        <f t="shared" si="93"/>
        <v>9388.6627059523798</v>
      </c>
      <c r="DN80" s="58">
        <f t="shared" si="93"/>
        <v>8606.2741471230165</v>
      </c>
      <c r="DO80" s="58">
        <f t="shared" si="93"/>
        <v>7823.8855882936514</v>
      </c>
      <c r="DP80" s="58">
        <f t="shared" si="93"/>
        <v>7041.4970294642862</v>
      </c>
      <c r="DQ80" s="58">
        <f t="shared" si="93"/>
        <v>6259.108470634922</v>
      </c>
      <c r="DR80" s="58">
        <f t="shared" si="93"/>
        <v>5476.7199118055551</v>
      </c>
      <c r="DS80" s="58">
        <f t="shared" si="93"/>
        <v>4694.3313529761899</v>
      </c>
      <c r="DT80" s="58">
        <f t="shared" si="93"/>
        <v>3911.9427941468257</v>
      </c>
      <c r="DU80" s="58">
        <f t="shared" si="93"/>
        <v>3129.554235317461</v>
      </c>
      <c r="DV80" s="58">
        <f t="shared" si="93"/>
        <v>2347.165676488095</v>
      </c>
      <c r="DW80" s="58">
        <f t="shared" si="93"/>
        <v>1564.7771176587305</v>
      </c>
      <c r="DX80" s="58">
        <f t="shared" si="93"/>
        <v>782.38855882936525</v>
      </c>
      <c r="DY80" s="58">
        <f t="shared" si="93"/>
        <v>0</v>
      </c>
    </row>
    <row r="81" spans="1:129" x14ac:dyDescent="0.45">
      <c r="A81" s="3">
        <v>46022</v>
      </c>
      <c r="B81" s="2" t="s">
        <v>19</v>
      </c>
      <c r="C81" s="6" t="s">
        <v>24</v>
      </c>
      <c r="D81" s="17">
        <v>0</v>
      </c>
      <c r="E81" s="2" t="s">
        <v>43</v>
      </c>
      <c r="F81" s="2">
        <v>120</v>
      </c>
      <c r="G81" s="2" t="s">
        <v>43</v>
      </c>
      <c r="H81" s="2">
        <v>120</v>
      </c>
      <c r="I81" s="14">
        <v>476.541</v>
      </c>
      <c r="J81" s="55">
        <f t="shared" ref="J81:Y105" si="94">IF(J$1&lt;$F81,$I81*(($F81-J$1)/$F81),0)</f>
        <v>472.56982500000004</v>
      </c>
      <c r="K81" s="55">
        <f t="shared" si="94"/>
        <v>468.59864999999996</v>
      </c>
      <c r="L81" s="55">
        <f t="shared" si="94"/>
        <v>464.627475</v>
      </c>
      <c r="M81" s="55">
        <f t="shared" si="94"/>
        <v>460.65629999999999</v>
      </c>
      <c r="N81" s="55">
        <f t="shared" si="94"/>
        <v>456.68512500000003</v>
      </c>
      <c r="O81" s="55">
        <f t="shared" si="94"/>
        <v>452.71394999999995</v>
      </c>
      <c r="P81" s="55">
        <f t="shared" si="94"/>
        <v>448.74277499999999</v>
      </c>
      <c r="Q81" s="55">
        <f t="shared" si="94"/>
        <v>444.77159999999998</v>
      </c>
      <c r="R81" s="55">
        <f t="shared" si="94"/>
        <v>440.80042500000002</v>
      </c>
      <c r="S81" s="55">
        <f t="shared" si="94"/>
        <v>436.82925</v>
      </c>
      <c r="T81" s="55">
        <f t="shared" si="94"/>
        <v>432.85807499999999</v>
      </c>
      <c r="U81" s="96">
        <f t="shared" si="94"/>
        <v>428.88690000000003</v>
      </c>
      <c r="V81" s="55">
        <f t="shared" si="94"/>
        <v>424.91572500000001</v>
      </c>
      <c r="W81" s="55">
        <f t="shared" si="94"/>
        <v>420.94454999999999</v>
      </c>
      <c r="X81" s="55">
        <f t="shared" si="94"/>
        <v>416.97337499999998</v>
      </c>
      <c r="Y81" s="55">
        <f t="shared" si="94"/>
        <v>413.00220000000002</v>
      </c>
      <c r="Z81" s="55">
        <f t="shared" ref="Z81:CK93" si="95">IF(Z$1&lt;$F81,$I81*(($F81-Z$1)/$F81),0)</f>
        <v>409.031025</v>
      </c>
      <c r="AA81" s="55">
        <f t="shared" si="95"/>
        <v>405.05984999999998</v>
      </c>
      <c r="AB81" s="55">
        <f t="shared" si="95"/>
        <v>401.08867500000002</v>
      </c>
      <c r="AC81" s="55">
        <f t="shared" si="95"/>
        <v>397.11750000000001</v>
      </c>
      <c r="AD81" s="55">
        <f t="shared" si="95"/>
        <v>393.14632499999999</v>
      </c>
      <c r="AE81" s="55">
        <f t="shared" si="95"/>
        <v>389.17514999999997</v>
      </c>
      <c r="AF81" s="55">
        <f t="shared" si="95"/>
        <v>385.20397500000001</v>
      </c>
      <c r="AG81" s="102">
        <f t="shared" si="95"/>
        <v>381.2328</v>
      </c>
      <c r="AH81" s="55">
        <f t="shared" si="95"/>
        <v>377.26162499999998</v>
      </c>
      <c r="AI81" s="55">
        <f t="shared" si="95"/>
        <v>373.29045000000002</v>
      </c>
      <c r="AJ81" s="55">
        <f t="shared" si="95"/>
        <v>369.319275</v>
      </c>
      <c r="AK81" s="55">
        <f t="shared" si="95"/>
        <v>365.34810000000004</v>
      </c>
      <c r="AL81" s="55">
        <f t="shared" si="95"/>
        <v>361.37692499999997</v>
      </c>
      <c r="AM81" s="55">
        <f t="shared" si="95"/>
        <v>357.40575000000001</v>
      </c>
      <c r="AN81" s="55">
        <f t="shared" si="95"/>
        <v>353.434575</v>
      </c>
      <c r="AO81" s="55">
        <f t="shared" si="95"/>
        <v>349.46339999999998</v>
      </c>
      <c r="AP81" s="55">
        <f t="shared" si="95"/>
        <v>345.49222499999996</v>
      </c>
      <c r="AQ81" s="55">
        <f t="shared" si="95"/>
        <v>341.52105</v>
      </c>
      <c r="AR81" s="55">
        <f t="shared" si="95"/>
        <v>337.54987500000004</v>
      </c>
      <c r="AS81" s="108">
        <f t="shared" si="95"/>
        <v>333.57869999999997</v>
      </c>
      <c r="AT81" s="55">
        <f t="shared" si="95"/>
        <v>329.60752500000001</v>
      </c>
      <c r="AU81" s="55">
        <f t="shared" si="95"/>
        <v>325.63634999999999</v>
      </c>
      <c r="AV81" s="55">
        <f t="shared" si="95"/>
        <v>321.66517500000003</v>
      </c>
      <c r="AW81" s="55">
        <f t="shared" si="95"/>
        <v>317.69399999999996</v>
      </c>
      <c r="AX81" s="55">
        <f t="shared" si="95"/>
        <v>313.722825</v>
      </c>
      <c r="AY81" s="55">
        <f t="shared" si="95"/>
        <v>309.75164999999998</v>
      </c>
      <c r="AZ81" s="55">
        <f t="shared" si="95"/>
        <v>305.78047500000002</v>
      </c>
      <c r="BA81" s="55">
        <f t="shared" si="95"/>
        <v>301.80930000000001</v>
      </c>
      <c r="BB81" s="55">
        <f t="shared" si="95"/>
        <v>297.83812499999999</v>
      </c>
      <c r="BC81" s="55">
        <f t="shared" si="95"/>
        <v>293.86695000000003</v>
      </c>
      <c r="BD81" s="55">
        <f t="shared" si="95"/>
        <v>289.89577499999996</v>
      </c>
      <c r="BE81" s="55">
        <f t="shared" si="95"/>
        <v>285.9246</v>
      </c>
      <c r="BF81" s="55">
        <f t="shared" si="95"/>
        <v>281.95342499999998</v>
      </c>
      <c r="BG81" s="55">
        <f t="shared" si="95"/>
        <v>277.98225000000002</v>
      </c>
      <c r="BH81" s="55">
        <f t="shared" si="95"/>
        <v>274.01107500000001</v>
      </c>
      <c r="BI81" s="55">
        <f t="shared" si="95"/>
        <v>270.03989999999999</v>
      </c>
      <c r="BJ81" s="55">
        <f t="shared" si="95"/>
        <v>266.06872500000003</v>
      </c>
      <c r="BK81" s="55">
        <f t="shared" si="95"/>
        <v>262.09755000000001</v>
      </c>
      <c r="BL81" s="55">
        <f t="shared" si="95"/>
        <v>258.126375</v>
      </c>
      <c r="BM81" s="55">
        <f t="shared" si="95"/>
        <v>254.15520000000001</v>
      </c>
      <c r="BN81" s="55">
        <f t="shared" si="95"/>
        <v>250.18402500000002</v>
      </c>
      <c r="BO81" s="55">
        <f t="shared" si="95"/>
        <v>246.21285000000003</v>
      </c>
      <c r="BP81" s="55">
        <f t="shared" si="95"/>
        <v>242.24167499999999</v>
      </c>
      <c r="BQ81" s="55">
        <f t="shared" si="95"/>
        <v>238.2705</v>
      </c>
      <c r="BR81" s="55">
        <f t="shared" si="95"/>
        <v>234.29932499999998</v>
      </c>
      <c r="BS81" s="55">
        <f t="shared" si="95"/>
        <v>230.32814999999999</v>
      </c>
      <c r="BT81" s="55">
        <f t="shared" si="95"/>
        <v>226.35697499999998</v>
      </c>
      <c r="BU81" s="55">
        <f t="shared" si="95"/>
        <v>222.38579999999999</v>
      </c>
      <c r="BV81" s="55">
        <f t="shared" si="95"/>
        <v>218.414625</v>
      </c>
      <c r="BW81" s="55">
        <f t="shared" si="95"/>
        <v>214.44345000000001</v>
      </c>
      <c r="BX81" s="55">
        <f t="shared" si="95"/>
        <v>210.472275</v>
      </c>
      <c r="BY81" s="55">
        <f t="shared" si="95"/>
        <v>206.50110000000001</v>
      </c>
      <c r="BZ81" s="55">
        <f t="shared" si="95"/>
        <v>202.52992499999999</v>
      </c>
      <c r="CA81" s="55">
        <f t="shared" si="95"/>
        <v>198.55875</v>
      </c>
      <c r="CB81" s="55">
        <f t="shared" si="95"/>
        <v>194.58757499999999</v>
      </c>
      <c r="CC81" s="55">
        <f t="shared" si="95"/>
        <v>190.6164</v>
      </c>
      <c r="CD81" s="55">
        <f t="shared" si="95"/>
        <v>186.64522500000001</v>
      </c>
      <c r="CE81" s="55">
        <f t="shared" si="95"/>
        <v>182.67405000000002</v>
      </c>
      <c r="CF81" s="55">
        <f t="shared" si="95"/>
        <v>178.70287500000001</v>
      </c>
      <c r="CG81" s="55">
        <f t="shared" si="95"/>
        <v>174.73169999999999</v>
      </c>
      <c r="CH81" s="55">
        <f t="shared" si="95"/>
        <v>170.760525</v>
      </c>
      <c r="CI81" s="55">
        <f t="shared" si="95"/>
        <v>166.78934999999998</v>
      </c>
      <c r="CJ81" s="55">
        <f t="shared" si="95"/>
        <v>162.818175</v>
      </c>
      <c r="CK81" s="55">
        <f t="shared" si="95"/>
        <v>158.84699999999998</v>
      </c>
      <c r="CL81" s="55">
        <f t="shared" ref="CL81:DY105" si="96">IF(CL$1&lt;$F81,$I81*(($F81-CL$1)/$F81),0)</f>
        <v>154.87582499999999</v>
      </c>
      <c r="CM81" s="55">
        <f t="shared" si="96"/>
        <v>150.90465</v>
      </c>
      <c r="CN81" s="55">
        <f t="shared" si="96"/>
        <v>146.93347500000002</v>
      </c>
      <c r="CO81" s="55">
        <f t="shared" si="96"/>
        <v>142.9623</v>
      </c>
      <c r="CP81" s="55">
        <f t="shared" si="96"/>
        <v>138.99112500000001</v>
      </c>
      <c r="CQ81" s="55">
        <f t="shared" si="96"/>
        <v>135.01994999999999</v>
      </c>
      <c r="CR81" s="55">
        <f t="shared" si="96"/>
        <v>131.04877500000001</v>
      </c>
      <c r="CS81" s="55">
        <f t="shared" si="96"/>
        <v>127.0776</v>
      </c>
      <c r="CT81" s="55">
        <f t="shared" si="96"/>
        <v>123.10642500000002</v>
      </c>
      <c r="CU81" s="55">
        <f t="shared" si="96"/>
        <v>119.13525</v>
      </c>
      <c r="CV81" s="55">
        <f t="shared" si="96"/>
        <v>115.164075</v>
      </c>
      <c r="CW81" s="55">
        <f t="shared" si="96"/>
        <v>111.19289999999999</v>
      </c>
      <c r="CX81" s="55">
        <f t="shared" si="96"/>
        <v>107.22172500000001</v>
      </c>
      <c r="CY81" s="55">
        <f t="shared" si="96"/>
        <v>103.25055</v>
      </c>
      <c r="CZ81" s="55">
        <f t="shared" si="96"/>
        <v>99.279375000000002</v>
      </c>
      <c r="DA81" s="55">
        <f t="shared" si="96"/>
        <v>95.308199999999999</v>
      </c>
      <c r="DB81" s="55">
        <f t="shared" si="96"/>
        <v>91.337025000000011</v>
      </c>
      <c r="DC81" s="55">
        <f t="shared" si="96"/>
        <v>87.365849999999995</v>
      </c>
      <c r="DD81" s="55">
        <f t="shared" si="96"/>
        <v>83.394674999999992</v>
      </c>
      <c r="DE81" s="55">
        <f t="shared" si="96"/>
        <v>79.42349999999999</v>
      </c>
      <c r="DF81" s="55">
        <f t="shared" si="96"/>
        <v>75.452325000000002</v>
      </c>
      <c r="DG81" s="55">
        <f t="shared" si="96"/>
        <v>71.48115</v>
      </c>
      <c r="DH81" s="55">
        <f t="shared" si="96"/>
        <v>67.509974999999997</v>
      </c>
      <c r="DI81" s="55">
        <f t="shared" si="96"/>
        <v>63.538800000000002</v>
      </c>
      <c r="DJ81" s="55">
        <f t="shared" si="96"/>
        <v>59.567625</v>
      </c>
      <c r="DK81" s="55">
        <f t="shared" si="96"/>
        <v>55.596449999999997</v>
      </c>
      <c r="DL81" s="55">
        <f t="shared" si="96"/>
        <v>51.625275000000002</v>
      </c>
      <c r="DM81" s="55">
        <f t="shared" si="96"/>
        <v>47.6541</v>
      </c>
      <c r="DN81" s="55">
        <f t="shared" si="96"/>
        <v>43.682924999999997</v>
      </c>
      <c r="DO81" s="55">
        <f t="shared" si="96"/>
        <v>39.711749999999995</v>
      </c>
      <c r="DP81" s="55">
        <f t="shared" si="96"/>
        <v>35.740575</v>
      </c>
      <c r="DQ81" s="55">
        <f t="shared" si="96"/>
        <v>31.769400000000001</v>
      </c>
      <c r="DR81" s="55">
        <f t="shared" si="96"/>
        <v>27.798224999999999</v>
      </c>
      <c r="DS81" s="55">
        <f t="shared" si="96"/>
        <v>23.82705</v>
      </c>
      <c r="DT81" s="55">
        <f t="shared" si="96"/>
        <v>19.855874999999997</v>
      </c>
      <c r="DU81" s="55">
        <f t="shared" si="96"/>
        <v>15.8847</v>
      </c>
      <c r="DV81" s="55">
        <f t="shared" si="96"/>
        <v>11.913525</v>
      </c>
      <c r="DW81" s="55">
        <f t="shared" si="96"/>
        <v>7.9423500000000002</v>
      </c>
      <c r="DX81" s="55">
        <f t="shared" si="96"/>
        <v>3.9711750000000001</v>
      </c>
      <c r="DY81" s="55">
        <f t="shared" si="96"/>
        <v>0</v>
      </c>
    </row>
    <row r="82" spans="1:129" x14ac:dyDescent="0.45">
      <c r="A82" s="3"/>
      <c r="B82" s="2"/>
      <c r="C82" s="121" t="s">
        <v>265</v>
      </c>
      <c r="D82" s="17"/>
      <c r="E82" s="2"/>
      <c r="F82" s="2"/>
      <c r="G82" s="2"/>
      <c r="H82" s="2"/>
      <c r="I82" s="13"/>
      <c r="J82" s="58"/>
      <c r="K82" s="58"/>
      <c r="L82" s="58"/>
      <c r="M82" s="58"/>
      <c r="N82" s="58"/>
      <c r="O82" s="58"/>
      <c r="P82" s="58"/>
      <c r="Q82" s="58"/>
      <c r="R82" s="58"/>
      <c r="S82" s="58"/>
      <c r="T82" s="58"/>
      <c r="U82" s="119">
        <f>'Plan Moyen Terme (PMT)'!C27-BAU_Liquidité_Dynamique!U81</f>
        <v>47.654099999999971</v>
      </c>
      <c r="V82" s="120">
        <f>IF(AND(U$1&lt;V$1, V$1&lt;=$F81),$U82*($F81-V$1)/($F81-$U$1),0)</f>
        <v>47.212858333333308</v>
      </c>
      <c r="W82" s="120">
        <f>IF(AND(V$1&lt;W$1, W$1&lt;=$F81),$U82*($F81-W$1)/($F81-$U$1),0)</f>
        <v>46.771616666666631</v>
      </c>
      <c r="X82" s="120">
        <f t="shared" ref="X82:CI82" si="97">IF(AND(W$1&lt;X$1, X$1&lt;=$F81),$U82*($F81-X$1)/($F81-$U$1),0)</f>
        <v>46.330374999999968</v>
      </c>
      <c r="Y82" s="120">
        <f t="shared" si="97"/>
        <v>45.889133333333305</v>
      </c>
      <c r="Z82" s="120">
        <f t="shared" si="97"/>
        <v>45.447891666666642</v>
      </c>
      <c r="AA82" s="120">
        <f t="shared" si="97"/>
        <v>45.006649999999979</v>
      </c>
      <c r="AB82" s="120">
        <f t="shared" si="97"/>
        <v>44.565408333333302</v>
      </c>
      <c r="AC82" s="120">
        <f t="shared" si="97"/>
        <v>44.124166666666639</v>
      </c>
      <c r="AD82" s="120">
        <f t="shared" si="97"/>
        <v>43.682924999999976</v>
      </c>
      <c r="AE82" s="120">
        <f t="shared" si="97"/>
        <v>43.241683333333306</v>
      </c>
      <c r="AF82" s="120">
        <f t="shared" si="97"/>
        <v>42.800441666666636</v>
      </c>
      <c r="AG82" s="120">
        <f t="shared" si="97"/>
        <v>42.359199999999973</v>
      </c>
      <c r="AH82" s="120">
        <f t="shared" si="97"/>
        <v>41.91795833333331</v>
      </c>
      <c r="AI82" s="120">
        <f t="shared" si="97"/>
        <v>41.476716666666647</v>
      </c>
      <c r="AJ82" s="120">
        <f t="shared" si="97"/>
        <v>41.03547499999997</v>
      </c>
      <c r="AK82" s="120">
        <f t="shared" si="97"/>
        <v>40.594233333333307</v>
      </c>
      <c r="AL82" s="120">
        <f t="shared" si="97"/>
        <v>40.152991666666644</v>
      </c>
      <c r="AM82" s="120">
        <f t="shared" si="97"/>
        <v>39.711749999999974</v>
      </c>
      <c r="AN82" s="120">
        <f t="shared" si="97"/>
        <v>39.270508333333311</v>
      </c>
      <c r="AO82" s="120">
        <f t="shared" si="97"/>
        <v>38.829266666666641</v>
      </c>
      <c r="AP82" s="120">
        <f t="shared" si="97"/>
        <v>38.388024999999978</v>
      </c>
      <c r="AQ82" s="120">
        <f t="shared" si="97"/>
        <v>37.946783333333315</v>
      </c>
      <c r="AR82" s="120">
        <f t="shared" si="97"/>
        <v>37.505541666666645</v>
      </c>
      <c r="AS82" s="120">
        <f t="shared" si="97"/>
        <v>37.064299999999974</v>
      </c>
      <c r="AT82" s="120">
        <f t="shared" si="97"/>
        <v>36.623058333333312</v>
      </c>
      <c r="AU82" s="120">
        <f t="shared" si="97"/>
        <v>36.181816666666641</v>
      </c>
      <c r="AV82" s="120">
        <f t="shared" si="97"/>
        <v>35.740574999999978</v>
      </c>
      <c r="AW82" s="120">
        <f t="shared" si="97"/>
        <v>35.299333333333315</v>
      </c>
      <c r="AX82" s="120">
        <f t="shared" si="97"/>
        <v>34.858091666666645</v>
      </c>
      <c r="AY82" s="120">
        <f t="shared" si="97"/>
        <v>34.416849999999982</v>
      </c>
      <c r="AZ82" s="120">
        <f t="shared" si="97"/>
        <v>33.975608333333312</v>
      </c>
      <c r="BA82" s="120">
        <f t="shared" si="97"/>
        <v>33.534366666666649</v>
      </c>
      <c r="BB82" s="120">
        <f t="shared" si="97"/>
        <v>33.093124999999979</v>
      </c>
      <c r="BC82" s="120">
        <f t="shared" si="97"/>
        <v>32.651883333333316</v>
      </c>
      <c r="BD82" s="120">
        <f t="shared" si="97"/>
        <v>32.210641666666646</v>
      </c>
      <c r="BE82" s="120">
        <f t="shared" si="97"/>
        <v>31.76939999999998</v>
      </c>
      <c r="BF82" s="120">
        <f t="shared" si="97"/>
        <v>31.328158333333317</v>
      </c>
      <c r="BG82" s="120">
        <f t="shared" si="97"/>
        <v>30.886916666666647</v>
      </c>
      <c r="BH82" s="120">
        <f t="shared" si="97"/>
        <v>30.44567499999998</v>
      </c>
      <c r="BI82" s="120">
        <f t="shared" si="97"/>
        <v>30.004433333333314</v>
      </c>
      <c r="BJ82" s="120">
        <f t="shared" si="97"/>
        <v>29.563191666666651</v>
      </c>
      <c r="BK82" s="120">
        <f t="shared" si="97"/>
        <v>29.121949999999984</v>
      </c>
      <c r="BL82" s="120">
        <f t="shared" si="97"/>
        <v>28.680708333333314</v>
      </c>
      <c r="BM82" s="120">
        <f t="shared" si="97"/>
        <v>28.239466666666651</v>
      </c>
      <c r="BN82" s="120">
        <f t="shared" si="97"/>
        <v>27.798224999999984</v>
      </c>
      <c r="BO82" s="120">
        <f t="shared" si="97"/>
        <v>27.356983333333318</v>
      </c>
      <c r="BP82" s="120">
        <f t="shared" si="97"/>
        <v>26.915741666666648</v>
      </c>
      <c r="BQ82" s="120">
        <f t="shared" si="97"/>
        <v>26.474499999999985</v>
      </c>
      <c r="BR82" s="120">
        <f t="shared" si="97"/>
        <v>26.033258333333318</v>
      </c>
      <c r="BS82" s="120">
        <f t="shared" si="97"/>
        <v>25.592016666666652</v>
      </c>
      <c r="BT82" s="120">
        <f t="shared" si="97"/>
        <v>25.150774999999982</v>
      </c>
      <c r="BU82" s="120">
        <f t="shared" si="97"/>
        <v>24.709533333333319</v>
      </c>
      <c r="BV82" s="120">
        <f t="shared" si="97"/>
        <v>24.268291666666656</v>
      </c>
      <c r="BW82" s="120">
        <f t="shared" si="97"/>
        <v>23.827049999999986</v>
      </c>
      <c r="BX82" s="120">
        <f t="shared" si="97"/>
        <v>23.385808333333316</v>
      </c>
      <c r="BY82" s="120">
        <f t="shared" si="97"/>
        <v>22.944566666666653</v>
      </c>
      <c r="BZ82" s="120">
        <f t="shared" si="97"/>
        <v>22.50332499999999</v>
      </c>
      <c r="CA82" s="120">
        <f t="shared" si="97"/>
        <v>22.06208333333332</v>
      </c>
      <c r="CB82" s="120">
        <f t="shared" si="97"/>
        <v>21.620841666666653</v>
      </c>
      <c r="CC82" s="120">
        <f t="shared" si="97"/>
        <v>21.179599999999986</v>
      </c>
      <c r="CD82" s="120">
        <f t="shared" si="97"/>
        <v>20.738358333333323</v>
      </c>
      <c r="CE82" s="120">
        <f t="shared" si="97"/>
        <v>20.297116666666653</v>
      </c>
      <c r="CF82" s="120">
        <f t="shared" si="97"/>
        <v>19.855874999999987</v>
      </c>
      <c r="CG82" s="120">
        <f t="shared" si="97"/>
        <v>19.41463333333332</v>
      </c>
      <c r="CH82" s="120">
        <f t="shared" si="97"/>
        <v>18.973391666666657</v>
      </c>
      <c r="CI82" s="120">
        <f t="shared" si="97"/>
        <v>18.532149999999987</v>
      </c>
      <c r="CJ82" s="120">
        <f t="shared" ref="CJ82:DY82" si="98">IF(AND(CI$1&lt;CJ$1, CJ$1&lt;=$F81),$U82*($F81-CJ$1)/($F81-$U$1),0)</f>
        <v>18.090908333333321</v>
      </c>
      <c r="CK82" s="120">
        <f t="shared" si="98"/>
        <v>17.649666666666658</v>
      </c>
      <c r="CL82" s="120">
        <f t="shared" si="98"/>
        <v>17.208424999999991</v>
      </c>
      <c r="CM82" s="120">
        <f t="shared" si="98"/>
        <v>16.767183333333325</v>
      </c>
      <c r="CN82" s="120">
        <f t="shared" si="98"/>
        <v>16.325941666666658</v>
      </c>
      <c r="CO82" s="120">
        <f t="shared" si="98"/>
        <v>15.88469999999999</v>
      </c>
      <c r="CP82" s="120">
        <f t="shared" si="98"/>
        <v>15.443458333333323</v>
      </c>
      <c r="CQ82" s="120">
        <f t="shared" si="98"/>
        <v>15.002216666666657</v>
      </c>
      <c r="CR82" s="120">
        <f t="shared" si="98"/>
        <v>14.560974999999992</v>
      </c>
      <c r="CS82" s="120">
        <f t="shared" si="98"/>
        <v>14.119733333333325</v>
      </c>
      <c r="CT82" s="120">
        <f t="shared" si="98"/>
        <v>13.678491666666659</v>
      </c>
      <c r="CU82" s="120">
        <f t="shared" si="98"/>
        <v>13.237249999999992</v>
      </c>
      <c r="CV82" s="120">
        <f t="shared" si="98"/>
        <v>12.796008333333326</v>
      </c>
      <c r="CW82" s="120">
        <f t="shared" si="98"/>
        <v>12.354766666666659</v>
      </c>
      <c r="CX82" s="120">
        <f t="shared" si="98"/>
        <v>11.913524999999993</v>
      </c>
      <c r="CY82" s="120">
        <f t="shared" si="98"/>
        <v>11.472283333333326</v>
      </c>
      <c r="CZ82" s="120">
        <f t="shared" si="98"/>
        <v>11.03104166666666</v>
      </c>
      <c r="DA82" s="120">
        <f t="shared" si="98"/>
        <v>10.589799999999993</v>
      </c>
      <c r="DB82" s="120">
        <f t="shared" si="98"/>
        <v>10.148558333333327</v>
      </c>
      <c r="DC82" s="120">
        <f t="shared" si="98"/>
        <v>9.7073166666666602</v>
      </c>
      <c r="DD82" s="120">
        <f t="shared" si="98"/>
        <v>9.2660749999999936</v>
      </c>
      <c r="DE82" s="120">
        <f t="shared" si="98"/>
        <v>8.8248333333333289</v>
      </c>
      <c r="DF82" s="120">
        <f t="shared" si="98"/>
        <v>8.3835916666666623</v>
      </c>
      <c r="DG82" s="120">
        <f t="shared" si="98"/>
        <v>7.9423499999999949</v>
      </c>
      <c r="DH82" s="120">
        <f t="shared" si="98"/>
        <v>7.5011083333333284</v>
      </c>
      <c r="DI82" s="120">
        <f t="shared" si="98"/>
        <v>7.0598666666666627</v>
      </c>
      <c r="DJ82" s="120">
        <f t="shared" si="98"/>
        <v>6.6186249999999962</v>
      </c>
      <c r="DK82" s="120">
        <f t="shared" si="98"/>
        <v>6.1773833333333297</v>
      </c>
      <c r="DL82" s="120">
        <f t="shared" si="98"/>
        <v>5.7361416666666631</v>
      </c>
      <c r="DM82" s="120">
        <f t="shared" si="98"/>
        <v>5.2948999999999966</v>
      </c>
      <c r="DN82" s="120">
        <f t="shared" si="98"/>
        <v>4.8536583333333301</v>
      </c>
      <c r="DO82" s="120">
        <f t="shared" si="98"/>
        <v>4.4124166666666644</v>
      </c>
      <c r="DP82" s="120">
        <f t="shared" si="98"/>
        <v>3.9711749999999975</v>
      </c>
      <c r="DQ82" s="120">
        <f t="shared" si="98"/>
        <v>3.5299333333333314</v>
      </c>
      <c r="DR82" s="120">
        <f t="shared" si="98"/>
        <v>3.0886916666666648</v>
      </c>
      <c r="DS82" s="120">
        <f t="shared" si="98"/>
        <v>2.6474499999999983</v>
      </c>
      <c r="DT82" s="120">
        <f t="shared" si="98"/>
        <v>2.2062083333333322</v>
      </c>
      <c r="DU82" s="120">
        <f t="shared" si="98"/>
        <v>1.7649666666666657</v>
      </c>
      <c r="DV82" s="120">
        <f t="shared" si="98"/>
        <v>1.3237249999999992</v>
      </c>
      <c r="DW82" s="120">
        <f t="shared" si="98"/>
        <v>0.88248333333333284</v>
      </c>
      <c r="DX82" s="120">
        <f t="shared" si="98"/>
        <v>0.44124166666666642</v>
      </c>
      <c r="DY82" s="120">
        <f t="shared" si="98"/>
        <v>0</v>
      </c>
    </row>
    <row r="83" spans="1:129" x14ac:dyDescent="0.45">
      <c r="A83" s="3"/>
      <c r="B83" s="2"/>
      <c r="C83" s="122" t="s">
        <v>266</v>
      </c>
      <c r="D83" s="17"/>
      <c r="E83" s="2"/>
      <c r="F83" s="2"/>
      <c r="G83" s="2"/>
      <c r="H83" s="2"/>
      <c r="I83" s="13"/>
      <c r="J83" s="58"/>
      <c r="K83" s="58"/>
      <c r="L83" s="58"/>
      <c r="M83" s="58"/>
      <c r="N83" s="58"/>
      <c r="O83" s="58"/>
      <c r="P83" s="58"/>
      <c r="Q83" s="58"/>
      <c r="R83" s="58"/>
      <c r="S83" s="58"/>
      <c r="T83" s="58"/>
      <c r="U83" s="95"/>
      <c r="V83" s="91"/>
      <c r="W83" s="91"/>
      <c r="X83" s="91"/>
      <c r="Y83" s="91"/>
      <c r="Z83" s="55"/>
      <c r="AA83" s="55"/>
      <c r="AB83" s="55"/>
      <c r="AC83" s="55"/>
      <c r="AD83" s="55"/>
      <c r="AE83" s="55"/>
      <c r="AF83" s="55"/>
      <c r="AG83" s="129">
        <f>'Plan Moyen Terme (PMT)'!D27-BAU_Liquidité_Dynamique!AG81</f>
        <v>95.308199999999999</v>
      </c>
      <c r="AH83" s="124">
        <f>IF(AND(AG$1&lt;AH$1, AH$1&lt;=$F81),$AG83*($F81-AH$1)/($F81-$AG$1),0)</f>
        <v>94.315406250000009</v>
      </c>
      <c r="AI83" s="124">
        <f>IF(AND(AH$1&lt;AI$1, AI$1&lt;=$F81),$AG83*($F81-AI$1)/($F81-$AG$1),0)</f>
        <v>93.322612499999991</v>
      </c>
      <c r="AJ83" s="124">
        <f t="shared" ref="AJ83:CU83" si="99">IF(AND(AI$1&lt;AJ$1, AJ$1&lt;=$F81),$AG83*($F81-AJ$1)/($F81-$AG$1),0)</f>
        <v>92.329818750000001</v>
      </c>
      <c r="AK83" s="124">
        <f t="shared" si="99"/>
        <v>91.337024999999997</v>
      </c>
      <c r="AL83" s="124">
        <f t="shared" si="99"/>
        <v>90.344231250000007</v>
      </c>
      <c r="AM83" s="124">
        <f t="shared" si="99"/>
        <v>89.351437499999989</v>
      </c>
      <c r="AN83" s="124">
        <f t="shared" si="99"/>
        <v>88.358643749999999</v>
      </c>
      <c r="AO83" s="124">
        <f t="shared" si="99"/>
        <v>87.365850000000009</v>
      </c>
      <c r="AP83" s="124">
        <f t="shared" si="99"/>
        <v>86.373056249999991</v>
      </c>
      <c r="AQ83" s="124">
        <f t="shared" si="99"/>
        <v>85.380262500000001</v>
      </c>
      <c r="AR83" s="124">
        <f t="shared" si="99"/>
        <v>84.387468749999996</v>
      </c>
      <c r="AS83" s="124">
        <f t="shared" si="99"/>
        <v>83.394674999999992</v>
      </c>
      <c r="AT83" s="124">
        <f t="shared" si="99"/>
        <v>82.401881250000002</v>
      </c>
      <c r="AU83" s="124">
        <f t="shared" si="99"/>
        <v>81.409087499999998</v>
      </c>
      <c r="AV83" s="124">
        <f t="shared" si="99"/>
        <v>80.416293750000008</v>
      </c>
      <c r="AW83" s="124">
        <f t="shared" si="99"/>
        <v>79.423500000000004</v>
      </c>
      <c r="AX83" s="124">
        <f t="shared" si="99"/>
        <v>78.43070625</v>
      </c>
      <c r="AY83" s="124">
        <f t="shared" si="99"/>
        <v>77.437912499999996</v>
      </c>
      <c r="AZ83" s="124">
        <f t="shared" si="99"/>
        <v>76.445118749999992</v>
      </c>
      <c r="BA83" s="124">
        <f t="shared" si="99"/>
        <v>75.452325000000002</v>
      </c>
      <c r="BB83" s="124">
        <f t="shared" si="99"/>
        <v>74.459531249999998</v>
      </c>
      <c r="BC83" s="124">
        <f t="shared" si="99"/>
        <v>73.466737500000008</v>
      </c>
      <c r="BD83" s="124">
        <f t="shared" si="99"/>
        <v>72.473943750000004</v>
      </c>
      <c r="BE83" s="124">
        <f t="shared" si="99"/>
        <v>71.48115</v>
      </c>
      <c r="BF83" s="124">
        <f t="shared" si="99"/>
        <v>70.488356249999995</v>
      </c>
      <c r="BG83" s="124">
        <f t="shared" si="99"/>
        <v>69.495562499999991</v>
      </c>
      <c r="BH83" s="124">
        <f t="shared" si="99"/>
        <v>68.502768750000001</v>
      </c>
      <c r="BI83" s="124">
        <f t="shared" si="99"/>
        <v>67.509974999999997</v>
      </c>
      <c r="BJ83" s="124">
        <f t="shared" si="99"/>
        <v>66.517181250000007</v>
      </c>
      <c r="BK83" s="124">
        <f t="shared" si="99"/>
        <v>65.524387500000003</v>
      </c>
      <c r="BL83" s="124">
        <f t="shared" si="99"/>
        <v>64.531593749999999</v>
      </c>
      <c r="BM83" s="124">
        <f t="shared" si="99"/>
        <v>63.538800000000002</v>
      </c>
      <c r="BN83" s="124">
        <f t="shared" si="99"/>
        <v>62.546006249999998</v>
      </c>
      <c r="BO83" s="124">
        <f t="shared" si="99"/>
        <v>61.553212500000001</v>
      </c>
      <c r="BP83" s="124">
        <f t="shared" si="99"/>
        <v>60.560418749999997</v>
      </c>
      <c r="BQ83" s="124">
        <f t="shared" si="99"/>
        <v>59.567625</v>
      </c>
      <c r="BR83" s="124">
        <f t="shared" si="99"/>
        <v>58.574831249999995</v>
      </c>
      <c r="BS83" s="124">
        <f t="shared" si="99"/>
        <v>57.582037500000006</v>
      </c>
      <c r="BT83" s="124">
        <f t="shared" si="99"/>
        <v>56.589243750000001</v>
      </c>
      <c r="BU83" s="124">
        <f t="shared" si="99"/>
        <v>55.596450000000004</v>
      </c>
      <c r="BV83" s="124">
        <f t="shared" si="99"/>
        <v>54.60365625</v>
      </c>
      <c r="BW83" s="124">
        <f t="shared" si="99"/>
        <v>53.610862499999996</v>
      </c>
      <c r="BX83" s="124">
        <f t="shared" si="99"/>
        <v>52.618068749999999</v>
      </c>
      <c r="BY83" s="124">
        <f t="shared" si="99"/>
        <v>51.625274999999995</v>
      </c>
      <c r="BZ83" s="124">
        <f t="shared" si="99"/>
        <v>50.632481250000005</v>
      </c>
      <c r="CA83" s="124">
        <f t="shared" si="99"/>
        <v>49.639687500000001</v>
      </c>
      <c r="CB83" s="124">
        <f t="shared" si="99"/>
        <v>48.646893750000004</v>
      </c>
      <c r="CC83" s="124">
        <f t="shared" si="99"/>
        <v>47.6541</v>
      </c>
      <c r="CD83" s="124">
        <f t="shared" si="99"/>
        <v>46.661306249999996</v>
      </c>
      <c r="CE83" s="124">
        <f t="shared" si="99"/>
        <v>45.668512499999999</v>
      </c>
      <c r="CF83" s="124">
        <f t="shared" si="99"/>
        <v>44.675718749999994</v>
      </c>
      <c r="CG83" s="124">
        <f t="shared" si="99"/>
        <v>43.682925000000004</v>
      </c>
      <c r="CH83" s="124">
        <f t="shared" si="99"/>
        <v>42.69013125</v>
      </c>
      <c r="CI83" s="124">
        <f t="shared" si="99"/>
        <v>41.697337499999996</v>
      </c>
      <c r="CJ83" s="124">
        <f t="shared" si="99"/>
        <v>40.704543749999999</v>
      </c>
      <c r="CK83" s="124">
        <f t="shared" si="99"/>
        <v>39.711750000000002</v>
      </c>
      <c r="CL83" s="124">
        <f t="shared" si="99"/>
        <v>38.718956249999998</v>
      </c>
      <c r="CM83" s="124">
        <f t="shared" si="99"/>
        <v>37.726162500000001</v>
      </c>
      <c r="CN83" s="124">
        <f t="shared" si="99"/>
        <v>36.733368750000004</v>
      </c>
      <c r="CO83" s="124">
        <f t="shared" si="99"/>
        <v>35.740575</v>
      </c>
      <c r="CP83" s="124">
        <f t="shared" si="99"/>
        <v>34.747781249999996</v>
      </c>
      <c r="CQ83" s="124">
        <f t="shared" si="99"/>
        <v>33.754987499999999</v>
      </c>
      <c r="CR83" s="124">
        <f t="shared" si="99"/>
        <v>32.762193750000002</v>
      </c>
      <c r="CS83" s="124">
        <f t="shared" si="99"/>
        <v>31.769400000000001</v>
      </c>
      <c r="CT83" s="124">
        <f t="shared" si="99"/>
        <v>30.77660625</v>
      </c>
      <c r="CU83" s="124">
        <f t="shared" si="99"/>
        <v>29.7838125</v>
      </c>
      <c r="CV83" s="124">
        <f t="shared" ref="CV83:DY83" si="100">IF(AND(CU$1&lt;CV$1, CV$1&lt;=$F81),$AG83*($F81-CV$1)/($F81-$AG$1),0)</f>
        <v>28.791018750000003</v>
      </c>
      <c r="CW83" s="124">
        <f t="shared" si="100"/>
        <v>27.798225000000002</v>
      </c>
      <c r="CX83" s="124">
        <f t="shared" si="100"/>
        <v>26.805431249999998</v>
      </c>
      <c r="CY83" s="124">
        <f t="shared" si="100"/>
        <v>25.812637499999997</v>
      </c>
      <c r="CZ83" s="124">
        <f t="shared" si="100"/>
        <v>24.81984375</v>
      </c>
      <c r="DA83" s="124">
        <f t="shared" si="100"/>
        <v>23.82705</v>
      </c>
      <c r="DB83" s="124">
        <f t="shared" si="100"/>
        <v>22.834256249999999</v>
      </c>
      <c r="DC83" s="124">
        <f t="shared" si="100"/>
        <v>21.841462500000002</v>
      </c>
      <c r="DD83" s="124">
        <f t="shared" si="100"/>
        <v>20.848668749999998</v>
      </c>
      <c r="DE83" s="124">
        <f t="shared" si="100"/>
        <v>19.855875000000001</v>
      </c>
      <c r="DF83" s="124">
        <f t="shared" si="100"/>
        <v>18.86308125</v>
      </c>
      <c r="DG83" s="124">
        <f t="shared" si="100"/>
        <v>17.8702875</v>
      </c>
      <c r="DH83" s="124">
        <f t="shared" si="100"/>
        <v>16.877493749999999</v>
      </c>
      <c r="DI83" s="124">
        <f t="shared" si="100"/>
        <v>15.8847</v>
      </c>
      <c r="DJ83" s="124">
        <f t="shared" si="100"/>
        <v>14.89190625</v>
      </c>
      <c r="DK83" s="124">
        <f t="shared" si="100"/>
        <v>13.899112500000001</v>
      </c>
      <c r="DL83" s="124">
        <f t="shared" si="100"/>
        <v>12.906318749999999</v>
      </c>
      <c r="DM83" s="124">
        <f t="shared" si="100"/>
        <v>11.913525</v>
      </c>
      <c r="DN83" s="124">
        <f t="shared" si="100"/>
        <v>10.920731250000001</v>
      </c>
      <c r="DO83" s="124">
        <f t="shared" si="100"/>
        <v>9.9279375000000005</v>
      </c>
      <c r="DP83" s="124">
        <f t="shared" si="100"/>
        <v>8.9351437499999999</v>
      </c>
      <c r="DQ83" s="124">
        <f t="shared" si="100"/>
        <v>7.9423500000000002</v>
      </c>
      <c r="DR83" s="124">
        <f t="shared" si="100"/>
        <v>6.9495562500000005</v>
      </c>
      <c r="DS83" s="124">
        <f t="shared" si="100"/>
        <v>5.9567625</v>
      </c>
      <c r="DT83" s="124">
        <f t="shared" si="100"/>
        <v>4.9639687500000003</v>
      </c>
      <c r="DU83" s="124">
        <f t="shared" si="100"/>
        <v>3.9711750000000001</v>
      </c>
      <c r="DV83" s="124">
        <f t="shared" si="100"/>
        <v>2.97838125</v>
      </c>
      <c r="DW83" s="124">
        <f t="shared" si="100"/>
        <v>1.9855875000000001</v>
      </c>
      <c r="DX83" s="124">
        <f t="shared" si="100"/>
        <v>0.99279375000000003</v>
      </c>
      <c r="DY83" s="124">
        <f t="shared" si="100"/>
        <v>0</v>
      </c>
    </row>
    <row r="84" spans="1:129" x14ac:dyDescent="0.45">
      <c r="A84" s="3"/>
      <c r="B84" s="2"/>
      <c r="C84" s="125" t="s">
        <v>267</v>
      </c>
      <c r="D84" s="17"/>
      <c r="E84" s="2"/>
      <c r="F84" s="2"/>
      <c r="G84" s="2"/>
      <c r="H84" s="2"/>
      <c r="I84" s="13"/>
      <c r="J84" s="58"/>
      <c r="K84" s="58"/>
      <c r="L84" s="58"/>
      <c r="M84" s="58"/>
      <c r="N84" s="58"/>
      <c r="O84" s="58"/>
      <c r="P84" s="58"/>
      <c r="Q84" s="58"/>
      <c r="R84" s="58"/>
      <c r="S84" s="58"/>
      <c r="T84" s="58"/>
      <c r="U84" s="96"/>
      <c r="V84" s="55"/>
      <c r="W84" s="55"/>
      <c r="X84" s="55"/>
      <c r="Y84" s="55"/>
      <c r="Z84" s="55"/>
      <c r="AA84" s="55"/>
      <c r="AB84" s="55"/>
      <c r="AC84" s="55"/>
      <c r="AD84" s="55"/>
      <c r="AE84" s="55"/>
      <c r="AF84" s="55"/>
      <c r="AG84" s="102"/>
      <c r="AH84" s="91"/>
      <c r="AI84" s="91"/>
      <c r="AJ84" s="91"/>
      <c r="AK84" s="55"/>
      <c r="AL84" s="55"/>
      <c r="AM84" s="55"/>
      <c r="AN84" s="55"/>
      <c r="AO84" s="55"/>
      <c r="AP84" s="55"/>
      <c r="AQ84" s="55"/>
      <c r="AR84" s="55"/>
      <c r="AS84" s="130">
        <f>'Plan Moyen Terme (PMT)'!E27-BAU_Liquidité_Dynamique!AS81</f>
        <v>142.96230000000003</v>
      </c>
      <c r="AT84" s="126">
        <f>IF(AND(AS$1&lt;AT$1, AT$1&lt;=$F81),$AS84*($F81-AT$1)/($F81-$AS$1),0)</f>
        <v>141.26036785714288</v>
      </c>
      <c r="AU84" s="126">
        <f t="shared" ref="AU84:DF84" si="101">IF(AND(AT$1&lt;AU$1, AU$1&lt;=$F81),$AS84*($F81-AU$1)/($F81-$AS$1),0)</f>
        <v>139.55843571428574</v>
      </c>
      <c r="AV84" s="126">
        <f t="shared" si="101"/>
        <v>137.85650357142859</v>
      </c>
      <c r="AW84" s="126">
        <f t="shared" si="101"/>
        <v>136.15457142857144</v>
      </c>
      <c r="AX84" s="126">
        <f t="shared" si="101"/>
        <v>134.45263928571433</v>
      </c>
      <c r="AY84" s="126">
        <f t="shared" si="101"/>
        <v>132.75070714285715</v>
      </c>
      <c r="AZ84" s="126">
        <f t="shared" si="101"/>
        <v>131.04877500000003</v>
      </c>
      <c r="BA84" s="126">
        <f t="shared" si="101"/>
        <v>129.34684285714289</v>
      </c>
      <c r="BB84" s="126">
        <f t="shared" si="101"/>
        <v>127.64491071428574</v>
      </c>
      <c r="BC84" s="126">
        <f t="shared" si="101"/>
        <v>125.94297857142858</v>
      </c>
      <c r="BD84" s="126">
        <f t="shared" si="101"/>
        <v>124.24104642857145</v>
      </c>
      <c r="BE84" s="126">
        <f t="shared" si="101"/>
        <v>122.53911428571432</v>
      </c>
      <c r="BF84" s="126">
        <f t="shared" si="101"/>
        <v>120.83718214285716</v>
      </c>
      <c r="BG84" s="126">
        <f t="shared" si="101"/>
        <v>119.13525000000003</v>
      </c>
      <c r="BH84" s="126">
        <f t="shared" si="101"/>
        <v>117.43331785714288</v>
      </c>
      <c r="BI84" s="126">
        <f t="shared" si="101"/>
        <v>115.73138571428574</v>
      </c>
      <c r="BJ84" s="126">
        <f t="shared" si="101"/>
        <v>114.02945357142859</v>
      </c>
      <c r="BK84" s="126">
        <f t="shared" si="101"/>
        <v>112.32752142857146</v>
      </c>
      <c r="BL84" s="126">
        <f t="shared" si="101"/>
        <v>110.6255892857143</v>
      </c>
      <c r="BM84" s="126">
        <f t="shared" si="101"/>
        <v>108.92365714285717</v>
      </c>
      <c r="BN84" s="126">
        <f t="shared" si="101"/>
        <v>107.22172500000003</v>
      </c>
      <c r="BO84" s="126">
        <f t="shared" si="101"/>
        <v>105.51979285714287</v>
      </c>
      <c r="BP84" s="126">
        <f t="shared" si="101"/>
        <v>103.81786071428574</v>
      </c>
      <c r="BQ84" s="126">
        <f t="shared" si="101"/>
        <v>102.11592857142858</v>
      </c>
      <c r="BR84" s="126">
        <f t="shared" si="101"/>
        <v>100.41399642857145</v>
      </c>
      <c r="BS84" s="126">
        <f t="shared" si="101"/>
        <v>98.712064285714291</v>
      </c>
      <c r="BT84" s="126">
        <f t="shared" si="101"/>
        <v>97.010132142857159</v>
      </c>
      <c r="BU84" s="126">
        <f t="shared" si="101"/>
        <v>95.308200000000014</v>
      </c>
      <c r="BV84" s="126">
        <f t="shared" si="101"/>
        <v>93.606267857142868</v>
      </c>
      <c r="BW84" s="126">
        <f t="shared" si="101"/>
        <v>91.904335714285736</v>
      </c>
      <c r="BX84" s="126">
        <f t="shared" si="101"/>
        <v>90.20240357142859</v>
      </c>
      <c r="BY84" s="126">
        <f t="shared" si="101"/>
        <v>88.500471428571444</v>
      </c>
      <c r="BZ84" s="126">
        <f t="shared" si="101"/>
        <v>86.798539285714313</v>
      </c>
      <c r="CA84" s="126">
        <f t="shared" si="101"/>
        <v>85.096607142857167</v>
      </c>
      <c r="CB84" s="126">
        <f t="shared" si="101"/>
        <v>83.394675000000021</v>
      </c>
      <c r="CC84" s="126">
        <f t="shared" si="101"/>
        <v>81.692742857142875</v>
      </c>
      <c r="CD84" s="126">
        <f t="shared" si="101"/>
        <v>79.990810714285729</v>
      </c>
      <c r="CE84" s="126">
        <f t="shared" si="101"/>
        <v>78.288878571428583</v>
      </c>
      <c r="CF84" s="126">
        <f t="shared" si="101"/>
        <v>76.586946428571437</v>
      </c>
      <c r="CG84" s="126">
        <f t="shared" si="101"/>
        <v>74.885014285714291</v>
      </c>
      <c r="CH84" s="126">
        <f t="shared" si="101"/>
        <v>73.18308214285716</v>
      </c>
      <c r="CI84" s="126">
        <f t="shared" si="101"/>
        <v>71.481150000000014</v>
      </c>
      <c r="CJ84" s="126">
        <f t="shared" si="101"/>
        <v>69.779217857142868</v>
      </c>
      <c r="CK84" s="126">
        <f t="shared" si="101"/>
        <v>68.077285714285722</v>
      </c>
      <c r="CL84" s="126">
        <f t="shared" si="101"/>
        <v>66.375353571428576</v>
      </c>
      <c r="CM84" s="126">
        <f t="shared" si="101"/>
        <v>64.673421428571444</v>
      </c>
      <c r="CN84" s="126">
        <f t="shared" si="101"/>
        <v>62.971489285714291</v>
      </c>
      <c r="CO84" s="126">
        <f t="shared" si="101"/>
        <v>61.26955714285716</v>
      </c>
      <c r="CP84" s="126">
        <f t="shared" si="101"/>
        <v>59.567625000000014</v>
      </c>
      <c r="CQ84" s="126">
        <f t="shared" si="101"/>
        <v>57.865692857142868</v>
      </c>
      <c r="CR84" s="126">
        <f t="shared" si="101"/>
        <v>56.163760714285729</v>
      </c>
      <c r="CS84" s="126">
        <f t="shared" si="101"/>
        <v>54.461828571428583</v>
      </c>
      <c r="CT84" s="126">
        <f t="shared" si="101"/>
        <v>52.759896428571437</v>
      </c>
      <c r="CU84" s="126">
        <f t="shared" si="101"/>
        <v>51.057964285714291</v>
      </c>
      <c r="CV84" s="126">
        <f t="shared" si="101"/>
        <v>49.356032142857146</v>
      </c>
      <c r="CW84" s="126">
        <f t="shared" si="101"/>
        <v>47.654100000000007</v>
      </c>
      <c r="CX84" s="126">
        <f t="shared" si="101"/>
        <v>45.952167857142868</v>
      </c>
      <c r="CY84" s="126">
        <f t="shared" si="101"/>
        <v>44.250235714285722</v>
      </c>
      <c r="CZ84" s="126">
        <f t="shared" si="101"/>
        <v>42.548303571428583</v>
      </c>
      <c r="DA84" s="126">
        <f t="shared" si="101"/>
        <v>40.846371428571437</v>
      </c>
      <c r="DB84" s="126">
        <f t="shared" si="101"/>
        <v>39.144439285714292</v>
      </c>
      <c r="DC84" s="126">
        <f t="shared" si="101"/>
        <v>37.442507142857146</v>
      </c>
      <c r="DD84" s="126">
        <f t="shared" si="101"/>
        <v>35.740575000000007</v>
      </c>
      <c r="DE84" s="126">
        <f t="shared" si="101"/>
        <v>34.038642857142861</v>
      </c>
      <c r="DF84" s="126">
        <f t="shared" si="101"/>
        <v>32.336710714285722</v>
      </c>
      <c r="DG84" s="126">
        <f t="shared" ref="DG84:DY84" si="102">IF(AND(DF$1&lt;DG$1, DG$1&lt;=$F81),$AS84*($F81-DG$1)/($F81-$AS$1),0)</f>
        <v>30.63477857142858</v>
      </c>
      <c r="DH84" s="126">
        <f t="shared" si="102"/>
        <v>28.932846428571434</v>
      </c>
      <c r="DI84" s="126">
        <f t="shared" si="102"/>
        <v>27.230914285714292</v>
      </c>
      <c r="DJ84" s="126">
        <f t="shared" si="102"/>
        <v>25.528982142857146</v>
      </c>
      <c r="DK84" s="126">
        <f t="shared" si="102"/>
        <v>23.827050000000003</v>
      </c>
      <c r="DL84" s="126">
        <f t="shared" si="102"/>
        <v>22.125117857142861</v>
      </c>
      <c r="DM84" s="126">
        <f t="shared" si="102"/>
        <v>20.423185714285719</v>
      </c>
      <c r="DN84" s="126">
        <f t="shared" si="102"/>
        <v>18.721253571428573</v>
      </c>
      <c r="DO84" s="126">
        <f t="shared" si="102"/>
        <v>17.01932142857143</v>
      </c>
      <c r="DP84" s="126">
        <f t="shared" si="102"/>
        <v>15.31738928571429</v>
      </c>
      <c r="DQ84" s="126">
        <f t="shared" si="102"/>
        <v>13.615457142857146</v>
      </c>
      <c r="DR84" s="126">
        <f t="shared" si="102"/>
        <v>11.913525000000002</v>
      </c>
      <c r="DS84" s="126">
        <f t="shared" si="102"/>
        <v>10.211592857142859</v>
      </c>
      <c r="DT84" s="126">
        <f t="shared" si="102"/>
        <v>8.5096607142857152</v>
      </c>
      <c r="DU84" s="126">
        <f t="shared" si="102"/>
        <v>6.8077285714285729</v>
      </c>
      <c r="DV84" s="126">
        <f t="shared" si="102"/>
        <v>5.1057964285714297</v>
      </c>
      <c r="DW84" s="126">
        <f t="shared" si="102"/>
        <v>3.4038642857142865</v>
      </c>
      <c r="DX84" s="126">
        <f t="shared" si="102"/>
        <v>1.7019321428571432</v>
      </c>
      <c r="DY84" s="126">
        <f t="shared" si="102"/>
        <v>0</v>
      </c>
    </row>
    <row r="85" spans="1:129" x14ac:dyDescent="0.45">
      <c r="A85" s="3">
        <v>46022</v>
      </c>
      <c r="B85" s="2" t="s">
        <v>19</v>
      </c>
      <c r="C85" s="6" t="s">
        <v>25</v>
      </c>
      <c r="D85" s="17">
        <v>0</v>
      </c>
      <c r="E85" s="2" t="s">
        <v>43</v>
      </c>
      <c r="F85" s="2">
        <v>120</v>
      </c>
      <c r="G85" s="2" t="s">
        <v>43</v>
      </c>
      <c r="H85" s="2">
        <v>120</v>
      </c>
      <c r="I85" s="14">
        <v>18000.179</v>
      </c>
      <c r="J85" s="55">
        <f t="shared" si="94"/>
        <v>17850.177508333334</v>
      </c>
      <c r="K85" s="55">
        <f t="shared" si="94"/>
        <v>17700.176016666665</v>
      </c>
      <c r="L85" s="55">
        <f t="shared" si="94"/>
        <v>17550.174524999999</v>
      </c>
      <c r="M85" s="55">
        <f t="shared" si="94"/>
        <v>17400.173033333333</v>
      </c>
      <c r="N85" s="55">
        <f t="shared" si="94"/>
        <v>17250.171541666667</v>
      </c>
      <c r="O85" s="55">
        <f t="shared" si="94"/>
        <v>17100.170050000001</v>
      </c>
      <c r="P85" s="55">
        <f t="shared" si="94"/>
        <v>16950.168558333335</v>
      </c>
      <c r="Q85" s="55">
        <f t="shared" si="94"/>
        <v>16800.167066666669</v>
      </c>
      <c r="R85" s="55">
        <f t="shared" si="94"/>
        <v>16650.165574999999</v>
      </c>
      <c r="S85" s="55">
        <f t="shared" si="94"/>
        <v>16500.164083333333</v>
      </c>
      <c r="T85" s="55">
        <f t="shared" si="94"/>
        <v>16350.162591666667</v>
      </c>
      <c r="U85" s="96">
        <f t="shared" si="94"/>
        <v>16200.161100000001</v>
      </c>
      <c r="V85" s="55">
        <f t="shared" si="94"/>
        <v>16050.159608333335</v>
      </c>
      <c r="W85" s="55">
        <f t="shared" si="94"/>
        <v>15900.158116666666</v>
      </c>
      <c r="X85" s="55">
        <f t="shared" si="94"/>
        <v>15750.156625</v>
      </c>
      <c r="Y85" s="55">
        <f t="shared" si="94"/>
        <v>15600.155133333334</v>
      </c>
      <c r="Z85" s="55">
        <f t="shared" si="95"/>
        <v>15450.153641666666</v>
      </c>
      <c r="AA85" s="55">
        <f t="shared" si="95"/>
        <v>15300.15215</v>
      </c>
      <c r="AB85" s="55">
        <f t="shared" si="95"/>
        <v>15150.150658333334</v>
      </c>
      <c r="AC85" s="55">
        <f t="shared" si="95"/>
        <v>15000.149166666668</v>
      </c>
      <c r="AD85" s="55">
        <f t="shared" si="95"/>
        <v>14850.147675</v>
      </c>
      <c r="AE85" s="55">
        <f t="shared" si="95"/>
        <v>14700.146183333332</v>
      </c>
      <c r="AF85" s="55">
        <f t="shared" si="95"/>
        <v>14550.144691666666</v>
      </c>
      <c r="AG85" s="102">
        <f t="shared" si="95"/>
        <v>14400.1432</v>
      </c>
      <c r="AH85" s="55">
        <f t="shared" si="95"/>
        <v>14250.141708333333</v>
      </c>
      <c r="AI85" s="55">
        <f t="shared" si="95"/>
        <v>14100.140216666667</v>
      </c>
      <c r="AJ85" s="55">
        <f t="shared" si="95"/>
        <v>13950.138725000001</v>
      </c>
      <c r="AK85" s="55">
        <f t="shared" si="95"/>
        <v>13800.137233333335</v>
      </c>
      <c r="AL85" s="55">
        <f t="shared" si="95"/>
        <v>13650.135741666667</v>
      </c>
      <c r="AM85" s="55">
        <f t="shared" si="95"/>
        <v>13500.134249999999</v>
      </c>
      <c r="AN85" s="55">
        <f t="shared" si="95"/>
        <v>13350.132758333333</v>
      </c>
      <c r="AO85" s="55">
        <f t="shared" si="95"/>
        <v>13200.131266666665</v>
      </c>
      <c r="AP85" s="55">
        <f t="shared" si="95"/>
        <v>13050.129774999999</v>
      </c>
      <c r="AQ85" s="55">
        <f t="shared" si="95"/>
        <v>12900.128283333333</v>
      </c>
      <c r="AR85" s="55">
        <f t="shared" si="95"/>
        <v>12750.126791666667</v>
      </c>
      <c r="AS85" s="108">
        <f t="shared" si="95"/>
        <v>12600.1253</v>
      </c>
      <c r="AT85" s="55">
        <f t="shared" si="95"/>
        <v>12450.123808333334</v>
      </c>
      <c r="AU85" s="55">
        <f t="shared" si="95"/>
        <v>12300.122316666668</v>
      </c>
      <c r="AV85" s="55">
        <f t="shared" si="95"/>
        <v>12150.120825</v>
      </c>
      <c r="AW85" s="55">
        <f t="shared" si="95"/>
        <v>12000.119333333332</v>
      </c>
      <c r="AX85" s="55">
        <f t="shared" si="95"/>
        <v>11850.117841666666</v>
      </c>
      <c r="AY85" s="55">
        <f t="shared" si="95"/>
        <v>11700.11635</v>
      </c>
      <c r="AZ85" s="55">
        <f t="shared" si="95"/>
        <v>11550.114858333334</v>
      </c>
      <c r="BA85" s="55">
        <f t="shared" si="95"/>
        <v>11400.113366666666</v>
      </c>
      <c r="BB85" s="55">
        <f t="shared" si="95"/>
        <v>11250.111875000001</v>
      </c>
      <c r="BC85" s="55">
        <f t="shared" si="95"/>
        <v>11100.110383333335</v>
      </c>
      <c r="BD85" s="55">
        <f t="shared" si="95"/>
        <v>10950.108891666665</v>
      </c>
      <c r="BE85" s="55">
        <f t="shared" si="95"/>
        <v>10800.107399999999</v>
      </c>
      <c r="BF85" s="55">
        <f t="shared" si="95"/>
        <v>10650.105908333333</v>
      </c>
      <c r="BG85" s="55">
        <f t="shared" si="95"/>
        <v>10500.104416666667</v>
      </c>
      <c r="BH85" s="55">
        <f t="shared" si="95"/>
        <v>10350.102924999999</v>
      </c>
      <c r="BI85" s="55">
        <f t="shared" si="95"/>
        <v>10200.101433333333</v>
      </c>
      <c r="BJ85" s="55">
        <f t="shared" si="95"/>
        <v>10050.099941666667</v>
      </c>
      <c r="BK85" s="55">
        <f t="shared" si="95"/>
        <v>9900.0984500000013</v>
      </c>
      <c r="BL85" s="55">
        <f t="shared" si="95"/>
        <v>9750.0969583333335</v>
      </c>
      <c r="BM85" s="55">
        <f t="shared" si="95"/>
        <v>9600.0954666666657</v>
      </c>
      <c r="BN85" s="55">
        <f t="shared" si="95"/>
        <v>9450.0939749999998</v>
      </c>
      <c r="BO85" s="55">
        <f t="shared" si="95"/>
        <v>9300.0924833333338</v>
      </c>
      <c r="BP85" s="55">
        <f t="shared" si="95"/>
        <v>9150.090991666666</v>
      </c>
      <c r="BQ85" s="55">
        <f t="shared" si="95"/>
        <v>9000.0895</v>
      </c>
      <c r="BR85" s="55">
        <f t="shared" si="95"/>
        <v>8850.0880083333323</v>
      </c>
      <c r="BS85" s="55">
        <f t="shared" si="95"/>
        <v>8700.0865166666663</v>
      </c>
      <c r="BT85" s="55">
        <f t="shared" si="95"/>
        <v>8550.0850250000003</v>
      </c>
      <c r="BU85" s="55">
        <f t="shared" si="95"/>
        <v>8400.0835333333343</v>
      </c>
      <c r="BV85" s="55">
        <f t="shared" si="95"/>
        <v>8250.0820416666666</v>
      </c>
      <c r="BW85" s="55">
        <f t="shared" si="95"/>
        <v>8100.0805500000006</v>
      </c>
      <c r="BX85" s="55">
        <f t="shared" si="95"/>
        <v>7950.0790583333328</v>
      </c>
      <c r="BY85" s="55">
        <f t="shared" si="95"/>
        <v>7800.0775666666668</v>
      </c>
      <c r="BZ85" s="55">
        <f t="shared" si="95"/>
        <v>7650.0760749999999</v>
      </c>
      <c r="CA85" s="55">
        <f t="shared" si="95"/>
        <v>7500.074583333334</v>
      </c>
      <c r="CB85" s="55">
        <f t="shared" si="95"/>
        <v>7350.0730916666662</v>
      </c>
      <c r="CC85" s="55">
        <f t="shared" si="95"/>
        <v>7200.0716000000002</v>
      </c>
      <c r="CD85" s="55">
        <f t="shared" si="95"/>
        <v>7050.0701083333333</v>
      </c>
      <c r="CE85" s="55">
        <f t="shared" si="95"/>
        <v>6900.0686166666674</v>
      </c>
      <c r="CF85" s="55">
        <f t="shared" si="95"/>
        <v>6750.0671249999996</v>
      </c>
      <c r="CG85" s="55">
        <f t="shared" si="95"/>
        <v>6600.0656333333327</v>
      </c>
      <c r="CH85" s="55">
        <f t="shared" si="95"/>
        <v>6450.0641416666667</v>
      </c>
      <c r="CI85" s="55">
        <f t="shared" si="95"/>
        <v>6300.0626499999998</v>
      </c>
      <c r="CJ85" s="55">
        <f t="shared" si="95"/>
        <v>6150.0611583333339</v>
      </c>
      <c r="CK85" s="55">
        <f t="shared" si="95"/>
        <v>6000.0596666666661</v>
      </c>
      <c r="CL85" s="55">
        <f t="shared" si="96"/>
        <v>5850.0581750000001</v>
      </c>
      <c r="CM85" s="55">
        <f t="shared" si="96"/>
        <v>5700.0566833333332</v>
      </c>
      <c r="CN85" s="55">
        <f t="shared" si="96"/>
        <v>5550.0551916666673</v>
      </c>
      <c r="CO85" s="55">
        <f t="shared" si="96"/>
        <v>5400.0536999999995</v>
      </c>
      <c r="CP85" s="55">
        <f t="shared" si="96"/>
        <v>5250.0522083333335</v>
      </c>
      <c r="CQ85" s="55">
        <f t="shared" si="96"/>
        <v>5100.0507166666666</v>
      </c>
      <c r="CR85" s="55">
        <f t="shared" si="96"/>
        <v>4950.0492250000007</v>
      </c>
      <c r="CS85" s="55">
        <f t="shared" si="96"/>
        <v>4800.0477333333329</v>
      </c>
      <c r="CT85" s="55">
        <f t="shared" si="96"/>
        <v>4650.0462416666669</v>
      </c>
      <c r="CU85" s="55">
        <f t="shared" si="96"/>
        <v>4500.04475</v>
      </c>
      <c r="CV85" s="55">
        <f t="shared" si="96"/>
        <v>4350.0432583333331</v>
      </c>
      <c r="CW85" s="55">
        <f t="shared" si="96"/>
        <v>4200.0417666666672</v>
      </c>
      <c r="CX85" s="55">
        <f t="shared" si="96"/>
        <v>4050.0402750000003</v>
      </c>
      <c r="CY85" s="55">
        <f t="shared" si="96"/>
        <v>3900.0387833333334</v>
      </c>
      <c r="CZ85" s="55">
        <f t="shared" si="96"/>
        <v>3750.037291666667</v>
      </c>
      <c r="DA85" s="55">
        <f t="shared" si="96"/>
        <v>3600.0358000000001</v>
      </c>
      <c r="DB85" s="55">
        <f t="shared" si="96"/>
        <v>3450.0343083333337</v>
      </c>
      <c r="DC85" s="55">
        <f t="shared" si="96"/>
        <v>3300.0328166666663</v>
      </c>
      <c r="DD85" s="55">
        <f t="shared" si="96"/>
        <v>3150.0313249999999</v>
      </c>
      <c r="DE85" s="55">
        <f t="shared" si="96"/>
        <v>3000.029833333333</v>
      </c>
      <c r="DF85" s="55">
        <f t="shared" si="96"/>
        <v>2850.0283416666666</v>
      </c>
      <c r="DG85" s="55">
        <f t="shared" si="96"/>
        <v>2700.0268499999997</v>
      </c>
      <c r="DH85" s="55">
        <f t="shared" si="96"/>
        <v>2550.0253583333333</v>
      </c>
      <c r="DI85" s="55">
        <f t="shared" si="96"/>
        <v>2400.0238666666664</v>
      </c>
      <c r="DJ85" s="55">
        <f t="shared" si="96"/>
        <v>2250.022375</v>
      </c>
      <c r="DK85" s="55">
        <f t="shared" si="96"/>
        <v>2100.0208833333336</v>
      </c>
      <c r="DL85" s="55">
        <f t="shared" si="96"/>
        <v>1950.0193916666667</v>
      </c>
      <c r="DM85" s="55">
        <f t="shared" si="96"/>
        <v>1800.0179000000001</v>
      </c>
      <c r="DN85" s="55">
        <f t="shared" si="96"/>
        <v>1650.0164083333332</v>
      </c>
      <c r="DO85" s="55">
        <f t="shared" si="96"/>
        <v>1500.0149166666665</v>
      </c>
      <c r="DP85" s="55">
        <f t="shared" si="96"/>
        <v>1350.0134249999999</v>
      </c>
      <c r="DQ85" s="55">
        <f t="shared" si="96"/>
        <v>1200.0119333333332</v>
      </c>
      <c r="DR85" s="55">
        <f t="shared" si="96"/>
        <v>1050.0104416666668</v>
      </c>
      <c r="DS85" s="55">
        <f t="shared" si="96"/>
        <v>900.00895000000003</v>
      </c>
      <c r="DT85" s="55">
        <f t="shared" si="96"/>
        <v>750.00745833333326</v>
      </c>
      <c r="DU85" s="55">
        <f t="shared" si="96"/>
        <v>600.00596666666661</v>
      </c>
      <c r="DV85" s="55">
        <f t="shared" si="96"/>
        <v>450.00447500000001</v>
      </c>
      <c r="DW85" s="55">
        <f t="shared" si="96"/>
        <v>300.0029833333333</v>
      </c>
      <c r="DX85" s="55">
        <f t="shared" si="96"/>
        <v>150.00149166666665</v>
      </c>
      <c r="DY85" s="55">
        <f t="shared" si="96"/>
        <v>0</v>
      </c>
    </row>
    <row r="86" spans="1:129" x14ac:dyDescent="0.45">
      <c r="A86" s="3"/>
      <c r="B86" s="2"/>
      <c r="C86" s="121" t="s">
        <v>265</v>
      </c>
      <c r="D86" s="17"/>
      <c r="E86" s="2"/>
      <c r="F86" s="2"/>
      <c r="G86" s="2"/>
      <c r="H86" s="2"/>
      <c r="I86" s="14"/>
      <c r="J86" s="55"/>
      <c r="K86" s="55"/>
      <c r="L86" s="55"/>
      <c r="M86" s="55"/>
      <c r="N86" s="55"/>
      <c r="O86" s="55"/>
      <c r="P86" s="55"/>
      <c r="Q86" s="55"/>
      <c r="R86" s="55"/>
      <c r="S86" s="55"/>
      <c r="T86" s="55"/>
      <c r="U86" s="119">
        <f>'Plan Moyen Terme (PMT)'!C28-BAU_Liquidité_Dynamique!U85</f>
        <v>1800.0178999999989</v>
      </c>
      <c r="V86" s="120">
        <f>IF(AND(U$1&lt;V$1, V$1&lt;=$F85),$U86*($F85-V$1)/($F85-$U$1),0)</f>
        <v>1783.3510675925916</v>
      </c>
      <c r="W86" s="120">
        <f>IF(AND(V$1&lt;W$1, W$1&lt;=$F85),$U86*($F85-W$1)/($F85-$U$1),0)</f>
        <v>1766.6842351851842</v>
      </c>
      <c r="X86" s="120">
        <f t="shared" ref="X86:CI86" si="103">IF(AND(W$1&lt;X$1, X$1&lt;=$F85),$U86*($F85-X$1)/($F85-$U$1),0)</f>
        <v>1750.0174027777769</v>
      </c>
      <c r="Y86" s="120">
        <f t="shared" si="103"/>
        <v>1733.3505703703693</v>
      </c>
      <c r="Z86" s="120">
        <f t="shared" si="103"/>
        <v>1716.6837379629619</v>
      </c>
      <c r="AA86" s="120">
        <f t="shared" si="103"/>
        <v>1700.0169055555543</v>
      </c>
      <c r="AB86" s="120">
        <f t="shared" si="103"/>
        <v>1683.3500731481472</v>
      </c>
      <c r="AC86" s="120">
        <f t="shared" si="103"/>
        <v>1666.6832407407398</v>
      </c>
      <c r="AD86" s="120">
        <f t="shared" si="103"/>
        <v>1650.0164083333323</v>
      </c>
      <c r="AE86" s="120">
        <f t="shared" si="103"/>
        <v>1633.3495759259251</v>
      </c>
      <c r="AF86" s="120">
        <f t="shared" si="103"/>
        <v>1616.6827435185176</v>
      </c>
      <c r="AG86" s="120">
        <f t="shared" si="103"/>
        <v>1600.0159111111102</v>
      </c>
      <c r="AH86" s="120">
        <f t="shared" si="103"/>
        <v>1583.3490787037026</v>
      </c>
      <c r="AI86" s="120">
        <f t="shared" si="103"/>
        <v>1566.6822462962953</v>
      </c>
      <c r="AJ86" s="120">
        <f t="shared" si="103"/>
        <v>1550.0154138888881</v>
      </c>
      <c r="AK86" s="120">
        <f t="shared" si="103"/>
        <v>1533.3485814814806</v>
      </c>
      <c r="AL86" s="120">
        <f t="shared" si="103"/>
        <v>1516.6817490740732</v>
      </c>
      <c r="AM86" s="120">
        <f t="shared" si="103"/>
        <v>1500.0149166666658</v>
      </c>
      <c r="AN86" s="120">
        <f t="shared" si="103"/>
        <v>1483.3480842592585</v>
      </c>
      <c r="AO86" s="120">
        <f t="shared" si="103"/>
        <v>1466.6812518518509</v>
      </c>
      <c r="AP86" s="120">
        <f t="shared" si="103"/>
        <v>1450.0144194444435</v>
      </c>
      <c r="AQ86" s="120">
        <f t="shared" si="103"/>
        <v>1433.347587037036</v>
      </c>
      <c r="AR86" s="120">
        <f t="shared" si="103"/>
        <v>1416.6807546296288</v>
      </c>
      <c r="AS86" s="120">
        <f t="shared" si="103"/>
        <v>1400.0139222222215</v>
      </c>
      <c r="AT86" s="120">
        <f t="shared" si="103"/>
        <v>1383.3470898148139</v>
      </c>
      <c r="AU86" s="120">
        <f t="shared" si="103"/>
        <v>1366.6802574074068</v>
      </c>
      <c r="AV86" s="120">
        <f t="shared" si="103"/>
        <v>1350.0134249999992</v>
      </c>
      <c r="AW86" s="120">
        <f t="shared" si="103"/>
        <v>1333.3465925925918</v>
      </c>
      <c r="AX86" s="120">
        <f t="shared" si="103"/>
        <v>1316.6797601851843</v>
      </c>
      <c r="AY86" s="120">
        <f t="shared" si="103"/>
        <v>1300.0129277777769</v>
      </c>
      <c r="AZ86" s="120">
        <f t="shared" si="103"/>
        <v>1283.3460953703698</v>
      </c>
      <c r="BA86" s="120">
        <f t="shared" si="103"/>
        <v>1266.6792629629622</v>
      </c>
      <c r="BB86" s="120">
        <f t="shared" si="103"/>
        <v>1250.0124305555548</v>
      </c>
      <c r="BC86" s="120">
        <f t="shared" si="103"/>
        <v>1233.3455981481475</v>
      </c>
      <c r="BD86" s="120">
        <f t="shared" si="103"/>
        <v>1216.6787657407401</v>
      </c>
      <c r="BE86" s="120">
        <f t="shared" si="103"/>
        <v>1200.0119333333325</v>
      </c>
      <c r="BF86" s="120">
        <f t="shared" si="103"/>
        <v>1183.3451009259252</v>
      </c>
      <c r="BG86" s="120">
        <f t="shared" si="103"/>
        <v>1166.6782685185178</v>
      </c>
      <c r="BH86" s="120">
        <f t="shared" si="103"/>
        <v>1150.0114361111105</v>
      </c>
      <c r="BI86" s="120">
        <f t="shared" si="103"/>
        <v>1133.3446037037031</v>
      </c>
      <c r="BJ86" s="120">
        <f t="shared" si="103"/>
        <v>1116.6777712962955</v>
      </c>
      <c r="BK86" s="120">
        <f t="shared" si="103"/>
        <v>1100.0109388888882</v>
      </c>
      <c r="BL86" s="120">
        <f t="shared" si="103"/>
        <v>1083.3441064814808</v>
      </c>
      <c r="BM86" s="120">
        <f t="shared" si="103"/>
        <v>1066.6772740740735</v>
      </c>
      <c r="BN86" s="120">
        <f t="shared" si="103"/>
        <v>1050.0104416666659</v>
      </c>
      <c r="BO86" s="120">
        <f t="shared" si="103"/>
        <v>1033.3436092592585</v>
      </c>
      <c r="BP86" s="120">
        <f t="shared" si="103"/>
        <v>1016.6767768518513</v>
      </c>
      <c r="BQ86" s="120">
        <f t="shared" si="103"/>
        <v>1000.0099444444438</v>
      </c>
      <c r="BR86" s="120">
        <f t="shared" si="103"/>
        <v>983.34311203703635</v>
      </c>
      <c r="BS86" s="120">
        <f t="shared" si="103"/>
        <v>966.67627962962899</v>
      </c>
      <c r="BT86" s="120">
        <f t="shared" si="103"/>
        <v>950.00944722222175</v>
      </c>
      <c r="BU86" s="120">
        <f t="shared" si="103"/>
        <v>933.34261481481428</v>
      </c>
      <c r="BV86" s="120">
        <f t="shared" si="103"/>
        <v>916.67578240740681</v>
      </c>
      <c r="BW86" s="120">
        <f t="shared" si="103"/>
        <v>900.00894999999946</v>
      </c>
      <c r="BX86" s="120">
        <f t="shared" si="103"/>
        <v>883.3421175925921</v>
      </c>
      <c r="BY86" s="120">
        <f t="shared" si="103"/>
        <v>866.67528518518463</v>
      </c>
      <c r="BZ86" s="120">
        <f t="shared" si="103"/>
        <v>850.00845277777717</v>
      </c>
      <c r="CA86" s="120">
        <f t="shared" si="103"/>
        <v>833.34162037036992</v>
      </c>
      <c r="CB86" s="120">
        <f t="shared" si="103"/>
        <v>816.67478796296257</v>
      </c>
      <c r="CC86" s="120">
        <f t="shared" si="103"/>
        <v>800.0079555555551</v>
      </c>
      <c r="CD86" s="120">
        <f t="shared" si="103"/>
        <v>783.34112314814763</v>
      </c>
      <c r="CE86" s="120">
        <f t="shared" si="103"/>
        <v>766.67429074074028</v>
      </c>
      <c r="CF86" s="120">
        <f t="shared" si="103"/>
        <v>750.00745833333292</v>
      </c>
      <c r="CG86" s="120">
        <f t="shared" si="103"/>
        <v>733.34062592592545</v>
      </c>
      <c r="CH86" s="120">
        <f t="shared" si="103"/>
        <v>716.67379351851798</v>
      </c>
      <c r="CI86" s="120">
        <f t="shared" si="103"/>
        <v>700.00696111111074</v>
      </c>
      <c r="CJ86" s="120">
        <f t="shared" ref="CJ86:DY86" si="104">IF(AND(CI$1&lt;CJ$1, CJ$1&lt;=$F85),$U86*($F85-CJ$1)/($F85-$U$1),0)</f>
        <v>683.34012870370339</v>
      </c>
      <c r="CK86" s="120">
        <f t="shared" si="104"/>
        <v>666.67329629629592</v>
      </c>
      <c r="CL86" s="120">
        <f t="shared" si="104"/>
        <v>650.00646388888845</v>
      </c>
      <c r="CM86" s="120">
        <f t="shared" si="104"/>
        <v>633.33963148148109</v>
      </c>
      <c r="CN86" s="120">
        <f t="shared" si="104"/>
        <v>616.67279907407374</v>
      </c>
      <c r="CO86" s="120">
        <f t="shared" si="104"/>
        <v>600.00596666666627</v>
      </c>
      <c r="CP86" s="120">
        <f t="shared" si="104"/>
        <v>583.33913425925891</v>
      </c>
      <c r="CQ86" s="120">
        <f t="shared" si="104"/>
        <v>566.67230185185156</v>
      </c>
      <c r="CR86" s="120">
        <f t="shared" si="104"/>
        <v>550.00546944444409</v>
      </c>
      <c r="CS86" s="120">
        <f t="shared" si="104"/>
        <v>533.33863703703673</v>
      </c>
      <c r="CT86" s="120">
        <f t="shared" si="104"/>
        <v>516.67180462962926</v>
      </c>
      <c r="CU86" s="120">
        <f t="shared" si="104"/>
        <v>500.00497222222191</v>
      </c>
      <c r="CV86" s="120">
        <f t="shared" si="104"/>
        <v>483.3381398148145</v>
      </c>
      <c r="CW86" s="120">
        <f t="shared" si="104"/>
        <v>466.67130740740714</v>
      </c>
      <c r="CX86" s="120">
        <f t="shared" si="104"/>
        <v>450.00447499999973</v>
      </c>
      <c r="CY86" s="120">
        <f t="shared" si="104"/>
        <v>433.33764259259232</v>
      </c>
      <c r="CZ86" s="120">
        <f t="shared" si="104"/>
        <v>416.67081018518496</v>
      </c>
      <c r="DA86" s="120">
        <f t="shared" si="104"/>
        <v>400.00397777777755</v>
      </c>
      <c r="DB86" s="120">
        <f t="shared" si="104"/>
        <v>383.33714537037014</v>
      </c>
      <c r="DC86" s="120">
        <f t="shared" si="104"/>
        <v>366.67031296296273</v>
      </c>
      <c r="DD86" s="120">
        <f t="shared" si="104"/>
        <v>350.00348055555537</v>
      </c>
      <c r="DE86" s="120">
        <f t="shared" si="104"/>
        <v>333.33664814814796</v>
      </c>
      <c r="DF86" s="120">
        <f t="shared" si="104"/>
        <v>316.66981574074055</v>
      </c>
      <c r="DG86" s="120">
        <f t="shared" si="104"/>
        <v>300.00298333333313</v>
      </c>
      <c r="DH86" s="120">
        <f t="shared" si="104"/>
        <v>283.33615092592578</v>
      </c>
      <c r="DI86" s="120">
        <f t="shared" si="104"/>
        <v>266.66931851851837</v>
      </c>
      <c r="DJ86" s="120">
        <f t="shared" si="104"/>
        <v>250.00248611111095</v>
      </c>
      <c r="DK86" s="120">
        <f t="shared" si="104"/>
        <v>233.33565370370357</v>
      </c>
      <c r="DL86" s="120">
        <f t="shared" si="104"/>
        <v>216.66882129629616</v>
      </c>
      <c r="DM86" s="120">
        <f t="shared" si="104"/>
        <v>200.00198888888877</v>
      </c>
      <c r="DN86" s="120">
        <f t="shared" si="104"/>
        <v>183.33515648148136</v>
      </c>
      <c r="DO86" s="120">
        <f t="shared" si="104"/>
        <v>166.66832407407398</v>
      </c>
      <c r="DP86" s="120">
        <f t="shared" si="104"/>
        <v>150.00149166666657</v>
      </c>
      <c r="DQ86" s="120">
        <f t="shared" si="104"/>
        <v>133.33465925925918</v>
      </c>
      <c r="DR86" s="120">
        <f t="shared" si="104"/>
        <v>116.66782685185179</v>
      </c>
      <c r="DS86" s="120">
        <f t="shared" si="104"/>
        <v>100.00099444444439</v>
      </c>
      <c r="DT86" s="120">
        <f t="shared" si="104"/>
        <v>83.33416203703699</v>
      </c>
      <c r="DU86" s="120">
        <f t="shared" si="104"/>
        <v>66.667329629629592</v>
      </c>
      <c r="DV86" s="120">
        <f t="shared" si="104"/>
        <v>50.000497222222194</v>
      </c>
      <c r="DW86" s="120">
        <f t="shared" si="104"/>
        <v>33.333664814814796</v>
      </c>
      <c r="DX86" s="120">
        <f t="shared" si="104"/>
        <v>16.666832407407398</v>
      </c>
      <c r="DY86" s="120">
        <f t="shared" si="104"/>
        <v>0</v>
      </c>
    </row>
    <row r="87" spans="1:129" x14ac:dyDescent="0.45">
      <c r="A87" s="3"/>
      <c r="B87" s="2"/>
      <c r="C87" s="122" t="s">
        <v>266</v>
      </c>
      <c r="D87" s="17"/>
      <c r="E87" s="2"/>
      <c r="F87" s="2"/>
      <c r="G87" s="2"/>
      <c r="H87" s="2"/>
      <c r="I87" s="14"/>
      <c r="J87" s="55"/>
      <c r="K87" s="55"/>
      <c r="L87" s="55"/>
      <c r="M87" s="55"/>
      <c r="N87" s="55"/>
      <c r="O87" s="55"/>
      <c r="P87" s="55"/>
      <c r="Q87" s="55"/>
      <c r="R87" s="55"/>
      <c r="S87" s="55"/>
      <c r="T87" s="55"/>
      <c r="U87" s="95"/>
      <c r="V87" s="91"/>
      <c r="W87" s="91"/>
      <c r="X87" s="91"/>
      <c r="Y87" s="91"/>
      <c r="Z87" s="55"/>
      <c r="AA87" s="55"/>
      <c r="AB87" s="55"/>
      <c r="AC87" s="55"/>
      <c r="AD87" s="55"/>
      <c r="AE87" s="55"/>
      <c r="AF87" s="55"/>
      <c r="AG87" s="129">
        <f>'Plan Moyen Terme (PMT)'!D28-BAU_Liquidité_Dynamique!AG85</f>
        <v>3600.0357999999997</v>
      </c>
      <c r="AH87" s="124">
        <f>IF(AND(AG$1&lt;AH$1, AH$1&lt;=$F85),$AG87*($F85-AH$1)/($F85-$AG$1),0)</f>
        <v>3562.5354270833327</v>
      </c>
      <c r="AI87" s="124">
        <f>IF(AND(AH$1&lt;AI$1, AI$1&lt;=$F85),$AG87*($F85-AI$1)/($F85-$AG$1),0)</f>
        <v>3525.0350541666662</v>
      </c>
      <c r="AJ87" s="124">
        <f t="shared" ref="AJ87:CU87" si="105">IF(AND(AI$1&lt;AJ$1, AJ$1&lt;=$F85),$AG87*($F85-AJ$1)/($F85-$AG$1),0)</f>
        <v>3487.5346812499997</v>
      </c>
      <c r="AK87" s="124">
        <f t="shared" si="105"/>
        <v>3450.0343083333332</v>
      </c>
      <c r="AL87" s="124">
        <f t="shared" si="105"/>
        <v>3412.5339354166663</v>
      </c>
      <c r="AM87" s="124">
        <f t="shared" si="105"/>
        <v>3375.0335624999993</v>
      </c>
      <c r="AN87" s="124">
        <f t="shared" si="105"/>
        <v>3337.5331895833333</v>
      </c>
      <c r="AO87" s="124">
        <f t="shared" si="105"/>
        <v>3300.0328166666663</v>
      </c>
      <c r="AP87" s="124">
        <f t="shared" si="105"/>
        <v>3262.5324437499999</v>
      </c>
      <c r="AQ87" s="124">
        <f t="shared" si="105"/>
        <v>3225.0320708333329</v>
      </c>
      <c r="AR87" s="124">
        <f t="shared" si="105"/>
        <v>3187.531697916666</v>
      </c>
      <c r="AS87" s="124">
        <f t="shared" si="105"/>
        <v>3150.0313249999999</v>
      </c>
      <c r="AT87" s="124">
        <f t="shared" si="105"/>
        <v>3112.530952083333</v>
      </c>
      <c r="AU87" s="124">
        <f t="shared" si="105"/>
        <v>3075.0305791666665</v>
      </c>
      <c r="AV87" s="124">
        <f t="shared" si="105"/>
        <v>3037.5302062499995</v>
      </c>
      <c r="AW87" s="124">
        <f t="shared" si="105"/>
        <v>3000.0298333333326</v>
      </c>
      <c r="AX87" s="124">
        <f t="shared" si="105"/>
        <v>2962.5294604166666</v>
      </c>
      <c r="AY87" s="124">
        <f t="shared" si="105"/>
        <v>2925.0290874999996</v>
      </c>
      <c r="AZ87" s="124">
        <f t="shared" si="105"/>
        <v>2887.5287145833331</v>
      </c>
      <c r="BA87" s="124">
        <f t="shared" si="105"/>
        <v>2850.0283416666662</v>
      </c>
      <c r="BB87" s="124">
        <f t="shared" si="105"/>
        <v>2812.5279687500001</v>
      </c>
      <c r="BC87" s="124">
        <f t="shared" si="105"/>
        <v>2775.0275958333332</v>
      </c>
      <c r="BD87" s="124">
        <f t="shared" si="105"/>
        <v>2737.5272229166662</v>
      </c>
      <c r="BE87" s="124">
        <f t="shared" si="105"/>
        <v>2700.0268499999997</v>
      </c>
      <c r="BF87" s="124">
        <f t="shared" si="105"/>
        <v>2662.5264770833332</v>
      </c>
      <c r="BG87" s="124">
        <f t="shared" si="105"/>
        <v>2625.0261041666663</v>
      </c>
      <c r="BH87" s="124">
        <f t="shared" si="105"/>
        <v>2587.5257312499998</v>
      </c>
      <c r="BI87" s="124">
        <f t="shared" si="105"/>
        <v>2550.0253583333329</v>
      </c>
      <c r="BJ87" s="124">
        <f t="shared" si="105"/>
        <v>2512.5249854166664</v>
      </c>
      <c r="BK87" s="124">
        <f t="shared" si="105"/>
        <v>2475.0246124999999</v>
      </c>
      <c r="BL87" s="124">
        <f t="shared" si="105"/>
        <v>2437.5242395833334</v>
      </c>
      <c r="BM87" s="124">
        <f t="shared" si="105"/>
        <v>2400.0238666666664</v>
      </c>
      <c r="BN87" s="124">
        <f t="shared" si="105"/>
        <v>2362.5234937499995</v>
      </c>
      <c r="BO87" s="124">
        <f t="shared" si="105"/>
        <v>2325.023120833333</v>
      </c>
      <c r="BP87" s="124">
        <f t="shared" si="105"/>
        <v>2287.5227479166665</v>
      </c>
      <c r="BQ87" s="124">
        <f t="shared" si="105"/>
        <v>2250.022375</v>
      </c>
      <c r="BR87" s="124">
        <f t="shared" si="105"/>
        <v>2212.5220020833331</v>
      </c>
      <c r="BS87" s="124">
        <f t="shared" si="105"/>
        <v>2175.0216291666666</v>
      </c>
      <c r="BT87" s="124">
        <f t="shared" si="105"/>
        <v>2137.5212562499996</v>
      </c>
      <c r="BU87" s="124">
        <f t="shared" si="105"/>
        <v>2100.0208833333331</v>
      </c>
      <c r="BV87" s="124">
        <f t="shared" si="105"/>
        <v>2062.5205104166666</v>
      </c>
      <c r="BW87" s="124">
        <f t="shared" si="105"/>
        <v>2025.0201374999997</v>
      </c>
      <c r="BX87" s="124">
        <f t="shared" si="105"/>
        <v>1987.5197645833332</v>
      </c>
      <c r="BY87" s="124">
        <f t="shared" si="105"/>
        <v>1950.0193916666665</v>
      </c>
      <c r="BZ87" s="124">
        <f t="shared" si="105"/>
        <v>1912.51901875</v>
      </c>
      <c r="CA87" s="124">
        <f t="shared" si="105"/>
        <v>1875.018645833333</v>
      </c>
      <c r="CB87" s="124">
        <f t="shared" si="105"/>
        <v>1837.5182729166665</v>
      </c>
      <c r="CC87" s="124">
        <f t="shared" si="105"/>
        <v>1800.0178999999998</v>
      </c>
      <c r="CD87" s="124">
        <f t="shared" si="105"/>
        <v>1762.5175270833331</v>
      </c>
      <c r="CE87" s="124">
        <f t="shared" si="105"/>
        <v>1725.0171541666666</v>
      </c>
      <c r="CF87" s="124">
        <f t="shared" si="105"/>
        <v>1687.5167812499997</v>
      </c>
      <c r="CG87" s="124">
        <f t="shared" si="105"/>
        <v>1650.0164083333332</v>
      </c>
      <c r="CH87" s="124">
        <f t="shared" si="105"/>
        <v>1612.5160354166665</v>
      </c>
      <c r="CI87" s="124">
        <f t="shared" si="105"/>
        <v>1575.0156625</v>
      </c>
      <c r="CJ87" s="124">
        <f t="shared" si="105"/>
        <v>1537.5152895833332</v>
      </c>
      <c r="CK87" s="124">
        <f t="shared" si="105"/>
        <v>1500.0149166666663</v>
      </c>
      <c r="CL87" s="124">
        <f t="shared" si="105"/>
        <v>1462.5145437499998</v>
      </c>
      <c r="CM87" s="124">
        <f t="shared" si="105"/>
        <v>1425.0141708333331</v>
      </c>
      <c r="CN87" s="124">
        <f t="shared" si="105"/>
        <v>1387.5137979166666</v>
      </c>
      <c r="CO87" s="124">
        <f t="shared" si="105"/>
        <v>1350.0134249999999</v>
      </c>
      <c r="CP87" s="124">
        <f t="shared" si="105"/>
        <v>1312.5130520833332</v>
      </c>
      <c r="CQ87" s="124">
        <f t="shared" si="105"/>
        <v>1275.0126791666664</v>
      </c>
      <c r="CR87" s="124">
        <f t="shared" si="105"/>
        <v>1237.5123062499999</v>
      </c>
      <c r="CS87" s="124">
        <f t="shared" si="105"/>
        <v>1200.0119333333332</v>
      </c>
      <c r="CT87" s="124">
        <f t="shared" si="105"/>
        <v>1162.5115604166665</v>
      </c>
      <c r="CU87" s="124">
        <f t="shared" si="105"/>
        <v>1125.0111875</v>
      </c>
      <c r="CV87" s="124">
        <f t="shared" ref="CV87:DY87" si="106">IF(AND(CU$1&lt;CV$1, CV$1&lt;=$F85),$AG87*($F85-CV$1)/($F85-$AG$1),0)</f>
        <v>1087.5108145833333</v>
      </c>
      <c r="CW87" s="124">
        <f t="shared" si="106"/>
        <v>1050.0104416666666</v>
      </c>
      <c r="CX87" s="124">
        <f t="shared" si="106"/>
        <v>1012.5100687499998</v>
      </c>
      <c r="CY87" s="124">
        <f t="shared" si="106"/>
        <v>975.00969583333324</v>
      </c>
      <c r="CZ87" s="124">
        <f t="shared" si="106"/>
        <v>937.50932291666652</v>
      </c>
      <c r="DA87" s="124">
        <f t="shared" si="106"/>
        <v>900.00894999999991</v>
      </c>
      <c r="DB87" s="124">
        <f t="shared" si="106"/>
        <v>862.50857708333331</v>
      </c>
      <c r="DC87" s="124">
        <f t="shared" si="106"/>
        <v>825.00820416666659</v>
      </c>
      <c r="DD87" s="124">
        <f t="shared" si="106"/>
        <v>787.50783124999998</v>
      </c>
      <c r="DE87" s="124">
        <f t="shared" si="106"/>
        <v>750.00745833333315</v>
      </c>
      <c r="DF87" s="124">
        <f t="shared" si="106"/>
        <v>712.50708541666654</v>
      </c>
      <c r="DG87" s="124">
        <f t="shared" si="106"/>
        <v>675.00671249999994</v>
      </c>
      <c r="DH87" s="124">
        <f t="shared" si="106"/>
        <v>637.50633958333322</v>
      </c>
      <c r="DI87" s="124">
        <f t="shared" si="106"/>
        <v>600.00596666666661</v>
      </c>
      <c r="DJ87" s="124">
        <f t="shared" si="106"/>
        <v>562.50559375</v>
      </c>
      <c r="DK87" s="124">
        <f t="shared" si="106"/>
        <v>525.00522083333328</v>
      </c>
      <c r="DL87" s="124">
        <f t="shared" si="106"/>
        <v>487.50484791666662</v>
      </c>
      <c r="DM87" s="124">
        <f t="shared" si="106"/>
        <v>450.00447499999996</v>
      </c>
      <c r="DN87" s="124">
        <f t="shared" si="106"/>
        <v>412.50410208333329</v>
      </c>
      <c r="DO87" s="124">
        <f t="shared" si="106"/>
        <v>375.00372916666657</v>
      </c>
      <c r="DP87" s="124">
        <f t="shared" si="106"/>
        <v>337.50335624999997</v>
      </c>
      <c r="DQ87" s="124">
        <f t="shared" si="106"/>
        <v>300.0029833333333</v>
      </c>
      <c r="DR87" s="124">
        <f t="shared" si="106"/>
        <v>262.50261041666664</v>
      </c>
      <c r="DS87" s="124">
        <f t="shared" si="106"/>
        <v>225.00223749999998</v>
      </c>
      <c r="DT87" s="124">
        <f t="shared" si="106"/>
        <v>187.50186458333329</v>
      </c>
      <c r="DU87" s="124">
        <f t="shared" si="106"/>
        <v>150.00149166666665</v>
      </c>
      <c r="DV87" s="124">
        <f t="shared" si="106"/>
        <v>112.50111874999999</v>
      </c>
      <c r="DW87" s="124">
        <f t="shared" si="106"/>
        <v>75.000745833333326</v>
      </c>
      <c r="DX87" s="124">
        <f t="shared" si="106"/>
        <v>37.500372916666663</v>
      </c>
      <c r="DY87" s="124">
        <f t="shared" si="106"/>
        <v>0</v>
      </c>
    </row>
    <row r="88" spans="1:129" x14ac:dyDescent="0.45">
      <c r="A88" s="3"/>
      <c r="B88" s="2"/>
      <c r="C88" s="125" t="s">
        <v>267</v>
      </c>
      <c r="D88" s="17"/>
      <c r="E88" s="2"/>
      <c r="F88" s="2"/>
      <c r="G88" s="2"/>
      <c r="H88" s="2"/>
      <c r="I88" s="14"/>
      <c r="J88" s="55"/>
      <c r="K88" s="55"/>
      <c r="L88" s="55"/>
      <c r="M88" s="55"/>
      <c r="N88" s="55"/>
      <c r="O88" s="55"/>
      <c r="P88" s="55"/>
      <c r="Q88" s="55"/>
      <c r="R88" s="55"/>
      <c r="S88" s="55"/>
      <c r="T88" s="55"/>
      <c r="U88" s="96"/>
      <c r="V88" s="55"/>
      <c r="W88" s="55"/>
      <c r="X88" s="55"/>
      <c r="Y88" s="55"/>
      <c r="Z88" s="55"/>
      <c r="AA88" s="55"/>
      <c r="AB88" s="55"/>
      <c r="AC88" s="55"/>
      <c r="AD88" s="55"/>
      <c r="AE88" s="55"/>
      <c r="AF88" s="55"/>
      <c r="AG88" s="102"/>
      <c r="AH88" s="91"/>
      <c r="AI88" s="91"/>
      <c r="AJ88" s="91"/>
      <c r="AK88" s="55"/>
      <c r="AL88" s="55"/>
      <c r="AM88" s="55"/>
      <c r="AN88" s="55"/>
      <c r="AO88" s="55"/>
      <c r="AP88" s="55"/>
      <c r="AQ88" s="55"/>
      <c r="AR88" s="55"/>
      <c r="AS88" s="130">
        <f>'Plan Moyen Terme (PMT)'!E28-BAU_Liquidité_Dynamique!AS85</f>
        <v>37857.8747</v>
      </c>
      <c r="AT88" s="126">
        <f>IF(AND(AS$1&lt;AT$1, AT$1&lt;=$F85),$AS88*($F85-AT$1)/($F85-$AS$1),0)</f>
        <v>37407.185715476189</v>
      </c>
      <c r="AU88" s="126">
        <f t="shared" ref="AU88:DF88" si="107">IF(AND(AT$1&lt;AU$1, AU$1&lt;=$F85),$AS88*($F85-AU$1)/($F85-$AS$1),0)</f>
        <v>36956.496730952378</v>
      </c>
      <c r="AV88" s="126">
        <f t="shared" si="107"/>
        <v>36505.807746428567</v>
      </c>
      <c r="AW88" s="126">
        <f t="shared" si="107"/>
        <v>36055.118761904756</v>
      </c>
      <c r="AX88" s="126">
        <f t="shared" si="107"/>
        <v>35604.429777380952</v>
      </c>
      <c r="AY88" s="126">
        <f t="shared" si="107"/>
        <v>35153.740792857148</v>
      </c>
      <c r="AZ88" s="126">
        <f t="shared" si="107"/>
        <v>34703.051808333337</v>
      </c>
      <c r="BA88" s="126">
        <f t="shared" si="107"/>
        <v>34252.362823809526</v>
      </c>
      <c r="BB88" s="126">
        <f t="shared" si="107"/>
        <v>33801.673839285715</v>
      </c>
      <c r="BC88" s="126">
        <f t="shared" si="107"/>
        <v>33350.984854761904</v>
      </c>
      <c r="BD88" s="126">
        <f t="shared" si="107"/>
        <v>32900.295870238093</v>
      </c>
      <c r="BE88" s="126">
        <f t="shared" si="107"/>
        <v>32449.606885714285</v>
      </c>
      <c r="BF88" s="126">
        <f t="shared" si="107"/>
        <v>31998.917901190474</v>
      </c>
      <c r="BG88" s="126">
        <f t="shared" si="107"/>
        <v>31548.228916666663</v>
      </c>
      <c r="BH88" s="126">
        <f t="shared" si="107"/>
        <v>31097.539932142859</v>
      </c>
      <c r="BI88" s="126">
        <f t="shared" si="107"/>
        <v>30646.850947619048</v>
      </c>
      <c r="BJ88" s="126">
        <f t="shared" si="107"/>
        <v>30196.161963095241</v>
      </c>
      <c r="BK88" s="126">
        <f t="shared" si="107"/>
        <v>29745.47297857143</v>
      </c>
      <c r="BL88" s="126">
        <f t="shared" si="107"/>
        <v>29294.783994047619</v>
      </c>
      <c r="BM88" s="126">
        <f t="shared" si="107"/>
        <v>28844.095009523811</v>
      </c>
      <c r="BN88" s="126">
        <f t="shared" si="107"/>
        <v>28393.406025</v>
      </c>
      <c r="BO88" s="126">
        <f t="shared" si="107"/>
        <v>27942.717040476189</v>
      </c>
      <c r="BP88" s="126">
        <f t="shared" si="107"/>
        <v>27492.028055952378</v>
      </c>
      <c r="BQ88" s="126">
        <f t="shared" si="107"/>
        <v>27041.339071428571</v>
      </c>
      <c r="BR88" s="126">
        <f t="shared" si="107"/>
        <v>26590.65008690476</v>
      </c>
      <c r="BS88" s="126">
        <f t="shared" si="107"/>
        <v>26139.961102380956</v>
      </c>
      <c r="BT88" s="126">
        <f t="shared" si="107"/>
        <v>25689.272117857145</v>
      </c>
      <c r="BU88" s="126">
        <f t="shared" si="107"/>
        <v>25238.583133333334</v>
      </c>
      <c r="BV88" s="126">
        <f t="shared" si="107"/>
        <v>24787.894148809526</v>
      </c>
      <c r="BW88" s="126">
        <f t="shared" si="107"/>
        <v>24337.205164285715</v>
      </c>
      <c r="BX88" s="126">
        <f t="shared" si="107"/>
        <v>23886.516179761904</v>
      </c>
      <c r="BY88" s="126">
        <f t="shared" si="107"/>
        <v>23435.827195238096</v>
      </c>
      <c r="BZ88" s="126">
        <f t="shared" si="107"/>
        <v>22985.138210714285</v>
      </c>
      <c r="CA88" s="126">
        <f t="shared" si="107"/>
        <v>22534.449226190478</v>
      </c>
      <c r="CB88" s="126">
        <f t="shared" si="107"/>
        <v>22083.760241666667</v>
      </c>
      <c r="CC88" s="126">
        <f t="shared" si="107"/>
        <v>21633.071257142856</v>
      </c>
      <c r="CD88" s="126">
        <f t="shared" si="107"/>
        <v>21182.382272619048</v>
      </c>
      <c r="CE88" s="126">
        <f t="shared" si="107"/>
        <v>20731.693288095237</v>
      </c>
      <c r="CF88" s="126">
        <f t="shared" si="107"/>
        <v>20281.00430357143</v>
      </c>
      <c r="CG88" s="126">
        <f t="shared" si="107"/>
        <v>19830.315319047619</v>
      </c>
      <c r="CH88" s="126">
        <f t="shared" si="107"/>
        <v>19379.626334523811</v>
      </c>
      <c r="CI88" s="126">
        <f t="shared" si="107"/>
        <v>18928.93735</v>
      </c>
      <c r="CJ88" s="126">
        <f t="shared" si="107"/>
        <v>18478.248365476189</v>
      </c>
      <c r="CK88" s="126">
        <f t="shared" si="107"/>
        <v>18027.559380952378</v>
      </c>
      <c r="CL88" s="126">
        <f t="shared" si="107"/>
        <v>17576.870396428574</v>
      </c>
      <c r="CM88" s="126">
        <f t="shared" si="107"/>
        <v>17126.181411904763</v>
      </c>
      <c r="CN88" s="126">
        <f t="shared" si="107"/>
        <v>16675.492427380952</v>
      </c>
      <c r="CO88" s="126">
        <f t="shared" si="107"/>
        <v>16224.803442857143</v>
      </c>
      <c r="CP88" s="126">
        <f t="shared" si="107"/>
        <v>15774.114458333332</v>
      </c>
      <c r="CQ88" s="126">
        <f t="shared" si="107"/>
        <v>15323.425473809524</v>
      </c>
      <c r="CR88" s="126">
        <f t="shared" si="107"/>
        <v>14872.736489285715</v>
      </c>
      <c r="CS88" s="126">
        <f t="shared" si="107"/>
        <v>14422.047504761906</v>
      </c>
      <c r="CT88" s="126">
        <f t="shared" si="107"/>
        <v>13971.358520238095</v>
      </c>
      <c r="CU88" s="126">
        <f t="shared" si="107"/>
        <v>13520.669535714285</v>
      </c>
      <c r="CV88" s="126">
        <f t="shared" si="107"/>
        <v>13069.980551190478</v>
      </c>
      <c r="CW88" s="126">
        <f t="shared" si="107"/>
        <v>12619.291566666667</v>
      </c>
      <c r="CX88" s="126">
        <f t="shared" si="107"/>
        <v>12168.602582142858</v>
      </c>
      <c r="CY88" s="126">
        <f t="shared" si="107"/>
        <v>11717.913597619048</v>
      </c>
      <c r="CZ88" s="126">
        <f t="shared" si="107"/>
        <v>11267.224613095239</v>
      </c>
      <c r="DA88" s="126">
        <f t="shared" si="107"/>
        <v>10816.535628571428</v>
      </c>
      <c r="DB88" s="126">
        <f t="shared" si="107"/>
        <v>10365.846644047619</v>
      </c>
      <c r="DC88" s="126">
        <f t="shared" si="107"/>
        <v>9915.1576595238093</v>
      </c>
      <c r="DD88" s="126">
        <f t="shared" si="107"/>
        <v>9464.4686750000001</v>
      </c>
      <c r="DE88" s="126">
        <f t="shared" si="107"/>
        <v>9013.779690476189</v>
      </c>
      <c r="DF88" s="126">
        <f t="shared" si="107"/>
        <v>8563.0907059523815</v>
      </c>
      <c r="DG88" s="126">
        <f t="shared" ref="DG88:DY88" si="108">IF(AND(DF$1&lt;DG$1, DG$1&lt;=$F85),$AS88*($F85-DG$1)/($F85-$AS$1),0)</f>
        <v>8112.4017214285714</v>
      </c>
      <c r="DH88" s="126">
        <f t="shared" si="108"/>
        <v>7661.7127369047621</v>
      </c>
      <c r="DI88" s="126">
        <f t="shared" si="108"/>
        <v>7211.0237523809528</v>
      </c>
      <c r="DJ88" s="126">
        <f t="shared" si="108"/>
        <v>6760.3347678571427</v>
      </c>
      <c r="DK88" s="126">
        <f t="shared" si="108"/>
        <v>6309.6457833333334</v>
      </c>
      <c r="DL88" s="126">
        <f t="shared" si="108"/>
        <v>5858.9567988095241</v>
      </c>
      <c r="DM88" s="126">
        <f t="shared" si="108"/>
        <v>5408.2678142857139</v>
      </c>
      <c r="DN88" s="126">
        <f t="shared" si="108"/>
        <v>4957.5788297619047</v>
      </c>
      <c r="DO88" s="126">
        <f t="shared" si="108"/>
        <v>4506.8898452380945</v>
      </c>
      <c r="DP88" s="126">
        <f t="shared" si="108"/>
        <v>4056.2008607142857</v>
      </c>
      <c r="DQ88" s="126">
        <f t="shared" si="108"/>
        <v>3605.5118761904764</v>
      </c>
      <c r="DR88" s="126">
        <f t="shared" si="108"/>
        <v>3154.8228916666667</v>
      </c>
      <c r="DS88" s="126">
        <f t="shared" si="108"/>
        <v>2704.133907142857</v>
      </c>
      <c r="DT88" s="126">
        <f t="shared" si="108"/>
        <v>2253.4449226190472</v>
      </c>
      <c r="DU88" s="126">
        <f t="shared" si="108"/>
        <v>1802.7559380952382</v>
      </c>
      <c r="DV88" s="126">
        <f t="shared" si="108"/>
        <v>1352.0669535714285</v>
      </c>
      <c r="DW88" s="126">
        <f t="shared" si="108"/>
        <v>901.3779690476191</v>
      </c>
      <c r="DX88" s="126">
        <f t="shared" si="108"/>
        <v>450.68898452380955</v>
      </c>
      <c r="DY88" s="126">
        <f t="shared" si="108"/>
        <v>0</v>
      </c>
    </row>
    <row r="89" spans="1:129" x14ac:dyDescent="0.45">
      <c r="A89" s="3">
        <v>46022</v>
      </c>
      <c r="B89" s="2" t="s">
        <v>19</v>
      </c>
      <c r="C89" s="6" t="s">
        <v>26</v>
      </c>
      <c r="D89" s="17">
        <v>0</v>
      </c>
      <c r="E89" s="2" t="s">
        <v>43</v>
      </c>
      <c r="F89" s="2">
        <v>120</v>
      </c>
      <c r="G89" s="2" t="s">
        <v>43</v>
      </c>
      <c r="H89" s="2">
        <v>120</v>
      </c>
      <c r="I89" s="14">
        <v>2.2200000000000002</v>
      </c>
      <c r="J89" s="83">
        <f t="shared" si="94"/>
        <v>2.2015000000000002</v>
      </c>
      <c r="K89" s="83">
        <f t="shared" si="94"/>
        <v>2.1830000000000003</v>
      </c>
      <c r="L89" s="83">
        <f t="shared" si="94"/>
        <v>2.1645000000000003</v>
      </c>
      <c r="M89" s="83">
        <f t="shared" si="94"/>
        <v>2.1460000000000004</v>
      </c>
      <c r="N89" s="83">
        <f t="shared" si="94"/>
        <v>2.1275000000000004</v>
      </c>
      <c r="O89" s="83">
        <f t="shared" si="94"/>
        <v>2.109</v>
      </c>
      <c r="P89" s="83">
        <f t="shared" si="94"/>
        <v>2.0905</v>
      </c>
      <c r="Q89" s="83">
        <f t="shared" si="94"/>
        <v>2.0720000000000001</v>
      </c>
      <c r="R89" s="83">
        <f t="shared" si="94"/>
        <v>2.0535000000000001</v>
      </c>
      <c r="S89" s="83">
        <f t="shared" si="94"/>
        <v>2.0350000000000001</v>
      </c>
      <c r="T89" s="83">
        <f t="shared" si="94"/>
        <v>2.0165000000000002</v>
      </c>
      <c r="U89" s="131">
        <f t="shared" si="94"/>
        <v>1.9980000000000002</v>
      </c>
      <c r="V89" s="83">
        <f t="shared" si="94"/>
        <v>1.9795000000000003</v>
      </c>
      <c r="W89" s="83">
        <f t="shared" si="94"/>
        <v>1.9610000000000001</v>
      </c>
      <c r="X89" s="83">
        <f t="shared" si="94"/>
        <v>1.9425000000000001</v>
      </c>
      <c r="Y89" s="83">
        <f t="shared" si="94"/>
        <v>1.9240000000000002</v>
      </c>
      <c r="Z89" s="83">
        <f t="shared" si="95"/>
        <v>1.9055</v>
      </c>
      <c r="AA89" s="83">
        <f t="shared" si="95"/>
        <v>1.887</v>
      </c>
      <c r="AB89" s="83">
        <f t="shared" si="95"/>
        <v>1.8685000000000003</v>
      </c>
      <c r="AC89" s="83">
        <f t="shared" si="95"/>
        <v>1.8500000000000003</v>
      </c>
      <c r="AD89" s="83">
        <f t="shared" si="95"/>
        <v>1.8315000000000001</v>
      </c>
      <c r="AE89" s="83">
        <f t="shared" si="95"/>
        <v>1.8130000000000002</v>
      </c>
      <c r="AF89" s="83">
        <f t="shared" si="95"/>
        <v>1.7945000000000002</v>
      </c>
      <c r="AG89" s="134">
        <f t="shared" si="95"/>
        <v>1.7760000000000002</v>
      </c>
      <c r="AH89" s="83">
        <f t="shared" si="95"/>
        <v>1.7575000000000001</v>
      </c>
      <c r="AI89" s="83">
        <f t="shared" si="95"/>
        <v>1.7390000000000001</v>
      </c>
      <c r="AJ89" s="83">
        <f t="shared" si="95"/>
        <v>1.7205000000000001</v>
      </c>
      <c r="AK89" s="83">
        <f t="shared" si="95"/>
        <v>1.7020000000000002</v>
      </c>
      <c r="AL89" s="83">
        <f t="shared" si="95"/>
        <v>1.6835</v>
      </c>
      <c r="AM89" s="83">
        <f t="shared" si="95"/>
        <v>1.665</v>
      </c>
      <c r="AN89" s="83">
        <f t="shared" si="95"/>
        <v>1.6465000000000003</v>
      </c>
      <c r="AO89" s="83">
        <f t="shared" si="95"/>
        <v>1.6280000000000001</v>
      </c>
      <c r="AP89" s="83">
        <f t="shared" si="95"/>
        <v>1.6095000000000002</v>
      </c>
      <c r="AQ89" s="83">
        <f t="shared" si="95"/>
        <v>1.5910000000000002</v>
      </c>
      <c r="AR89" s="83">
        <f t="shared" si="95"/>
        <v>1.5725000000000002</v>
      </c>
      <c r="AS89" s="130">
        <f t="shared" si="95"/>
        <v>1.554</v>
      </c>
      <c r="AT89" s="83">
        <f t="shared" si="95"/>
        <v>1.5355000000000001</v>
      </c>
      <c r="AU89" s="83">
        <f t="shared" si="95"/>
        <v>1.5170000000000001</v>
      </c>
      <c r="AV89" s="83">
        <f t="shared" si="95"/>
        <v>1.4985000000000002</v>
      </c>
      <c r="AW89" s="83">
        <f t="shared" si="95"/>
        <v>1.48</v>
      </c>
      <c r="AX89" s="83">
        <f t="shared" si="95"/>
        <v>1.4615</v>
      </c>
      <c r="AY89" s="83">
        <f t="shared" si="95"/>
        <v>1.4430000000000003</v>
      </c>
      <c r="AZ89" s="83">
        <f t="shared" si="95"/>
        <v>1.4245000000000003</v>
      </c>
      <c r="BA89" s="83">
        <f t="shared" si="95"/>
        <v>1.4060000000000001</v>
      </c>
      <c r="BB89" s="83">
        <f t="shared" si="95"/>
        <v>1.3875000000000002</v>
      </c>
      <c r="BC89" s="83">
        <f t="shared" si="95"/>
        <v>1.3690000000000002</v>
      </c>
      <c r="BD89" s="83">
        <f t="shared" si="95"/>
        <v>1.3505</v>
      </c>
      <c r="BE89" s="83">
        <f t="shared" si="95"/>
        <v>1.3320000000000001</v>
      </c>
      <c r="BF89" s="83">
        <f t="shared" si="95"/>
        <v>1.3135000000000001</v>
      </c>
      <c r="BG89" s="83">
        <f t="shared" si="95"/>
        <v>1.2950000000000002</v>
      </c>
      <c r="BH89" s="83">
        <f t="shared" si="95"/>
        <v>1.2765</v>
      </c>
      <c r="BI89" s="83">
        <f t="shared" si="95"/>
        <v>1.258</v>
      </c>
      <c r="BJ89" s="83">
        <f t="shared" si="95"/>
        <v>1.2395</v>
      </c>
      <c r="BK89" s="83">
        <f t="shared" si="95"/>
        <v>1.2210000000000003</v>
      </c>
      <c r="BL89" s="83">
        <f t="shared" si="95"/>
        <v>1.2025000000000001</v>
      </c>
      <c r="BM89" s="83">
        <f t="shared" si="95"/>
        <v>1.1840000000000002</v>
      </c>
      <c r="BN89" s="83">
        <f t="shared" si="95"/>
        <v>1.1655000000000002</v>
      </c>
      <c r="BO89" s="83">
        <f t="shared" si="95"/>
        <v>1.1470000000000002</v>
      </c>
      <c r="BP89" s="83">
        <f t="shared" si="95"/>
        <v>1.1285000000000001</v>
      </c>
      <c r="BQ89" s="83">
        <f t="shared" si="95"/>
        <v>1.1100000000000001</v>
      </c>
      <c r="BR89" s="83">
        <f t="shared" si="95"/>
        <v>1.0915000000000001</v>
      </c>
      <c r="BS89" s="83">
        <f t="shared" si="95"/>
        <v>1.0730000000000002</v>
      </c>
      <c r="BT89" s="83">
        <f t="shared" si="95"/>
        <v>1.0545</v>
      </c>
      <c r="BU89" s="83">
        <f t="shared" si="95"/>
        <v>1.036</v>
      </c>
      <c r="BV89" s="83">
        <f t="shared" si="95"/>
        <v>1.0175000000000001</v>
      </c>
      <c r="BW89" s="83">
        <f t="shared" si="95"/>
        <v>0.99900000000000011</v>
      </c>
      <c r="BX89" s="83">
        <f t="shared" si="95"/>
        <v>0.98050000000000004</v>
      </c>
      <c r="BY89" s="83">
        <f t="shared" si="95"/>
        <v>0.96200000000000008</v>
      </c>
      <c r="BZ89" s="83">
        <f t="shared" si="95"/>
        <v>0.94350000000000001</v>
      </c>
      <c r="CA89" s="83">
        <f t="shared" si="95"/>
        <v>0.92500000000000016</v>
      </c>
      <c r="CB89" s="83">
        <f t="shared" si="95"/>
        <v>0.90650000000000008</v>
      </c>
      <c r="CC89" s="83">
        <f t="shared" si="95"/>
        <v>0.88800000000000012</v>
      </c>
      <c r="CD89" s="83">
        <f t="shared" si="95"/>
        <v>0.86950000000000005</v>
      </c>
      <c r="CE89" s="83">
        <f t="shared" si="95"/>
        <v>0.85100000000000009</v>
      </c>
      <c r="CF89" s="83">
        <f t="shared" si="95"/>
        <v>0.83250000000000002</v>
      </c>
      <c r="CG89" s="83">
        <f t="shared" si="95"/>
        <v>0.81400000000000006</v>
      </c>
      <c r="CH89" s="83">
        <f t="shared" si="95"/>
        <v>0.7955000000000001</v>
      </c>
      <c r="CI89" s="83">
        <f t="shared" si="95"/>
        <v>0.77700000000000002</v>
      </c>
      <c r="CJ89" s="83">
        <f t="shared" si="95"/>
        <v>0.75850000000000006</v>
      </c>
      <c r="CK89" s="83">
        <f t="shared" si="95"/>
        <v>0.74</v>
      </c>
      <c r="CL89" s="83">
        <f t="shared" si="96"/>
        <v>0.72150000000000014</v>
      </c>
      <c r="CM89" s="83">
        <f t="shared" si="96"/>
        <v>0.70300000000000007</v>
      </c>
      <c r="CN89" s="83">
        <f t="shared" si="96"/>
        <v>0.68450000000000011</v>
      </c>
      <c r="CO89" s="83">
        <f t="shared" si="96"/>
        <v>0.66600000000000004</v>
      </c>
      <c r="CP89" s="83">
        <f t="shared" si="96"/>
        <v>0.64750000000000008</v>
      </c>
      <c r="CQ89" s="83">
        <f t="shared" si="96"/>
        <v>0.629</v>
      </c>
      <c r="CR89" s="83">
        <f t="shared" si="96"/>
        <v>0.61050000000000015</v>
      </c>
      <c r="CS89" s="83">
        <f t="shared" si="96"/>
        <v>0.59200000000000008</v>
      </c>
      <c r="CT89" s="83">
        <f t="shared" si="96"/>
        <v>0.57350000000000012</v>
      </c>
      <c r="CU89" s="83">
        <f t="shared" si="96"/>
        <v>0.55500000000000005</v>
      </c>
      <c r="CV89" s="83">
        <f t="shared" si="96"/>
        <v>0.53650000000000009</v>
      </c>
      <c r="CW89" s="83">
        <f t="shared" si="96"/>
        <v>0.51800000000000002</v>
      </c>
      <c r="CX89" s="83">
        <f t="shared" si="96"/>
        <v>0.49950000000000006</v>
      </c>
      <c r="CY89" s="83">
        <f t="shared" si="96"/>
        <v>0.48100000000000004</v>
      </c>
      <c r="CZ89" s="83">
        <f t="shared" si="96"/>
        <v>0.46250000000000008</v>
      </c>
      <c r="DA89" s="83">
        <f t="shared" si="96"/>
        <v>0.44400000000000006</v>
      </c>
      <c r="DB89" s="83">
        <f t="shared" si="96"/>
        <v>0.42550000000000004</v>
      </c>
      <c r="DC89" s="83">
        <f t="shared" si="96"/>
        <v>0.40700000000000003</v>
      </c>
      <c r="DD89" s="83">
        <f t="shared" si="96"/>
        <v>0.38850000000000001</v>
      </c>
      <c r="DE89" s="83">
        <f t="shared" si="96"/>
        <v>0.37</v>
      </c>
      <c r="DF89" s="83">
        <f t="shared" si="96"/>
        <v>0.35150000000000003</v>
      </c>
      <c r="DG89" s="83">
        <f t="shared" si="96"/>
        <v>0.33300000000000002</v>
      </c>
      <c r="DH89" s="83">
        <f t="shared" si="96"/>
        <v>0.3145</v>
      </c>
      <c r="DI89" s="83">
        <f t="shared" si="96"/>
        <v>0.29600000000000004</v>
      </c>
      <c r="DJ89" s="83">
        <f t="shared" si="96"/>
        <v>0.27750000000000002</v>
      </c>
      <c r="DK89" s="83">
        <f t="shared" si="96"/>
        <v>0.25900000000000001</v>
      </c>
      <c r="DL89" s="83">
        <f t="shared" si="96"/>
        <v>0.24050000000000002</v>
      </c>
      <c r="DM89" s="83">
        <f t="shared" si="96"/>
        <v>0.22200000000000003</v>
      </c>
      <c r="DN89" s="83">
        <f t="shared" si="96"/>
        <v>0.20350000000000001</v>
      </c>
      <c r="DO89" s="83">
        <f t="shared" si="96"/>
        <v>0.185</v>
      </c>
      <c r="DP89" s="83">
        <f t="shared" si="96"/>
        <v>0.16650000000000001</v>
      </c>
      <c r="DQ89" s="83">
        <f t="shared" si="96"/>
        <v>0.14800000000000002</v>
      </c>
      <c r="DR89" s="83">
        <f t="shared" si="96"/>
        <v>0.1295</v>
      </c>
      <c r="DS89" s="83">
        <f t="shared" si="96"/>
        <v>0.11100000000000002</v>
      </c>
      <c r="DT89" s="83">
        <f t="shared" si="96"/>
        <v>9.2499999999999999E-2</v>
      </c>
      <c r="DU89" s="83">
        <f t="shared" si="96"/>
        <v>7.400000000000001E-2</v>
      </c>
      <c r="DV89" s="83">
        <f t="shared" si="96"/>
        <v>5.5500000000000008E-2</v>
      </c>
      <c r="DW89" s="83">
        <f t="shared" si="96"/>
        <v>3.7000000000000005E-2</v>
      </c>
      <c r="DX89" s="83">
        <f t="shared" si="96"/>
        <v>1.8500000000000003E-2</v>
      </c>
      <c r="DY89" s="83">
        <f t="shared" si="96"/>
        <v>0</v>
      </c>
    </row>
    <row r="90" spans="1:129" x14ac:dyDescent="0.45">
      <c r="A90" s="3"/>
      <c r="B90" s="2"/>
      <c r="C90" s="121" t="s">
        <v>265</v>
      </c>
      <c r="D90" s="17"/>
      <c r="E90" s="2"/>
      <c r="F90" s="2"/>
      <c r="G90" s="2"/>
      <c r="H90" s="2"/>
      <c r="I90" s="14"/>
      <c r="J90" s="55"/>
      <c r="K90" s="55"/>
      <c r="L90" s="55"/>
      <c r="M90" s="55"/>
      <c r="N90" s="55"/>
      <c r="O90" s="55"/>
      <c r="P90" s="55"/>
      <c r="Q90" s="55"/>
      <c r="R90" s="55"/>
      <c r="S90" s="55"/>
      <c r="T90" s="55"/>
      <c r="U90" s="119">
        <f>'Plan Moyen Terme (PMT)'!C29-BAU_Liquidité_Dynamique!U89</f>
        <v>0.22199999999999998</v>
      </c>
      <c r="V90" s="120">
        <f>IF(AND(U$1&lt;V$1, V$1&lt;=$F89),$U90*($F89-V$1)/($F89-$U$1),0)</f>
        <v>0.21994444444444441</v>
      </c>
      <c r="W90" s="120">
        <f>IF(AND(V$1&lt;W$1, W$1&lt;=$F89),$U90*($F89-W$1)/($F89-$U$1),0)</f>
        <v>0.21788888888888885</v>
      </c>
      <c r="X90" s="120">
        <f t="shared" ref="X90:CI90" si="109">IF(AND(W$1&lt;X$1, X$1&lt;=$F89),$U90*($F89-X$1)/($F89-$U$1),0)</f>
        <v>0.21583333333333332</v>
      </c>
      <c r="Y90" s="120">
        <f t="shared" si="109"/>
        <v>0.21377777777777776</v>
      </c>
      <c r="Z90" s="120">
        <f t="shared" si="109"/>
        <v>0.21172222222222217</v>
      </c>
      <c r="AA90" s="120">
        <f t="shared" si="109"/>
        <v>0.20966666666666664</v>
      </c>
      <c r="AB90" s="120">
        <f t="shared" si="109"/>
        <v>0.20761111111111108</v>
      </c>
      <c r="AC90" s="120">
        <f t="shared" si="109"/>
        <v>0.20555555555555552</v>
      </c>
      <c r="AD90" s="120">
        <f t="shared" si="109"/>
        <v>0.20349999999999999</v>
      </c>
      <c r="AE90" s="120">
        <f t="shared" si="109"/>
        <v>0.20144444444444443</v>
      </c>
      <c r="AF90" s="120">
        <f t="shared" si="109"/>
        <v>0.19938888888888887</v>
      </c>
      <c r="AG90" s="120">
        <f t="shared" si="109"/>
        <v>0.19733333333333331</v>
      </c>
      <c r="AH90" s="120">
        <f t="shared" si="109"/>
        <v>0.19527777777777774</v>
      </c>
      <c r="AI90" s="120">
        <f t="shared" si="109"/>
        <v>0.19322222222222221</v>
      </c>
      <c r="AJ90" s="120">
        <f t="shared" si="109"/>
        <v>0.19116666666666665</v>
      </c>
      <c r="AK90" s="120">
        <f t="shared" si="109"/>
        <v>0.18911111111111112</v>
      </c>
      <c r="AL90" s="120">
        <f t="shared" si="109"/>
        <v>0.18705555555555553</v>
      </c>
      <c r="AM90" s="120">
        <f t="shared" si="109"/>
        <v>0.18499999999999997</v>
      </c>
      <c r="AN90" s="120">
        <f t="shared" si="109"/>
        <v>0.18294444444444444</v>
      </c>
      <c r="AO90" s="120">
        <f t="shared" si="109"/>
        <v>0.18088888888888888</v>
      </c>
      <c r="AP90" s="120">
        <f t="shared" si="109"/>
        <v>0.17883333333333329</v>
      </c>
      <c r="AQ90" s="120">
        <f t="shared" si="109"/>
        <v>0.17677777777777776</v>
      </c>
      <c r="AR90" s="120">
        <f t="shared" si="109"/>
        <v>0.1747222222222222</v>
      </c>
      <c r="AS90" s="120">
        <f t="shared" si="109"/>
        <v>0.17266666666666663</v>
      </c>
      <c r="AT90" s="120">
        <f t="shared" si="109"/>
        <v>0.1706111111111111</v>
      </c>
      <c r="AU90" s="120">
        <f t="shared" si="109"/>
        <v>0.16855555555555554</v>
      </c>
      <c r="AV90" s="120">
        <f t="shared" si="109"/>
        <v>0.16649999999999998</v>
      </c>
      <c r="AW90" s="120">
        <f t="shared" si="109"/>
        <v>0.16444444444444442</v>
      </c>
      <c r="AX90" s="120">
        <f t="shared" si="109"/>
        <v>0.16238888888888886</v>
      </c>
      <c r="AY90" s="120">
        <f t="shared" si="109"/>
        <v>0.16033333333333333</v>
      </c>
      <c r="AZ90" s="120">
        <f t="shared" si="109"/>
        <v>0.15827777777777777</v>
      </c>
      <c r="BA90" s="120">
        <f t="shared" si="109"/>
        <v>0.15622222222222223</v>
      </c>
      <c r="BB90" s="120">
        <f t="shared" si="109"/>
        <v>0.15416666666666665</v>
      </c>
      <c r="BC90" s="120">
        <f t="shared" si="109"/>
        <v>0.15211111111111109</v>
      </c>
      <c r="BD90" s="120">
        <f t="shared" si="109"/>
        <v>0.15005555555555555</v>
      </c>
      <c r="BE90" s="120">
        <f t="shared" si="109"/>
        <v>0.14799999999999999</v>
      </c>
      <c r="BF90" s="120">
        <f t="shared" si="109"/>
        <v>0.14594444444444443</v>
      </c>
      <c r="BG90" s="120">
        <f t="shared" si="109"/>
        <v>0.14388888888888887</v>
      </c>
      <c r="BH90" s="120">
        <f t="shared" si="109"/>
        <v>0.14183333333333331</v>
      </c>
      <c r="BI90" s="120">
        <f t="shared" si="109"/>
        <v>0.13977777777777775</v>
      </c>
      <c r="BJ90" s="120">
        <f t="shared" si="109"/>
        <v>0.13772222222222222</v>
      </c>
      <c r="BK90" s="120">
        <f t="shared" si="109"/>
        <v>0.13566666666666663</v>
      </c>
      <c r="BL90" s="120">
        <f t="shared" si="109"/>
        <v>0.1336111111111111</v>
      </c>
      <c r="BM90" s="120">
        <f t="shared" si="109"/>
        <v>0.13155555555555554</v>
      </c>
      <c r="BN90" s="120">
        <f t="shared" si="109"/>
        <v>0.12949999999999998</v>
      </c>
      <c r="BO90" s="120">
        <f t="shared" si="109"/>
        <v>0.12744444444444444</v>
      </c>
      <c r="BP90" s="120">
        <f t="shared" si="109"/>
        <v>0.12538888888888888</v>
      </c>
      <c r="BQ90" s="120">
        <f t="shared" si="109"/>
        <v>0.12333333333333332</v>
      </c>
      <c r="BR90" s="120">
        <f t="shared" si="109"/>
        <v>0.12127777777777776</v>
      </c>
      <c r="BS90" s="120">
        <f t="shared" si="109"/>
        <v>0.1192222222222222</v>
      </c>
      <c r="BT90" s="120">
        <f t="shared" si="109"/>
        <v>0.11716666666666666</v>
      </c>
      <c r="BU90" s="120">
        <f t="shared" si="109"/>
        <v>0.11511111111111109</v>
      </c>
      <c r="BV90" s="120">
        <f t="shared" si="109"/>
        <v>0.11305555555555555</v>
      </c>
      <c r="BW90" s="120">
        <f t="shared" si="109"/>
        <v>0.111</v>
      </c>
      <c r="BX90" s="120">
        <f t="shared" si="109"/>
        <v>0.10894444444444443</v>
      </c>
      <c r="BY90" s="120">
        <f t="shared" si="109"/>
        <v>0.10688888888888888</v>
      </c>
      <c r="BZ90" s="120">
        <f t="shared" si="109"/>
        <v>0.10483333333333332</v>
      </c>
      <c r="CA90" s="120">
        <f t="shared" si="109"/>
        <v>0.10277777777777776</v>
      </c>
      <c r="CB90" s="120">
        <f t="shared" si="109"/>
        <v>0.10072222222222221</v>
      </c>
      <c r="CC90" s="120">
        <f t="shared" si="109"/>
        <v>9.8666666666666653E-2</v>
      </c>
      <c r="CD90" s="120">
        <f t="shared" si="109"/>
        <v>9.6611111111111106E-2</v>
      </c>
      <c r="CE90" s="120">
        <f t="shared" si="109"/>
        <v>9.4555555555555559E-2</v>
      </c>
      <c r="CF90" s="120">
        <f t="shared" si="109"/>
        <v>9.2499999999999985E-2</v>
      </c>
      <c r="CG90" s="120">
        <f t="shared" si="109"/>
        <v>9.0444444444444438E-2</v>
      </c>
      <c r="CH90" s="120">
        <f t="shared" si="109"/>
        <v>8.8388888888888878E-2</v>
      </c>
      <c r="CI90" s="120">
        <f t="shared" si="109"/>
        <v>8.6333333333333317E-2</v>
      </c>
      <c r="CJ90" s="120">
        <f t="shared" ref="CJ90:DY90" si="110">IF(AND(CI$1&lt;CJ$1, CJ$1&lt;=$F89),$U90*($F89-CJ$1)/($F89-$U$1),0)</f>
        <v>8.4277777777777771E-2</v>
      </c>
      <c r="CK90" s="120">
        <f t="shared" si="110"/>
        <v>8.222222222222221E-2</v>
      </c>
      <c r="CL90" s="120">
        <f t="shared" si="110"/>
        <v>8.0166666666666664E-2</v>
      </c>
      <c r="CM90" s="120">
        <f t="shared" si="110"/>
        <v>7.8111111111111117E-2</v>
      </c>
      <c r="CN90" s="120">
        <f t="shared" si="110"/>
        <v>7.6055555555555543E-2</v>
      </c>
      <c r="CO90" s="120">
        <f t="shared" si="110"/>
        <v>7.3999999999999996E-2</v>
      </c>
      <c r="CP90" s="120">
        <f t="shared" si="110"/>
        <v>7.1944444444444436E-2</v>
      </c>
      <c r="CQ90" s="120">
        <f t="shared" si="110"/>
        <v>6.9888888888888875E-2</v>
      </c>
      <c r="CR90" s="120">
        <f t="shared" si="110"/>
        <v>6.7833333333333315E-2</v>
      </c>
      <c r="CS90" s="120">
        <f t="shared" si="110"/>
        <v>6.5777777777777768E-2</v>
      </c>
      <c r="CT90" s="120">
        <f t="shared" si="110"/>
        <v>6.3722222222222222E-2</v>
      </c>
      <c r="CU90" s="120">
        <f t="shared" si="110"/>
        <v>6.1666666666666661E-2</v>
      </c>
      <c r="CV90" s="120">
        <f t="shared" si="110"/>
        <v>5.9611111111111101E-2</v>
      </c>
      <c r="CW90" s="120">
        <f t="shared" si="110"/>
        <v>5.7555555555555547E-2</v>
      </c>
      <c r="CX90" s="120">
        <f t="shared" si="110"/>
        <v>5.5500000000000001E-2</v>
      </c>
      <c r="CY90" s="120">
        <f t="shared" si="110"/>
        <v>5.344444444444444E-2</v>
      </c>
      <c r="CZ90" s="120">
        <f t="shared" si="110"/>
        <v>5.138888888888888E-2</v>
      </c>
      <c r="DA90" s="120">
        <f t="shared" si="110"/>
        <v>4.9333333333333326E-2</v>
      </c>
      <c r="DB90" s="120">
        <f t="shared" si="110"/>
        <v>4.727777777777778E-2</v>
      </c>
      <c r="DC90" s="120">
        <f t="shared" si="110"/>
        <v>4.5222222222222219E-2</v>
      </c>
      <c r="DD90" s="120">
        <f t="shared" si="110"/>
        <v>4.3166666666666659E-2</v>
      </c>
      <c r="DE90" s="120">
        <f t="shared" si="110"/>
        <v>4.1111111111111105E-2</v>
      </c>
      <c r="DF90" s="120">
        <f t="shared" si="110"/>
        <v>3.9055555555555559E-2</v>
      </c>
      <c r="DG90" s="120">
        <f t="shared" si="110"/>
        <v>3.6999999999999998E-2</v>
      </c>
      <c r="DH90" s="120">
        <f t="shared" si="110"/>
        <v>3.4944444444444438E-2</v>
      </c>
      <c r="DI90" s="120">
        <f t="shared" si="110"/>
        <v>3.2888888888888884E-2</v>
      </c>
      <c r="DJ90" s="120">
        <f t="shared" si="110"/>
        <v>3.0833333333333331E-2</v>
      </c>
      <c r="DK90" s="120">
        <f t="shared" si="110"/>
        <v>2.8777777777777774E-2</v>
      </c>
      <c r="DL90" s="120">
        <f t="shared" si="110"/>
        <v>2.672222222222222E-2</v>
      </c>
      <c r="DM90" s="120">
        <f t="shared" si="110"/>
        <v>2.4666666666666663E-2</v>
      </c>
      <c r="DN90" s="120">
        <f t="shared" si="110"/>
        <v>2.261111111111111E-2</v>
      </c>
      <c r="DO90" s="120">
        <f t="shared" si="110"/>
        <v>2.0555555555555553E-2</v>
      </c>
      <c r="DP90" s="120">
        <f t="shared" si="110"/>
        <v>1.8499999999999999E-2</v>
      </c>
      <c r="DQ90" s="120">
        <f t="shared" si="110"/>
        <v>1.6444444444444442E-2</v>
      </c>
      <c r="DR90" s="120">
        <f t="shared" si="110"/>
        <v>1.4388888888888887E-2</v>
      </c>
      <c r="DS90" s="120">
        <f t="shared" si="110"/>
        <v>1.2333333333333332E-2</v>
      </c>
      <c r="DT90" s="120">
        <f t="shared" si="110"/>
        <v>1.0277777777777776E-2</v>
      </c>
      <c r="DU90" s="120">
        <f t="shared" si="110"/>
        <v>8.222222222222221E-3</v>
      </c>
      <c r="DV90" s="120">
        <f t="shared" si="110"/>
        <v>6.1666666666666658E-3</v>
      </c>
      <c r="DW90" s="120">
        <f t="shared" si="110"/>
        <v>4.1111111111111105E-3</v>
      </c>
      <c r="DX90" s="120">
        <f t="shared" si="110"/>
        <v>2.0555555555555553E-3</v>
      </c>
      <c r="DY90" s="120">
        <f t="shared" si="110"/>
        <v>0</v>
      </c>
    </row>
    <row r="91" spans="1:129" x14ac:dyDescent="0.45">
      <c r="A91" s="3"/>
      <c r="B91" s="2"/>
      <c r="C91" s="122" t="s">
        <v>266</v>
      </c>
      <c r="D91" s="17"/>
      <c r="E91" s="2"/>
      <c r="F91" s="2"/>
      <c r="G91" s="2"/>
      <c r="H91" s="2"/>
      <c r="I91" s="14"/>
      <c r="J91" s="55"/>
      <c r="K91" s="55"/>
      <c r="L91" s="55"/>
      <c r="M91" s="55"/>
      <c r="N91" s="55"/>
      <c r="O91" s="55"/>
      <c r="P91" s="55"/>
      <c r="Q91" s="55"/>
      <c r="R91" s="55"/>
      <c r="S91" s="55"/>
      <c r="T91" s="55"/>
      <c r="U91" s="95"/>
      <c r="V91" s="91"/>
      <c r="W91" s="91"/>
      <c r="X91" s="91"/>
      <c r="Y91" s="91"/>
      <c r="Z91" s="55"/>
      <c r="AA91" s="55"/>
      <c r="AB91" s="55"/>
      <c r="AC91" s="55"/>
      <c r="AD91" s="55"/>
      <c r="AE91" s="55"/>
      <c r="AF91" s="55"/>
      <c r="AG91" s="129">
        <f>'Plan Moyen Terme (PMT)'!D29-BAU_Liquidité_Dynamique!AG89</f>
        <v>0.44399999999999995</v>
      </c>
      <c r="AH91" s="124">
        <f>IF(AND(AG$1&lt;AH$1, AH$1&lt;=$F89),$AG91*($F89-AH$1)/($F89-$AG$1),0)</f>
        <v>0.4393749999999999</v>
      </c>
      <c r="AI91" s="124">
        <f>IF(AND(AH$1&lt;AI$1, AI$1&lt;=$F89),$AG91*($F89-AI$1)/($F89-$AG$1),0)</f>
        <v>0.43474999999999997</v>
      </c>
      <c r="AJ91" s="124">
        <f t="shared" ref="AJ91:CU91" si="111">IF(AND(AI$1&lt;AJ$1, AJ$1&lt;=$F89),$AG91*($F89-AJ$1)/($F89-$AG$1),0)</f>
        <v>0.43012499999999992</v>
      </c>
      <c r="AK91" s="124">
        <f t="shared" si="111"/>
        <v>0.42549999999999999</v>
      </c>
      <c r="AL91" s="124">
        <f t="shared" si="111"/>
        <v>0.42087499999999994</v>
      </c>
      <c r="AM91" s="124">
        <f t="shared" si="111"/>
        <v>0.41624999999999995</v>
      </c>
      <c r="AN91" s="124">
        <f t="shared" si="111"/>
        <v>0.41162499999999996</v>
      </c>
      <c r="AO91" s="124">
        <f t="shared" si="111"/>
        <v>0.40699999999999997</v>
      </c>
      <c r="AP91" s="124">
        <f t="shared" si="111"/>
        <v>0.40237499999999993</v>
      </c>
      <c r="AQ91" s="124">
        <f t="shared" si="111"/>
        <v>0.39774999999999999</v>
      </c>
      <c r="AR91" s="124">
        <f t="shared" si="111"/>
        <v>0.39312499999999995</v>
      </c>
      <c r="AS91" s="124">
        <f t="shared" si="111"/>
        <v>0.3884999999999999</v>
      </c>
      <c r="AT91" s="124">
        <f t="shared" si="111"/>
        <v>0.38387499999999997</v>
      </c>
      <c r="AU91" s="124">
        <f t="shared" si="111"/>
        <v>0.37924999999999992</v>
      </c>
      <c r="AV91" s="124">
        <f t="shared" si="111"/>
        <v>0.37462499999999999</v>
      </c>
      <c r="AW91" s="124">
        <f t="shared" si="111"/>
        <v>0.36999999999999994</v>
      </c>
      <c r="AX91" s="124">
        <f t="shared" si="111"/>
        <v>0.36537499999999995</v>
      </c>
      <c r="AY91" s="124">
        <f t="shared" si="111"/>
        <v>0.36074999999999996</v>
      </c>
      <c r="AZ91" s="124">
        <f t="shared" si="111"/>
        <v>0.35612499999999997</v>
      </c>
      <c r="BA91" s="124">
        <f t="shared" si="111"/>
        <v>0.35149999999999998</v>
      </c>
      <c r="BB91" s="124">
        <f t="shared" si="111"/>
        <v>0.34687499999999999</v>
      </c>
      <c r="BC91" s="124">
        <f t="shared" si="111"/>
        <v>0.34224999999999994</v>
      </c>
      <c r="BD91" s="124">
        <f t="shared" si="111"/>
        <v>0.33762500000000001</v>
      </c>
      <c r="BE91" s="124">
        <f t="shared" si="111"/>
        <v>0.33299999999999996</v>
      </c>
      <c r="BF91" s="124">
        <f t="shared" si="111"/>
        <v>0.32837499999999997</v>
      </c>
      <c r="BG91" s="124">
        <f t="shared" si="111"/>
        <v>0.32374999999999998</v>
      </c>
      <c r="BH91" s="124">
        <f t="shared" si="111"/>
        <v>0.31912499999999994</v>
      </c>
      <c r="BI91" s="124">
        <f t="shared" si="111"/>
        <v>0.31449999999999995</v>
      </c>
      <c r="BJ91" s="124">
        <f t="shared" si="111"/>
        <v>0.30987499999999996</v>
      </c>
      <c r="BK91" s="124">
        <f t="shared" si="111"/>
        <v>0.30524999999999997</v>
      </c>
      <c r="BL91" s="124">
        <f t="shared" si="111"/>
        <v>0.30062499999999998</v>
      </c>
      <c r="BM91" s="124">
        <f t="shared" si="111"/>
        <v>0.29599999999999999</v>
      </c>
      <c r="BN91" s="124">
        <f t="shared" si="111"/>
        <v>0.291375</v>
      </c>
      <c r="BO91" s="124">
        <f t="shared" si="111"/>
        <v>0.28675</v>
      </c>
      <c r="BP91" s="124">
        <f t="shared" si="111"/>
        <v>0.28212499999999996</v>
      </c>
      <c r="BQ91" s="124">
        <f t="shared" si="111"/>
        <v>0.27749999999999997</v>
      </c>
      <c r="BR91" s="124">
        <f t="shared" si="111"/>
        <v>0.27287499999999998</v>
      </c>
      <c r="BS91" s="124">
        <f t="shared" si="111"/>
        <v>0.26824999999999993</v>
      </c>
      <c r="BT91" s="124">
        <f t="shared" si="111"/>
        <v>0.26362499999999994</v>
      </c>
      <c r="BU91" s="124">
        <f t="shared" si="111"/>
        <v>0.25899999999999995</v>
      </c>
      <c r="BV91" s="124">
        <f t="shared" si="111"/>
        <v>0.25437499999999996</v>
      </c>
      <c r="BW91" s="124">
        <f t="shared" si="111"/>
        <v>0.24975</v>
      </c>
      <c r="BX91" s="124">
        <f t="shared" si="111"/>
        <v>0.24512499999999995</v>
      </c>
      <c r="BY91" s="124">
        <f t="shared" si="111"/>
        <v>0.24049999999999996</v>
      </c>
      <c r="BZ91" s="124">
        <f t="shared" si="111"/>
        <v>0.23587499999999997</v>
      </c>
      <c r="CA91" s="124">
        <f t="shared" si="111"/>
        <v>0.23124999999999996</v>
      </c>
      <c r="CB91" s="124">
        <f t="shared" si="111"/>
        <v>0.22662499999999997</v>
      </c>
      <c r="CC91" s="124">
        <f t="shared" si="111"/>
        <v>0.22199999999999998</v>
      </c>
      <c r="CD91" s="124">
        <f t="shared" si="111"/>
        <v>0.21737499999999998</v>
      </c>
      <c r="CE91" s="124">
        <f t="shared" si="111"/>
        <v>0.21274999999999999</v>
      </c>
      <c r="CF91" s="124">
        <f t="shared" si="111"/>
        <v>0.20812499999999998</v>
      </c>
      <c r="CG91" s="124">
        <f t="shared" si="111"/>
        <v>0.20349999999999999</v>
      </c>
      <c r="CH91" s="124">
        <f t="shared" si="111"/>
        <v>0.198875</v>
      </c>
      <c r="CI91" s="124">
        <f t="shared" si="111"/>
        <v>0.19424999999999995</v>
      </c>
      <c r="CJ91" s="124">
        <f t="shared" si="111"/>
        <v>0.18962499999999996</v>
      </c>
      <c r="CK91" s="124">
        <f t="shared" si="111"/>
        <v>0.18499999999999997</v>
      </c>
      <c r="CL91" s="124">
        <f t="shared" si="111"/>
        <v>0.18037499999999998</v>
      </c>
      <c r="CM91" s="124">
        <f t="shared" si="111"/>
        <v>0.17574999999999999</v>
      </c>
      <c r="CN91" s="124">
        <f t="shared" si="111"/>
        <v>0.17112499999999997</v>
      </c>
      <c r="CO91" s="124">
        <f t="shared" si="111"/>
        <v>0.16649999999999998</v>
      </c>
      <c r="CP91" s="124">
        <f t="shared" si="111"/>
        <v>0.16187499999999999</v>
      </c>
      <c r="CQ91" s="124">
        <f t="shared" si="111"/>
        <v>0.15724999999999997</v>
      </c>
      <c r="CR91" s="124">
        <f t="shared" si="111"/>
        <v>0.15262499999999998</v>
      </c>
      <c r="CS91" s="124">
        <f t="shared" si="111"/>
        <v>0.14799999999999999</v>
      </c>
      <c r="CT91" s="124">
        <f t="shared" si="111"/>
        <v>0.143375</v>
      </c>
      <c r="CU91" s="124">
        <f t="shared" si="111"/>
        <v>0.13874999999999998</v>
      </c>
      <c r="CV91" s="124">
        <f t="shared" ref="CV91:DY91" si="112">IF(AND(CU$1&lt;CV$1, CV$1&lt;=$F89),$AG91*($F89-CV$1)/($F89-$AG$1),0)</f>
        <v>0.13412499999999997</v>
      </c>
      <c r="CW91" s="124">
        <f t="shared" si="112"/>
        <v>0.12949999999999998</v>
      </c>
      <c r="CX91" s="124">
        <f t="shared" si="112"/>
        <v>0.124875</v>
      </c>
      <c r="CY91" s="124">
        <f t="shared" si="112"/>
        <v>0.12024999999999998</v>
      </c>
      <c r="CZ91" s="124">
        <f t="shared" si="112"/>
        <v>0.11562499999999998</v>
      </c>
      <c r="DA91" s="124">
        <f t="shared" si="112"/>
        <v>0.11099999999999999</v>
      </c>
      <c r="DB91" s="124">
        <f t="shared" si="112"/>
        <v>0.106375</v>
      </c>
      <c r="DC91" s="124">
        <f t="shared" si="112"/>
        <v>0.10174999999999999</v>
      </c>
      <c r="DD91" s="124">
        <f t="shared" si="112"/>
        <v>9.7124999999999975E-2</v>
      </c>
      <c r="DE91" s="124">
        <f t="shared" si="112"/>
        <v>9.2499999999999985E-2</v>
      </c>
      <c r="DF91" s="124">
        <f t="shared" si="112"/>
        <v>8.7874999999999995E-2</v>
      </c>
      <c r="DG91" s="124">
        <f t="shared" si="112"/>
        <v>8.3249999999999991E-2</v>
      </c>
      <c r="DH91" s="124">
        <f t="shared" si="112"/>
        <v>7.8624999999999987E-2</v>
      </c>
      <c r="DI91" s="124">
        <f t="shared" si="112"/>
        <v>7.3999999999999996E-2</v>
      </c>
      <c r="DJ91" s="124">
        <f t="shared" si="112"/>
        <v>6.9374999999999992E-2</v>
      </c>
      <c r="DK91" s="124">
        <f t="shared" si="112"/>
        <v>6.4749999999999988E-2</v>
      </c>
      <c r="DL91" s="124">
        <f t="shared" si="112"/>
        <v>6.0124999999999991E-2</v>
      </c>
      <c r="DM91" s="124">
        <f t="shared" si="112"/>
        <v>5.5499999999999994E-2</v>
      </c>
      <c r="DN91" s="124">
        <f t="shared" si="112"/>
        <v>5.0874999999999997E-2</v>
      </c>
      <c r="DO91" s="124">
        <f t="shared" si="112"/>
        <v>4.6249999999999993E-2</v>
      </c>
      <c r="DP91" s="124">
        <f t="shared" si="112"/>
        <v>4.1624999999999995E-2</v>
      </c>
      <c r="DQ91" s="124">
        <f t="shared" si="112"/>
        <v>3.6999999999999998E-2</v>
      </c>
      <c r="DR91" s="124">
        <f t="shared" si="112"/>
        <v>3.2374999999999994E-2</v>
      </c>
      <c r="DS91" s="124">
        <f t="shared" si="112"/>
        <v>2.7749999999999997E-2</v>
      </c>
      <c r="DT91" s="124">
        <f t="shared" si="112"/>
        <v>2.3124999999999996E-2</v>
      </c>
      <c r="DU91" s="124">
        <f t="shared" si="112"/>
        <v>1.8499999999999999E-2</v>
      </c>
      <c r="DV91" s="124">
        <f t="shared" si="112"/>
        <v>1.3874999999999998E-2</v>
      </c>
      <c r="DW91" s="124">
        <f t="shared" si="112"/>
        <v>9.2499999999999995E-3</v>
      </c>
      <c r="DX91" s="124">
        <f t="shared" si="112"/>
        <v>4.6249999999999998E-3</v>
      </c>
      <c r="DY91" s="124">
        <f t="shared" si="112"/>
        <v>0</v>
      </c>
    </row>
    <row r="92" spans="1:129" x14ac:dyDescent="0.45">
      <c r="A92" s="3"/>
      <c r="B92" s="2"/>
      <c r="C92" s="125" t="s">
        <v>267</v>
      </c>
      <c r="D92" s="17"/>
      <c r="E92" s="2"/>
      <c r="F92" s="2"/>
      <c r="G92" s="2"/>
      <c r="H92" s="2"/>
      <c r="I92" s="14"/>
      <c r="J92" s="55"/>
      <c r="K92" s="55"/>
      <c r="L92" s="55"/>
      <c r="M92" s="55"/>
      <c r="N92" s="55"/>
      <c r="O92" s="55"/>
      <c r="P92" s="55"/>
      <c r="Q92" s="55"/>
      <c r="R92" s="55"/>
      <c r="S92" s="55"/>
      <c r="T92" s="55"/>
      <c r="U92" s="96"/>
      <c r="V92" s="55"/>
      <c r="W92" s="55"/>
      <c r="X92" s="55"/>
      <c r="Y92" s="55"/>
      <c r="Z92" s="55"/>
      <c r="AA92" s="55"/>
      <c r="AB92" s="55"/>
      <c r="AC92" s="55"/>
      <c r="AD92" s="55"/>
      <c r="AE92" s="55"/>
      <c r="AF92" s="55"/>
      <c r="AG92" s="102"/>
      <c r="AH92" s="91"/>
      <c r="AI92" s="91"/>
      <c r="AJ92" s="91"/>
      <c r="AK92" s="55"/>
      <c r="AL92" s="55"/>
      <c r="AM92" s="55"/>
      <c r="AN92" s="55"/>
      <c r="AO92" s="55"/>
      <c r="AP92" s="55"/>
      <c r="AQ92" s="55"/>
      <c r="AR92" s="55"/>
      <c r="AS92" s="130">
        <f>'Plan Moyen Terme (PMT)'!E29-BAU_Liquidité_Dynamique!AS89</f>
        <v>2752.4459999999999</v>
      </c>
      <c r="AT92" s="126">
        <f>IF(AND(AS$1&lt;AT$1, AT$1&lt;=$F89),$AS92*($F89-AT$1)/($F89-$AS$1),0)</f>
        <v>2719.6787857142854</v>
      </c>
      <c r="AU92" s="126">
        <f t="shared" ref="AU92:DF92" si="113">IF(AND(AT$1&lt;AU$1, AU$1&lt;=$F89),$AS92*($F89-AU$1)/($F89-$AS$1),0)</f>
        <v>2686.9115714285713</v>
      </c>
      <c r="AV92" s="126">
        <f t="shared" si="113"/>
        <v>2654.1443571428572</v>
      </c>
      <c r="AW92" s="126">
        <f t="shared" si="113"/>
        <v>2621.3771428571426</v>
      </c>
      <c r="AX92" s="126">
        <f t="shared" si="113"/>
        <v>2588.6099285714286</v>
      </c>
      <c r="AY92" s="126">
        <f t="shared" si="113"/>
        <v>2555.8427142857145</v>
      </c>
      <c r="AZ92" s="126">
        <f t="shared" si="113"/>
        <v>2523.0754999999999</v>
      </c>
      <c r="BA92" s="126">
        <f t="shared" si="113"/>
        <v>2490.3082857142858</v>
      </c>
      <c r="BB92" s="126">
        <f t="shared" si="113"/>
        <v>2457.5410714285713</v>
      </c>
      <c r="BC92" s="126">
        <f t="shared" si="113"/>
        <v>2424.7738571428572</v>
      </c>
      <c r="BD92" s="126">
        <f t="shared" si="113"/>
        <v>2392.0066428571427</v>
      </c>
      <c r="BE92" s="126">
        <f t="shared" si="113"/>
        <v>2359.2394285714286</v>
      </c>
      <c r="BF92" s="126">
        <f t="shared" si="113"/>
        <v>2326.4722142857145</v>
      </c>
      <c r="BG92" s="126">
        <f t="shared" si="113"/>
        <v>2293.7049999999999</v>
      </c>
      <c r="BH92" s="126">
        <f t="shared" si="113"/>
        <v>2260.9377857142858</v>
      </c>
      <c r="BI92" s="126">
        <f t="shared" si="113"/>
        <v>2228.1705714285713</v>
      </c>
      <c r="BJ92" s="126">
        <f t="shared" si="113"/>
        <v>2195.4033571428567</v>
      </c>
      <c r="BK92" s="126">
        <f t="shared" si="113"/>
        <v>2162.6361428571427</v>
      </c>
      <c r="BL92" s="126">
        <f t="shared" si="113"/>
        <v>2129.8689285714286</v>
      </c>
      <c r="BM92" s="126">
        <f t="shared" si="113"/>
        <v>2097.101714285714</v>
      </c>
      <c r="BN92" s="126">
        <f t="shared" si="113"/>
        <v>2064.3344999999999</v>
      </c>
      <c r="BO92" s="126">
        <f t="shared" si="113"/>
        <v>2031.5672857142858</v>
      </c>
      <c r="BP92" s="126">
        <f t="shared" si="113"/>
        <v>1998.8000714285715</v>
      </c>
      <c r="BQ92" s="126">
        <f t="shared" si="113"/>
        <v>1966.0328571428572</v>
      </c>
      <c r="BR92" s="126">
        <f t="shared" si="113"/>
        <v>1933.2656428571427</v>
      </c>
      <c r="BS92" s="126">
        <f t="shared" si="113"/>
        <v>1900.4984285714283</v>
      </c>
      <c r="BT92" s="126">
        <f t="shared" si="113"/>
        <v>1867.7312142857143</v>
      </c>
      <c r="BU92" s="126">
        <f t="shared" si="113"/>
        <v>1834.9639999999999</v>
      </c>
      <c r="BV92" s="126">
        <f t="shared" si="113"/>
        <v>1802.1967857142856</v>
      </c>
      <c r="BW92" s="126">
        <f t="shared" si="113"/>
        <v>1769.4295714285715</v>
      </c>
      <c r="BX92" s="126">
        <f t="shared" si="113"/>
        <v>1736.6623571428572</v>
      </c>
      <c r="BY92" s="126">
        <f t="shared" si="113"/>
        <v>1703.8951428571427</v>
      </c>
      <c r="BZ92" s="126">
        <f t="shared" si="113"/>
        <v>1671.1279285714284</v>
      </c>
      <c r="CA92" s="126">
        <f t="shared" si="113"/>
        <v>1638.360714285714</v>
      </c>
      <c r="CB92" s="126">
        <f t="shared" si="113"/>
        <v>1605.5934999999999</v>
      </c>
      <c r="CC92" s="126">
        <f t="shared" si="113"/>
        <v>1572.8262857142856</v>
      </c>
      <c r="CD92" s="126">
        <f t="shared" si="113"/>
        <v>1540.0590714285713</v>
      </c>
      <c r="CE92" s="126">
        <f t="shared" si="113"/>
        <v>1507.2918571428572</v>
      </c>
      <c r="CF92" s="126">
        <f t="shared" si="113"/>
        <v>1474.5246428571427</v>
      </c>
      <c r="CG92" s="126">
        <f t="shared" si="113"/>
        <v>1441.7574285714286</v>
      </c>
      <c r="CH92" s="126">
        <f t="shared" si="113"/>
        <v>1408.9902142857143</v>
      </c>
      <c r="CI92" s="126">
        <f t="shared" si="113"/>
        <v>1376.223</v>
      </c>
      <c r="CJ92" s="126">
        <f t="shared" si="113"/>
        <v>1343.4557857142856</v>
      </c>
      <c r="CK92" s="126">
        <f t="shared" si="113"/>
        <v>1310.6885714285713</v>
      </c>
      <c r="CL92" s="126">
        <f t="shared" si="113"/>
        <v>1277.9213571428572</v>
      </c>
      <c r="CM92" s="126">
        <f t="shared" si="113"/>
        <v>1245.1541428571429</v>
      </c>
      <c r="CN92" s="126">
        <f t="shared" si="113"/>
        <v>1212.3869285714286</v>
      </c>
      <c r="CO92" s="126">
        <f t="shared" si="113"/>
        <v>1179.6197142857143</v>
      </c>
      <c r="CP92" s="126">
        <f t="shared" si="113"/>
        <v>1146.8525</v>
      </c>
      <c r="CQ92" s="126">
        <f t="shared" si="113"/>
        <v>1114.0852857142856</v>
      </c>
      <c r="CR92" s="126">
        <f t="shared" si="113"/>
        <v>1081.3180714285713</v>
      </c>
      <c r="CS92" s="126">
        <f t="shared" si="113"/>
        <v>1048.550857142857</v>
      </c>
      <c r="CT92" s="126">
        <f t="shared" si="113"/>
        <v>1015.7836428571429</v>
      </c>
      <c r="CU92" s="126">
        <f t="shared" si="113"/>
        <v>983.01642857142861</v>
      </c>
      <c r="CV92" s="126">
        <f t="shared" si="113"/>
        <v>950.24921428571417</v>
      </c>
      <c r="CW92" s="126">
        <f t="shared" si="113"/>
        <v>917.48199999999997</v>
      </c>
      <c r="CX92" s="126">
        <f t="shared" si="113"/>
        <v>884.71478571428577</v>
      </c>
      <c r="CY92" s="126">
        <f t="shared" si="113"/>
        <v>851.94757142857134</v>
      </c>
      <c r="CZ92" s="126">
        <f t="shared" si="113"/>
        <v>819.18035714285702</v>
      </c>
      <c r="DA92" s="126">
        <f t="shared" si="113"/>
        <v>786.41314285714282</v>
      </c>
      <c r="DB92" s="126">
        <f t="shared" si="113"/>
        <v>753.64592857142861</v>
      </c>
      <c r="DC92" s="126">
        <f t="shared" si="113"/>
        <v>720.8787142857143</v>
      </c>
      <c r="DD92" s="126">
        <f t="shared" si="113"/>
        <v>688.11149999999998</v>
      </c>
      <c r="DE92" s="126">
        <f t="shared" si="113"/>
        <v>655.34428571428566</v>
      </c>
      <c r="DF92" s="126">
        <f t="shared" si="113"/>
        <v>622.57707142857146</v>
      </c>
      <c r="DG92" s="126">
        <f t="shared" ref="DG92:DY92" si="114">IF(AND(DF$1&lt;DG$1, DG$1&lt;=$F89),$AS92*($F89-DG$1)/($F89-$AS$1),0)</f>
        <v>589.80985714285714</v>
      </c>
      <c r="DH92" s="126">
        <f t="shared" si="114"/>
        <v>557.04264285714282</v>
      </c>
      <c r="DI92" s="126">
        <f t="shared" si="114"/>
        <v>524.27542857142851</v>
      </c>
      <c r="DJ92" s="126">
        <f t="shared" si="114"/>
        <v>491.5082142857143</v>
      </c>
      <c r="DK92" s="126">
        <f t="shared" si="114"/>
        <v>458.74099999999999</v>
      </c>
      <c r="DL92" s="126">
        <f t="shared" si="114"/>
        <v>425.97378571428567</v>
      </c>
      <c r="DM92" s="126">
        <f t="shared" si="114"/>
        <v>393.20657142857141</v>
      </c>
      <c r="DN92" s="126">
        <f t="shared" si="114"/>
        <v>360.43935714285715</v>
      </c>
      <c r="DO92" s="126">
        <f t="shared" si="114"/>
        <v>327.67214285714283</v>
      </c>
      <c r="DP92" s="126">
        <f t="shared" si="114"/>
        <v>294.90492857142857</v>
      </c>
      <c r="DQ92" s="126">
        <f t="shared" si="114"/>
        <v>262.13771428571425</v>
      </c>
      <c r="DR92" s="126">
        <f t="shared" si="114"/>
        <v>229.37049999999999</v>
      </c>
      <c r="DS92" s="126">
        <f t="shared" si="114"/>
        <v>196.6032857142857</v>
      </c>
      <c r="DT92" s="126">
        <f t="shared" si="114"/>
        <v>163.83607142857142</v>
      </c>
      <c r="DU92" s="126">
        <f t="shared" si="114"/>
        <v>131.06885714285713</v>
      </c>
      <c r="DV92" s="126">
        <f t="shared" si="114"/>
        <v>98.301642857142852</v>
      </c>
      <c r="DW92" s="126">
        <f t="shared" si="114"/>
        <v>65.534428571428563</v>
      </c>
      <c r="DX92" s="126">
        <f t="shared" si="114"/>
        <v>32.767214285714282</v>
      </c>
      <c r="DY92" s="126">
        <f t="shared" si="114"/>
        <v>0</v>
      </c>
    </row>
    <row r="93" spans="1:129" x14ac:dyDescent="0.45">
      <c r="A93" s="3">
        <v>46022</v>
      </c>
      <c r="B93" s="2" t="s">
        <v>19</v>
      </c>
      <c r="C93" s="6" t="s">
        <v>27</v>
      </c>
      <c r="D93" s="17">
        <v>0</v>
      </c>
      <c r="E93" s="2" t="s">
        <v>43</v>
      </c>
      <c r="F93" s="2">
        <v>120</v>
      </c>
      <c r="G93" s="2" t="s">
        <v>43</v>
      </c>
      <c r="H93" s="2">
        <v>120</v>
      </c>
      <c r="I93" s="14">
        <v>429.97500000000002</v>
      </c>
      <c r="J93" s="55">
        <f t="shared" si="94"/>
        <v>426.39187500000003</v>
      </c>
      <c r="K93" s="55">
        <f t="shared" si="94"/>
        <v>422.80874999999997</v>
      </c>
      <c r="L93" s="55">
        <f t="shared" si="94"/>
        <v>419.22562500000004</v>
      </c>
      <c r="M93" s="55">
        <f t="shared" si="94"/>
        <v>415.64250000000004</v>
      </c>
      <c r="N93" s="55">
        <f t="shared" si="94"/>
        <v>412.05937500000005</v>
      </c>
      <c r="O93" s="55">
        <f t="shared" si="94"/>
        <v>408.47624999999999</v>
      </c>
      <c r="P93" s="55">
        <f t="shared" si="94"/>
        <v>404.893125</v>
      </c>
      <c r="Q93" s="55">
        <f t="shared" si="94"/>
        <v>401.31</v>
      </c>
      <c r="R93" s="55">
        <f t="shared" si="94"/>
        <v>397.72687500000006</v>
      </c>
      <c r="S93" s="55">
        <f t="shared" si="94"/>
        <v>394.14375000000001</v>
      </c>
      <c r="T93" s="55">
        <f t="shared" si="94"/>
        <v>390.56062500000002</v>
      </c>
      <c r="U93" s="96">
        <f t="shared" si="94"/>
        <v>386.97750000000002</v>
      </c>
      <c r="V93" s="55">
        <f t="shared" si="94"/>
        <v>383.39437500000003</v>
      </c>
      <c r="W93" s="55">
        <f t="shared" si="94"/>
        <v>379.81125000000003</v>
      </c>
      <c r="X93" s="55">
        <f t="shared" si="94"/>
        <v>376.22812500000003</v>
      </c>
      <c r="Y93" s="55">
        <f t="shared" si="94"/>
        <v>372.64500000000004</v>
      </c>
      <c r="Z93" s="55">
        <f t="shared" si="95"/>
        <v>369.06187499999999</v>
      </c>
      <c r="AA93" s="55">
        <f t="shared" si="95"/>
        <v>365.47874999999999</v>
      </c>
      <c r="AB93" s="55">
        <f t="shared" si="95"/>
        <v>361.895625</v>
      </c>
      <c r="AC93" s="55">
        <f t="shared" si="95"/>
        <v>358.31250000000006</v>
      </c>
      <c r="AD93" s="55">
        <f t="shared" si="95"/>
        <v>354.729375</v>
      </c>
      <c r="AE93" s="55">
        <f t="shared" si="95"/>
        <v>351.14625000000001</v>
      </c>
      <c r="AF93" s="55">
        <f t="shared" si="95"/>
        <v>347.56312500000001</v>
      </c>
      <c r="AG93" s="102">
        <f t="shared" si="95"/>
        <v>343.98</v>
      </c>
      <c r="AH93" s="55">
        <f t="shared" si="95"/>
        <v>340.39687500000002</v>
      </c>
      <c r="AI93" s="55">
        <f t="shared" si="95"/>
        <v>336.81375000000003</v>
      </c>
      <c r="AJ93" s="55">
        <f t="shared" si="95"/>
        <v>333.23062500000003</v>
      </c>
      <c r="AK93" s="55">
        <f t="shared" si="95"/>
        <v>329.64750000000004</v>
      </c>
      <c r="AL93" s="55">
        <f t="shared" si="95"/>
        <v>326.06437499999998</v>
      </c>
      <c r="AM93" s="55">
        <f t="shared" si="95"/>
        <v>322.48125000000005</v>
      </c>
      <c r="AN93" s="55">
        <f t="shared" si="95"/>
        <v>318.89812500000005</v>
      </c>
      <c r="AO93" s="55">
        <f t="shared" si="95"/>
        <v>315.315</v>
      </c>
      <c r="AP93" s="55">
        <f t="shared" si="95"/>
        <v>311.731875</v>
      </c>
      <c r="AQ93" s="55">
        <f t="shared" si="95"/>
        <v>308.14875000000001</v>
      </c>
      <c r="AR93" s="55">
        <f t="shared" si="95"/>
        <v>304.56562500000001</v>
      </c>
      <c r="AS93" s="108">
        <f t="shared" si="95"/>
        <v>300.98250000000002</v>
      </c>
      <c r="AT93" s="55">
        <f t="shared" si="95"/>
        <v>297.39937500000002</v>
      </c>
      <c r="AU93" s="55">
        <f t="shared" si="95"/>
        <v>293.81625000000003</v>
      </c>
      <c r="AV93" s="55">
        <f t="shared" si="95"/>
        <v>290.23312500000003</v>
      </c>
      <c r="AW93" s="55">
        <f t="shared" si="95"/>
        <v>286.64999999999998</v>
      </c>
      <c r="AX93" s="55">
        <f t="shared" si="95"/>
        <v>283.06687500000004</v>
      </c>
      <c r="AY93" s="55">
        <f t="shared" si="95"/>
        <v>279.48375000000004</v>
      </c>
      <c r="AZ93" s="55">
        <f t="shared" si="95"/>
        <v>275.90062500000005</v>
      </c>
      <c r="BA93" s="55">
        <f t="shared" si="95"/>
        <v>272.3175</v>
      </c>
      <c r="BB93" s="55">
        <f t="shared" si="95"/>
        <v>268.734375</v>
      </c>
      <c r="BC93" s="55">
        <f t="shared" si="95"/>
        <v>265.15125</v>
      </c>
      <c r="BD93" s="55">
        <f t="shared" si="95"/>
        <v>261.56812500000001</v>
      </c>
      <c r="BE93" s="55">
        <f t="shared" si="95"/>
        <v>257.98500000000001</v>
      </c>
      <c r="BF93" s="55">
        <f t="shared" si="95"/>
        <v>254.40187500000002</v>
      </c>
      <c r="BG93" s="55">
        <f t="shared" si="95"/>
        <v>250.81875000000002</v>
      </c>
      <c r="BH93" s="55">
        <f t="shared" si="95"/>
        <v>247.235625</v>
      </c>
      <c r="BI93" s="55">
        <f t="shared" si="95"/>
        <v>243.6525</v>
      </c>
      <c r="BJ93" s="55">
        <f t="shared" si="95"/>
        <v>240.06937500000001</v>
      </c>
      <c r="BK93" s="55">
        <f t="shared" si="95"/>
        <v>236.48625000000004</v>
      </c>
      <c r="BL93" s="55">
        <f t="shared" si="95"/>
        <v>232.90312499999999</v>
      </c>
      <c r="BM93" s="55">
        <f t="shared" si="95"/>
        <v>229.32000000000002</v>
      </c>
      <c r="BN93" s="55">
        <f t="shared" si="95"/>
        <v>225.73687500000003</v>
      </c>
      <c r="BO93" s="55">
        <f t="shared" si="95"/>
        <v>222.15375000000003</v>
      </c>
      <c r="BP93" s="55">
        <f t="shared" si="95"/>
        <v>218.57062500000001</v>
      </c>
      <c r="BQ93" s="55">
        <f t="shared" si="95"/>
        <v>214.98750000000001</v>
      </c>
      <c r="BR93" s="55">
        <f t="shared" si="95"/>
        <v>211.40437499999999</v>
      </c>
      <c r="BS93" s="55">
        <f t="shared" si="95"/>
        <v>207.82125000000002</v>
      </c>
      <c r="BT93" s="55">
        <f t="shared" si="95"/>
        <v>204.238125</v>
      </c>
      <c r="BU93" s="55">
        <f t="shared" si="95"/>
        <v>200.655</v>
      </c>
      <c r="BV93" s="55">
        <f t="shared" si="95"/>
        <v>197.07187500000001</v>
      </c>
      <c r="BW93" s="55">
        <f t="shared" si="95"/>
        <v>193.48875000000001</v>
      </c>
      <c r="BX93" s="55">
        <f t="shared" si="95"/>
        <v>189.90562500000001</v>
      </c>
      <c r="BY93" s="55">
        <f t="shared" si="95"/>
        <v>186.32250000000002</v>
      </c>
      <c r="BZ93" s="55">
        <f t="shared" si="95"/>
        <v>182.739375</v>
      </c>
      <c r="CA93" s="55">
        <f t="shared" si="95"/>
        <v>179.15625000000003</v>
      </c>
      <c r="CB93" s="55">
        <f t="shared" si="95"/>
        <v>175.573125</v>
      </c>
      <c r="CC93" s="55">
        <f t="shared" si="95"/>
        <v>171.99</v>
      </c>
      <c r="CD93" s="55">
        <f t="shared" si="95"/>
        <v>168.40687500000001</v>
      </c>
      <c r="CE93" s="55">
        <f t="shared" si="95"/>
        <v>164.82375000000002</v>
      </c>
      <c r="CF93" s="55">
        <f t="shared" si="95"/>
        <v>161.24062500000002</v>
      </c>
      <c r="CG93" s="55">
        <f t="shared" si="95"/>
        <v>157.6575</v>
      </c>
      <c r="CH93" s="55">
        <f t="shared" si="95"/>
        <v>154.074375</v>
      </c>
      <c r="CI93" s="55">
        <f t="shared" si="95"/>
        <v>150.49125000000001</v>
      </c>
      <c r="CJ93" s="55">
        <f t="shared" si="95"/>
        <v>146.90812500000001</v>
      </c>
      <c r="CK93" s="55">
        <f t="shared" ref="CK93" si="115">IF(CK$1&lt;$F93,$I93*(($F93-CK$1)/$F93),0)</f>
        <v>143.32499999999999</v>
      </c>
      <c r="CL93" s="55">
        <f t="shared" si="96"/>
        <v>139.74187500000002</v>
      </c>
      <c r="CM93" s="55">
        <f t="shared" si="96"/>
        <v>136.15875</v>
      </c>
      <c r="CN93" s="55">
        <f t="shared" si="96"/>
        <v>132.575625</v>
      </c>
      <c r="CO93" s="55">
        <f t="shared" si="96"/>
        <v>128.99250000000001</v>
      </c>
      <c r="CP93" s="55">
        <f t="shared" si="96"/>
        <v>125.40937500000001</v>
      </c>
      <c r="CQ93" s="55">
        <f t="shared" si="96"/>
        <v>121.82625</v>
      </c>
      <c r="CR93" s="55">
        <f t="shared" si="96"/>
        <v>118.24312500000002</v>
      </c>
      <c r="CS93" s="55">
        <f t="shared" si="96"/>
        <v>114.66000000000001</v>
      </c>
      <c r="CT93" s="55">
        <f t="shared" si="96"/>
        <v>111.07687500000002</v>
      </c>
      <c r="CU93" s="55">
        <f t="shared" si="96"/>
        <v>107.49375000000001</v>
      </c>
      <c r="CV93" s="55">
        <f t="shared" si="96"/>
        <v>103.91062500000001</v>
      </c>
      <c r="CW93" s="55">
        <f t="shared" si="96"/>
        <v>100.3275</v>
      </c>
      <c r="CX93" s="55">
        <f t="shared" si="96"/>
        <v>96.744375000000005</v>
      </c>
      <c r="CY93" s="55">
        <f t="shared" si="96"/>
        <v>93.16125000000001</v>
      </c>
      <c r="CZ93" s="55">
        <f t="shared" si="96"/>
        <v>89.578125000000014</v>
      </c>
      <c r="DA93" s="55">
        <f t="shared" si="96"/>
        <v>85.995000000000005</v>
      </c>
      <c r="DB93" s="55">
        <f t="shared" si="96"/>
        <v>82.411875000000009</v>
      </c>
      <c r="DC93" s="55">
        <f t="shared" si="96"/>
        <v>78.828749999999999</v>
      </c>
      <c r="DD93" s="55">
        <f t="shared" si="96"/>
        <v>75.245625000000004</v>
      </c>
      <c r="DE93" s="55">
        <f t="shared" si="96"/>
        <v>71.662499999999994</v>
      </c>
      <c r="DF93" s="55">
        <f t="shared" si="96"/>
        <v>68.079374999999999</v>
      </c>
      <c r="DG93" s="55">
        <f t="shared" si="96"/>
        <v>64.496250000000003</v>
      </c>
      <c r="DH93" s="55">
        <f t="shared" si="96"/>
        <v>60.913125000000001</v>
      </c>
      <c r="DI93" s="55">
        <f t="shared" si="96"/>
        <v>57.330000000000005</v>
      </c>
      <c r="DJ93" s="55">
        <f t="shared" si="96"/>
        <v>53.746875000000003</v>
      </c>
      <c r="DK93" s="55">
        <f t="shared" si="96"/>
        <v>50.16375</v>
      </c>
      <c r="DL93" s="55">
        <f t="shared" si="96"/>
        <v>46.580625000000005</v>
      </c>
      <c r="DM93" s="55">
        <f t="shared" si="96"/>
        <v>42.997500000000002</v>
      </c>
      <c r="DN93" s="55">
        <f t="shared" si="96"/>
        <v>39.414375</v>
      </c>
      <c r="DO93" s="55">
        <f t="shared" si="96"/>
        <v>35.831249999999997</v>
      </c>
      <c r="DP93" s="55">
        <f t="shared" si="96"/>
        <v>32.248125000000002</v>
      </c>
      <c r="DQ93" s="55">
        <f t="shared" si="96"/>
        <v>28.665000000000003</v>
      </c>
      <c r="DR93" s="55">
        <f t="shared" si="96"/>
        <v>25.081875</v>
      </c>
      <c r="DS93" s="55">
        <f t="shared" si="96"/>
        <v>21.498750000000001</v>
      </c>
      <c r="DT93" s="55">
        <f t="shared" si="96"/>
        <v>17.915624999999999</v>
      </c>
      <c r="DU93" s="55">
        <f t="shared" si="96"/>
        <v>14.332500000000001</v>
      </c>
      <c r="DV93" s="55">
        <f t="shared" si="96"/>
        <v>10.749375000000001</v>
      </c>
      <c r="DW93" s="55">
        <f t="shared" si="96"/>
        <v>7.1662500000000007</v>
      </c>
      <c r="DX93" s="55">
        <f t="shared" si="96"/>
        <v>3.5831250000000003</v>
      </c>
      <c r="DY93" s="55">
        <f t="shared" si="96"/>
        <v>0</v>
      </c>
    </row>
    <row r="94" spans="1:129" x14ac:dyDescent="0.45">
      <c r="A94" s="3"/>
      <c r="B94" s="2"/>
      <c r="C94" s="121" t="s">
        <v>265</v>
      </c>
      <c r="D94" s="17"/>
      <c r="E94" s="2"/>
      <c r="F94" s="2"/>
      <c r="G94" s="2"/>
      <c r="H94" s="2"/>
      <c r="I94" s="14"/>
      <c r="J94" s="55"/>
      <c r="K94" s="55"/>
      <c r="L94" s="55"/>
      <c r="M94" s="55"/>
      <c r="N94" s="55"/>
      <c r="O94" s="55"/>
      <c r="P94" s="55"/>
      <c r="Q94" s="55"/>
      <c r="R94" s="55"/>
      <c r="S94" s="55"/>
      <c r="T94" s="55"/>
      <c r="U94" s="119">
        <f>'Plan Moyen Terme (PMT)'!C30-BAU_Liquidité_Dynamique!U93</f>
        <v>49.02249999999998</v>
      </c>
      <c r="V94" s="120">
        <f>IF(AND(U$1&lt;V$1, V$1&lt;=$F93),$U94*($F93-V$1)/($F93-$U$1),0)</f>
        <v>48.568587962962937</v>
      </c>
      <c r="W94" s="120">
        <f>IF(AND(V$1&lt;W$1, W$1&lt;=$F93),$U94*($F93-W$1)/($F93-$U$1),0)</f>
        <v>48.114675925925901</v>
      </c>
      <c r="X94" s="120">
        <f t="shared" ref="X94:CI94" si="116">IF(AND(W$1&lt;X$1, X$1&lt;=$F93),$U94*($F93-X$1)/($F93-$U$1),0)</f>
        <v>47.660763888888866</v>
      </c>
      <c r="Y94" s="120">
        <f t="shared" si="116"/>
        <v>47.206851851851837</v>
      </c>
      <c r="Z94" s="120">
        <f t="shared" si="116"/>
        <v>46.752939814814802</v>
      </c>
      <c r="AA94" s="120">
        <f t="shared" si="116"/>
        <v>46.299027777777759</v>
      </c>
      <c r="AB94" s="120">
        <f t="shared" si="116"/>
        <v>45.845115740740724</v>
      </c>
      <c r="AC94" s="120">
        <f t="shared" si="116"/>
        <v>45.391203703703688</v>
      </c>
      <c r="AD94" s="120">
        <f t="shared" si="116"/>
        <v>44.937291666666653</v>
      </c>
      <c r="AE94" s="120">
        <f t="shared" si="116"/>
        <v>44.48337962962961</v>
      </c>
      <c r="AF94" s="120">
        <f t="shared" si="116"/>
        <v>44.029467592592574</v>
      </c>
      <c r="AG94" s="120">
        <f t="shared" si="116"/>
        <v>43.575555555555539</v>
      </c>
      <c r="AH94" s="120">
        <f t="shared" si="116"/>
        <v>43.121643518518503</v>
      </c>
      <c r="AI94" s="120">
        <f t="shared" si="116"/>
        <v>42.667731481481461</v>
      </c>
      <c r="AJ94" s="120">
        <f t="shared" si="116"/>
        <v>42.213819444444425</v>
      </c>
      <c r="AK94" s="120">
        <f t="shared" si="116"/>
        <v>41.75990740740739</v>
      </c>
      <c r="AL94" s="120">
        <f t="shared" si="116"/>
        <v>41.305995370370347</v>
      </c>
      <c r="AM94" s="120">
        <f t="shared" si="116"/>
        <v>40.852083333333312</v>
      </c>
      <c r="AN94" s="120">
        <f t="shared" si="116"/>
        <v>40.398171296296276</v>
      </c>
      <c r="AO94" s="120">
        <f t="shared" si="116"/>
        <v>39.94425925925924</v>
      </c>
      <c r="AP94" s="120">
        <f t="shared" si="116"/>
        <v>39.490347222222212</v>
      </c>
      <c r="AQ94" s="120">
        <f t="shared" si="116"/>
        <v>39.036435185185169</v>
      </c>
      <c r="AR94" s="120">
        <f t="shared" si="116"/>
        <v>38.582523148148134</v>
      </c>
      <c r="AS94" s="120">
        <f t="shared" si="116"/>
        <v>38.128611111111098</v>
      </c>
      <c r="AT94" s="120">
        <f t="shared" si="116"/>
        <v>37.674699074074063</v>
      </c>
      <c r="AU94" s="120">
        <f t="shared" si="116"/>
        <v>37.22078703703702</v>
      </c>
      <c r="AV94" s="120">
        <f t="shared" si="116"/>
        <v>36.766874999999985</v>
      </c>
      <c r="AW94" s="120">
        <f t="shared" si="116"/>
        <v>36.312962962962949</v>
      </c>
      <c r="AX94" s="120">
        <f t="shared" si="116"/>
        <v>35.859050925925914</v>
      </c>
      <c r="AY94" s="120">
        <f t="shared" si="116"/>
        <v>35.405138888888871</v>
      </c>
      <c r="AZ94" s="120">
        <f t="shared" si="116"/>
        <v>34.951226851851835</v>
      </c>
      <c r="BA94" s="120">
        <f t="shared" si="116"/>
        <v>34.4973148148148</v>
      </c>
      <c r="BB94" s="120">
        <f t="shared" si="116"/>
        <v>34.043402777777764</v>
      </c>
      <c r="BC94" s="120">
        <f t="shared" si="116"/>
        <v>33.589490740740729</v>
      </c>
      <c r="BD94" s="120">
        <f t="shared" si="116"/>
        <v>33.135578703703693</v>
      </c>
      <c r="BE94" s="120">
        <f t="shared" si="116"/>
        <v>32.681666666666651</v>
      </c>
      <c r="BF94" s="120">
        <f t="shared" si="116"/>
        <v>32.227754629629615</v>
      </c>
      <c r="BG94" s="120">
        <f t="shared" si="116"/>
        <v>31.77384259259258</v>
      </c>
      <c r="BH94" s="120">
        <f t="shared" si="116"/>
        <v>31.319930555555541</v>
      </c>
      <c r="BI94" s="120">
        <f t="shared" si="116"/>
        <v>30.866018518518509</v>
      </c>
      <c r="BJ94" s="120">
        <f t="shared" si="116"/>
        <v>30.412106481481469</v>
      </c>
      <c r="BK94" s="120">
        <f t="shared" si="116"/>
        <v>29.958194444444434</v>
      </c>
      <c r="BL94" s="120">
        <f t="shared" si="116"/>
        <v>29.504282407407395</v>
      </c>
      <c r="BM94" s="120">
        <f t="shared" si="116"/>
        <v>29.050370370370359</v>
      </c>
      <c r="BN94" s="120">
        <f t="shared" si="116"/>
        <v>28.59645833333332</v>
      </c>
      <c r="BO94" s="120">
        <f t="shared" si="116"/>
        <v>28.142546296296285</v>
      </c>
      <c r="BP94" s="120">
        <f t="shared" si="116"/>
        <v>27.688634259259246</v>
      </c>
      <c r="BQ94" s="120">
        <f t="shared" si="116"/>
        <v>27.23472222222221</v>
      </c>
      <c r="BR94" s="120">
        <f t="shared" si="116"/>
        <v>26.780810185185175</v>
      </c>
      <c r="BS94" s="120">
        <f t="shared" si="116"/>
        <v>26.326898148148139</v>
      </c>
      <c r="BT94" s="120">
        <f t="shared" si="116"/>
        <v>25.8729861111111</v>
      </c>
      <c r="BU94" s="120">
        <f t="shared" si="116"/>
        <v>25.419074074074064</v>
      </c>
      <c r="BV94" s="120">
        <f t="shared" si="116"/>
        <v>24.965162037037025</v>
      </c>
      <c r="BW94" s="120">
        <f t="shared" si="116"/>
        <v>24.51124999999999</v>
      </c>
      <c r="BX94" s="120">
        <f t="shared" si="116"/>
        <v>24.057337962962951</v>
      </c>
      <c r="BY94" s="120">
        <f t="shared" si="116"/>
        <v>23.603425925925919</v>
      </c>
      <c r="BZ94" s="120">
        <f t="shared" si="116"/>
        <v>23.14951388888888</v>
      </c>
      <c r="CA94" s="120">
        <f t="shared" si="116"/>
        <v>22.695601851851844</v>
      </c>
      <c r="CB94" s="120">
        <f t="shared" si="116"/>
        <v>22.241689814814805</v>
      </c>
      <c r="CC94" s="120">
        <f t="shared" si="116"/>
        <v>21.787777777777769</v>
      </c>
      <c r="CD94" s="120">
        <f t="shared" si="116"/>
        <v>21.33386574074073</v>
      </c>
      <c r="CE94" s="120">
        <f t="shared" si="116"/>
        <v>20.879953703703695</v>
      </c>
      <c r="CF94" s="120">
        <f t="shared" si="116"/>
        <v>20.426041666666656</v>
      </c>
      <c r="CG94" s="120">
        <f t="shared" si="116"/>
        <v>19.97212962962962</v>
      </c>
      <c r="CH94" s="120">
        <f t="shared" si="116"/>
        <v>19.518217592592585</v>
      </c>
      <c r="CI94" s="120">
        <f t="shared" si="116"/>
        <v>19.064305555555549</v>
      </c>
      <c r="CJ94" s="120">
        <f t="shared" ref="CJ94:DY94" si="117">IF(AND(CI$1&lt;CJ$1, CJ$1&lt;=$F93),$U94*($F93-CJ$1)/($F93-$U$1),0)</f>
        <v>18.61039351851851</v>
      </c>
      <c r="CK94" s="120">
        <f t="shared" si="117"/>
        <v>18.156481481481475</v>
      </c>
      <c r="CL94" s="120">
        <f t="shared" si="117"/>
        <v>17.702569444444435</v>
      </c>
      <c r="CM94" s="120">
        <f t="shared" si="117"/>
        <v>17.2486574074074</v>
      </c>
      <c r="CN94" s="120">
        <f t="shared" si="117"/>
        <v>16.794745370370364</v>
      </c>
      <c r="CO94" s="120">
        <f t="shared" si="117"/>
        <v>16.340833333333325</v>
      </c>
      <c r="CP94" s="120">
        <f t="shared" si="117"/>
        <v>15.88692129629629</v>
      </c>
      <c r="CQ94" s="120">
        <f t="shared" si="117"/>
        <v>15.433009259259254</v>
      </c>
      <c r="CR94" s="120">
        <f t="shared" si="117"/>
        <v>14.979097222222217</v>
      </c>
      <c r="CS94" s="120">
        <f t="shared" si="117"/>
        <v>14.52518518518518</v>
      </c>
      <c r="CT94" s="120">
        <f t="shared" si="117"/>
        <v>14.071273148148142</v>
      </c>
      <c r="CU94" s="120">
        <f t="shared" si="117"/>
        <v>13.617361111111105</v>
      </c>
      <c r="CV94" s="120">
        <f t="shared" si="117"/>
        <v>13.16344907407407</v>
      </c>
      <c r="CW94" s="120">
        <f t="shared" si="117"/>
        <v>12.709537037037032</v>
      </c>
      <c r="CX94" s="120">
        <f t="shared" si="117"/>
        <v>12.255624999999995</v>
      </c>
      <c r="CY94" s="120">
        <f t="shared" si="117"/>
        <v>11.801712962962959</v>
      </c>
      <c r="CZ94" s="120">
        <f t="shared" si="117"/>
        <v>11.347800925925922</v>
      </c>
      <c r="DA94" s="120">
        <f t="shared" si="117"/>
        <v>10.893888888888885</v>
      </c>
      <c r="DB94" s="120">
        <f t="shared" si="117"/>
        <v>10.439976851851847</v>
      </c>
      <c r="DC94" s="120">
        <f t="shared" si="117"/>
        <v>9.9860648148148101</v>
      </c>
      <c r="DD94" s="120">
        <f t="shared" si="117"/>
        <v>9.5321527777777746</v>
      </c>
      <c r="DE94" s="120">
        <f t="shared" si="117"/>
        <v>9.0782407407407373</v>
      </c>
      <c r="DF94" s="120">
        <f t="shared" si="117"/>
        <v>8.6243287037037</v>
      </c>
      <c r="DG94" s="120">
        <f t="shared" si="117"/>
        <v>8.1704166666666627</v>
      </c>
      <c r="DH94" s="120">
        <f t="shared" si="117"/>
        <v>7.7165046296296271</v>
      </c>
      <c r="DI94" s="120">
        <f t="shared" si="117"/>
        <v>7.2625925925925898</v>
      </c>
      <c r="DJ94" s="120">
        <f t="shared" si="117"/>
        <v>6.8086805555555525</v>
      </c>
      <c r="DK94" s="120">
        <f t="shared" si="117"/>
        <v>6.3547685185185161</v>
      </c>
      <c r="DL94" s="120">
        <f t="shared" si="117"/>
        <v>5.9008564814814797</v>
      </c>
      <c r="DM94" s="120">
        <f t="shared" si="117"/>
        <v>5.4469444444444424</v>
      </c>
      <c r="DN94" s="120">
        <f t="shared" si="117"/>
        <v>4.9930324074074051</v>
      </c>
      <c r="DO94" s="120">
        <f t="shared" si="117"/>
        <v>4.5391203703703686</v>
      </c>
      <c r="DP94" s="120">
        <f t="shared" si="117"/>
        <v>4.0852083333333313</v>
      </c>
      <c r="DQ94" s="120">
        <f t="shared" si="117"/>
        <v>3.6312962962962949</v>
      </c>
      <c r="DR94" s="120">
        <f t="shared" si="117"/>
        <v>3.177384259259258</v>
      </c>
      <c r="DS94" s="120">
        <f t="shared" si="117"/>
        <v>2.7234722222222212</v>
      </c>
      <c r="DT94" s="120">
        <f t="shared" si="117"/>
        <v>2.2695601851851843</v>
      </c>
      <c r="DU94" s="120">
        <f t="shared" si="117"/>
        <v>1.8156481481481475</v>
      </c>
      <c r="DV94" s="120">
        <f t="shared" si="117"/>
        <v>1.3617361111111106</v>
      </c>
      <c r="DW94" s="120">
        <f t="shared" si="117"/>
        <v>0.90782407407407373</v>
      </c>
      <c r="DX94" s="120">
        <f t="shared" si="117"/>
        <v>0.45391203703703686</v>
      </c>
      <c r="DY94" s="120">
        <f t="shared" si="117"/>
        <v>0</v>
      </c>
    </row>
    <row r="95" spans="1:129" x14ac:dyDescent="0.45">
      <c r="A95" s="3"/>
      <c r="B95" s="2"/>
      <c r="C95" s="122" t="s">
        <v>266</v>
      </c>
      <c r="D95" s="17"/>
      <c r="E95" s="2"/>
      <c r="F95" s="2"/>
      <c r="G95" s="2"/>
      <c r="H95" s="2"/>
      <c r="I95" s="14"/>
      <c r="J95" s="55"/>
      <c r="K95" s="55"/>
      <c r="L95" s="55"/>
      <c r="M95" s="55"/>
      <c r="N95" s="55"/>
      <c r="O95" s="55"/>
      <c r="P95" s="55"/>
      <c r="Q95" s="55"/>
      <c r="R95" s="55"/>
      <c r="S95" s="55"/>
      <c r="T95" s="55"/>
      <c r="U95" s="95"/>
      <c r="V95" s="91"/>
      <c r="W95" s="91"/>
      <c r="X95" s="91"/>
      <c r="Y95" s="91"/>
      <c r="Z95" s="55"/>
      <c r="AA95" s="55"/>
      <c r="AB95" s="55"/>
      <c r="AC95" s="55"/>
      <c r="AD95" s="55"/>
      <c r="AE95" s="55"/>
      <c r="AF95" s="55"/>
      <c r="AG95" s="129">
        <f>'Plan Moyen Terme (PMT)'!D30-BAU_Liquidité_Dynamique!AG93</f>
        <v>113.01999999999998</v>
      </c>
      <c r="AH95" s="124">
        <f>IF(AND(AG$1&lt;AH$1, AH$1&lt;=$F93),$AG95*($F93-AH$1)/($F93-$AG$1),0)</f>
        <v>111.84270833333331</v>
      </c>
      <c r="AI95" s="124">
        <f>IF(AND(AH$1&lt;AI$1, AI$1&lt;=$F93),$AG95*($F93-AI$1)/($F93-$AG$1),0)</f>
        <v>110.66541666666664</v>
      </c>
      <c r="AJ95" s="124">
        <f t="shared" ref="AJ95:CU95" si="118">IF(AND(AI$1&lt;AJ$1, AJ$1&lt;=$F93),$AG95*($F93-AJ$1)/($F93-$AG$1),0)</f>
        <v>109.48812499999998</v>
      </c>
      <c r="AK95" s="124">
        <f t="shared" si="118"/>
        <v>108.31083333333332</v>
      </c>
      <c r="AL95" s="124">
        <f t="shared" si="118"/>
        <v>107.13354166666664</v>
      </c>
      <c r="AM95" s="124">
        <f t="shared" si="118"/>
        <v>105.95625</v>
      </c>
      <c r="AN95" s="124">
        <f t="shared" si="118"/>
        <v>104.77895833333332</v>
      </c>
      <c r="AO95" s="124">
        <f t="shared" si="118"/>
        <v>103.60166666666665</v>
      </c>
      <c r="AP95" s="124">
        <f t="shared" si="118"/>
        <v>102.42437499999998</v>
      </c>
      <c r="AQ95" s="124">
        <f t="shared" si="118"/>
        <v>101.24708333333331</v>
      </c>
      <c r="AR95" s="124">
        <f t="shared" si="118"/>
        <v>100.06979166666666</v>
      </c>
      <c r="AS95" s="124">
        <f t="shared" si="118"/>
        <v>98.892499999999984</v>
      </c>
      <c r="AT95" s="124">
        <f t="shared" si="118"/>
        <v>97.715208333333308</v>
      </c>
      <c r="AU95" s="124">
        <f t="shared" si="118"/>
        <v>96.537916666666661</v>
      </c>
      <c r="AV95" s="124">
        <f t="shared" si="118"/>
        <v>95.360624999999985</v>
      </c>
      <c r="AW95" s="124">
        <f t="shared" si="118"/>
        <v>94.183333333333323</v>
      </c>
      <c r="AX95" s="124">
        <f t="shared" si="118"/>
        <v>93.006041666666647</v>
      </c>
      <c r="AY95" s="124">
        <f t="shared" si="118"/>
        <v>91.828749999999971</v>
      </c>
      <c r="AZ95" s="124">
        <f t="shared" si="118"/>
        <v>90.651458333333323</v>
      </c>
      <c r="BA95" s="124">
        <f t="shared" si="118"/>
        <v>89.474166666666648</v>
      </c>
      <c r="BB95" s="124">
        <f t="shared" si="118"/>
        <v>88.296874999999986</v>
      </c>
      <c r="BC95" s="124">
        <f t="shared" si="118"/>
        <v>87.119583333333324</v>
      </c>
      <c r="BD95" s="124">
        <f t="shared" si="118"/>
        <v>85.942291666666662</v>
      </c>
      <c r="BE95" s="124">
        <f t="shared" si="118"/>
        <v>84.764999999999986</v>
      </c>
      <c r="BF95" s="124">
        <f t="shared" si="118"/>
        <v>83.58770833333331</v>
      </c>
      <c r="BG95" s="124">
        <f t="shared" si="118"/>
        <v>82.410416666666649</v>
      </c>
      <c r="BH95" s="124">
        <f t="shared" si="118"/>
        <v>81.233124999999987</v>
      </c>
      <c r="BI95" s="124">
        <f t="shared" si="118"/>
        <v>80.055833333333325</v>
      </c>
      <c r="BJ95" s="124">
        <f t="shared" si="118"/>
        <v>78.878541666666649</v>
      </c>
      <c r="BK95" s="124">
        <f t="shared" si="118"/>
        <v>77.701249999999987</v>
      </c>
      <c r="BL95" s="124">
        <f t="shared" si="118"/>
        <v>76.523958333333326</v>
      </c>
      <c r="BM95" s="124">
        <f t="shared" si="118"/>
        <v>75.34666666666665</v>
      </c>
      <c r="BN95" s="124">
        <f t="shared" si="118"/>
        <v>74.169374999999988</v>
      </c>
      <c r="BO95" s="124">
        <f t="shared" si="118"/>
        <v>72.992083333333326</v>
      </c>
      <c r="BP95" s="124">
        <f t="shared" si="118"/>
        <v>71.814791666666665</v>
      </c>
      <c r="BQ95" s="124">
        <f t="shared" si="118"/>
        <v>70.637499999999989</v>
      </c>
      <c r="BR95" s="124">
        <f t="shared" si="118"/>
        <v>69.460208333333313</v>
      </c>
      <c r="BS95" s="124">
        <f t="shared" si="118"/>
        <v>68.282916666666651</v>
      </c>
      <c r="BT95" s="124">
        <f t="shared" si="118"/>
        <v>67.105624999999989</v>
      </c>
      <c r="BU95" s="124">
        <f t="shared" si="118"/>
        <v>65.928333333333327</v>
      </c>
      <c r="BV95" s="124">
        <f t="shared" si="118"/>
        <v>64.751041666666652</v>
      </c>
      <c r="BW95" s="124">
        <f t="shared" si="118"/>
        <v>63.57374999999999</v>
      </c>
      <c r="BX95" s="124">
        <f t="shared" si="118"/>
        <v>62.396458333333328</v>
      </c>
      <c r="BY95" s="124">
        <f t="shared" si="118"/>
        <v>61.219166666666659</v>
      </c>
      <c r="BZ95" s="124">
        <f t="shared" si="118"/>
        <v>60.041874999999983</v>
      </c>
      <c r="CA95" s="124">
        <f t="shared" si="118"/>
        <v>58.864583333333321</v>
      </c>
      <c r="CB95" s="124">
        <f t="shared" si="118"/>
        <v>57.68729166666666</v>
      </c>
      <c r="CC95" s="124">
        <f t="shared" si="118"/>
        <v>56.509999999999991</v>
      </c>
      <c r="CD95" s="124">
        <f t="shared" si="118"/>
        <v>55.332708333333322</v>
      </c>
      <c r="CE95" s="124">
        <f t="shared" si="118"/>
        <v>54.15541666666666</v>
      </c>
      <c r="CF95" s="124">
        <f t="shared" si="118"/>
        <v>52.978124999999999</v>
      </c>
      <c r="CG95" s="124">
        <f t="shared" si="118"/>
        <v>51.800833333333323</v>
      </c>
      <c r="CH95" s="124">
        <f t="shared" si="118"/>
        <v>50.623541666666654</v>
      </c>
      <c r="CI95" s="124">
        <f t="shared" si="118"/>
        <v>49.446249999999992</v>
      </c>
      <c r="CJ95" s="124">
        <f t="shared" si="118"/>
        <v>48.26895833333333</v>
      </c>
      <c r="CK95" s="124">
        <f t="shared" si="118"/>
        <v>47.091666666666661</v>
      </c>
      <c r="CL95" s="124">
        <f t="shared" si="118"/>
        <v>45.914374999999986</v>
      </c>
      <c r="CM95" s="124">
        <f t="shared" si="118"/>
        <v>44.737083333333324</v>
      </c>
      <c r="CN95" s="124">
        <f t="shared" si="118"/>
        <v>43.559791666666662</v>
      </c>
      <c r="CO95" s="124">
        <f t="shared" si="118"/>
        <v>42.382499999999993</v>
      </c>
      <c r="CP95" s="124">
        <f t="shared" si="118"/>
        <v>41.205208333333324</v>
      </c>
      <c r="CQ95" s="124">
        <f t="shared" si="118"/>
        <v>40.027916666666663</v>
      </c>
      <c r="CR95" s="124">
        <f t="shared" si="118"/>
        <v>38.850624999999994</v>
      </c>
      <c r="CS95" s="124">
        <f t="shared" si="118"/>
        <v>37.673333333333325</v>
      </c>
      <c r="CT95" s="124">
        <f t="shared" si="118"/>
        <v>36.496041666666663</v>
      </c>
      <c r="CU95" s="124">
        <f t="shared" si="118"/>
        <v>35.318749999999994</v>
      </c>
      <c r="CV95" s="124">
        <f t="shared" ref="CV95:DY95" si="119">IF(AND(CU$1&lt;CV$1, CV$1&lt;=$F93),$AG95*($F93-CV$1)/($F93-$AG$1),0)</f>
        <v>34.141458333333325</v>
      </c>
      <c r="CW95" s="124">
        <f t="shared" si="119"/>
        <v>32.964166666666664</v>
      </c>
      <c r="CX95" s="124">
        <f t="shared" si="119"/>
        <v>31.786874999999995</v>
      </c>
      <c r="CY95" s="124">
        <f t="shared" si="119"/>
        <v>30.60958333333333</v>
      </c>
      <c r="CZ95" s="124">
        <f t="shared" si="119"/>
        <v>29.432291666666661</v>
      </c>
      <c r="DA95" s="124">
        <f t="shared" si="119"/>
        <v>28.254999999999995</v>
      </c>
      <c r="DB95" s="124">
        <f t="shared" si="119"/>
        <v>27.07770833333333</v>
      </c>
      <c r="DC95" s="124">
        <f t="shared" si="119"/>
        <v>25.900416666666661</v>
      </c>
      <c r="DD95" s="124">
        <f t="shared" si="119"/>
        <v>24.723124999999996</v>
      </c>
      <c r="DE95" s="124">
        <f t="shared" si="119"/>
        <v>23.545833333333331</v>
      </c>
      <c r="DF95" s="124">
        <f t="shared" si="119"/>
        <v>22.368541666666662</v>
      </c>
      <c r="DG95" s="124">
        <f t="shared" si="119"/>
        <v>21.191249999999997</v>
      </c>
      <c r="DH95" s="124">
        <f t="shared" si="119"/>
        <v>20.013958333333331</v>
      </c>
      <c r="DI95" s="124">
        <f t="shared" si="119"/>
        <v>18.836666666666662</v>
      </c>
      <c r="DJ95" s="124">
        <f t="shared" si="119"/>
        <v>17.659374999999997</v>
      </c>
      <c r="DK95" s="124">
        <f t="shared" si="119"/>
        <v>16.482083333333332</v>
      </c>
      <c r="DL95" s="124">
        <f t="shared" si="119"/>
        <v>15.304791666666665</v>
      </c>
      <c r="DM95" s="124">
        <f t="shared" si="119"/>
        <v>14.127499999999998</v>
      </c>
      <c r="DN95" s="124">
        <f t="shared" si="119"/>
        <v>12.950208333333331</v>
      </c>
      <c r="DO95" s="124">
        <f t="shared" si="119"/>
        <v>11.772916666666665</v>
      </c>
      <c r="DP95" s="124">
        <f t="shared" si="119"/>
        <v>10.595624999999998</v>
      </c>
      <c r="DQ95" s="124">
        <f t="shared" si="119"/>
        <v>9.4183333333333312</v>
      </c>
      <c r="DR95" s="124">
        <f t="shared" si="119"/>
        <v>8.2410416666666659</v>
      </c>
      <c r="DS95" s="124">
        <f t="shared" si="119"/>
        <v>7.0637499999999989</v>
      </c>
      <c r="DT95" s="124">
        <f t="shared" si="119"/>
        <v>5.8864583333333327</v>
      </c>
      <c r="DU95" s="124">
        <f t="shared" si="119"/>
        <v>4.7091666666666656</v>
      </c>
      <c r="DV95" s="124">
        <f t="shared" si="119"/>
        <v>3.5318749999999994</v>
      </c>
      <c r="DW95" s="124">
        <f t="shared" si="119"/>
        <v>2.3545833333333328</v>
      </c>
      <c r="DX95" s="124">
        <f t="shared" si="119"/>
        <v>1.1772916666666664</v>
      </c>
      <c r="DY95" s="124">
        <f t="shared" si="119"/>
        <v>0</v>
      </c>
    </row>
    <row r="96" spans="1:129" x14ac:dyDescent="0.45">
      <c r="A96" s="3"/>
      <c r="B96" s="2"/>
      <c r="C96" s="125" t="s">
        <v>267</v>
      </c>
      <c r="D96" s="17"/>
      <c r="E96" s="2"/>
      <c r="F96" s="2"/>
      <c r="G96" s="2"/>
      <c r="H96" s="2"/>
      <c r="I96" s="14"/>
      <c r="J96" s="55"/>
      <c r="K96" s="55"/>
      <c r="L96" s="55"/>
      <c r="M96" s="55"/>
      <c r="N96" s="55"/>
      <c r="O96" s="55"/>
      <c r="P96" s="55"/>
      <c r="Q96" s="55"/>
      <c r="R96" s="55"/>
      <c r="S96" s="55"/>
      <c r="T96" s="55"/>
      <c r="U96" s="96"/>
      <c r="V96" s="55"/>
      <c r="W96" s="55"/>
      <c r="X96" s="55"/>
      <c r="Y96" s="55"/>
      <c r="Z96" s="55"/>
      <c r="AA96" s="55"/>
      <c r="AB96" s="55"/>
      <c r="AC96" s="55"/>
      <c r="AD96" s="55"/>
      <c r="AE96" s="55"/>
      <c r="AF96" s="55"/>
      <c r="AG96" s="102"/>
      <c r="AH96" s="91"/>
      <c r="AI96" s="91"/>
      <c r="AJ96" s="91"/>
      <c r="AK96" s="55"/>
      <c r="AL96" s="55"/>
      <c r="AM96" s="55"/>
      <c r="AN96" s="55"/>
      <c r="AO96" s="55"/>
      <c r="AP96" s="55"/>
      <c r="AQ96" s="55"/>
      <c r="AR96" s="55"/>
      <c r="AS96" s="130">
        <f>'Plan Moyen Terme (PMT)'!E30-BAU_Liquidité_Dynamique!AS93</f>
        <v>256.01749999999998</v>
      </c>
      <c r="AT96" s="126">
        <f>IF(AND(AS$1&lt;AT$1, AT$1&lt;=$F93),$AS96*($F93-AT$1)/($F93-$AS$1),0)</f>
        <v>252.9696726190476</v>
      </c>
      <c r="AU96" s="126">
        <f t="shared" ref="AU96:DF96" si="120">IF(AND(AT$1&lt;AU$1, AU$1&lt;=$F93),$AS96*($F93-AU$1)/($F93-$AS$1),0)</f>
        <v>249.92184523809522</v>
      </c>
      <c r="AV96" s="126">
        <f t="shared" si="120"/>
        <v>246.87401785714286</v>
      </c>
      <c r="AW96" s="126">
        <f t="shared" si="120"/>
        <v>243.82619047619045</v>
      </c>
      <c r="AX96" s="126">
        <f t="shared" si="120"/>
        <v>240.77836309523809</v>
      </c>
      <c r="AY96" s="126">
        <f t="shared" si="120"/>
        <v>237.73053571428568</v>
      </c>
      <c r="AZ96" s="126">
        <f t="shared" si="120"/>
        <v>234.68270833333332</v>
      </c>
      <c r="BA96" s="126">
        <f t="shared" si="120"/>
        <v>231.63488095238094</v>
      </c>
      <c r="BB96" s="126">
        <f t="shared" si="120"/>
        <v>228.58705357142858</v>
      </c>
      <c r="BC96" s="126">
        <f t="shared" si="120"/>
        <v>225.53922619047617</v>
      </c>
      <c r="BD96" s="126">
        <f t="shared" si="120"/>
        <v>222.49139880952382</v>
      </c>
      <c r="BE96" s="126">
        <f t="shared" si="120"/>
        <v>219.4435714285714</v>
      </c>
      <c r="BF96" s="126">
        <f t="shared" si="120"/>
        <v>216.39574404761905</v>
      </c>
      <c r="BG96" s="126">
        <f t="shared" si="120"/>
        <v>213.34791666666666</v>
      </c>
      <c r="BH96" s="126">
        <f t="shared" si="120"/>
        <v>210.30008928571428</v>
      </c>
      <c r="BI96" s="126">
        <f t="shared" si="120"/>
        <v>207.25226190476189</v>
      </c>
      <c r="BJ96" s="126">
        <f t="shared" si="120"/>
        <v>204.20443452380954</v>
      </c>
      <c r="BK96" s="126">
        <f t="shared" si="120"/>
        <v>201.15660714285713</v>
      </c>
      <c r="BL96" s="126">
        <f t="shared" si="120"/>
        <v>198.10877976190477</v>
      </c>
      <c r="BM96" s="126">
        <f t="shared" si="120"/>
        <v>195.06095238095236</v>
      </c>
      <c r="BN96" s="126">
        <f t="shared" si="120"/>
        <v>192.013125</v>
      </c>
      <c r="BO96" s="126">
        <f t="shared" si="120"/>
        <v>188.96529761904762</v>
      </c>
      <c r="BP96" s="126">
        <f t="shared" si="120"/>
        <v>185.91747023809523</v>
      </c>
      <c r="BQ96" s="126">
        <f t="shared" si="120"/>
        <v>182.86964285714285</v>
      </c>
      <c r="BR96" s="126">
        <f t="shared" si="120"/>
        <v>179.82181547619047</v>
      </c>
      <c r="BS96" s="126">
        <f t="shared" si="120"/>
        <v>176.77398809523808</v>
      </c>
      <c r="BT96" s="126">
        <f t="shared" si="120"/>
        <v>173.7261607142857</v>
      </c>
      <c r="BU96" s="126">
        <f t="shared" si="120"/>
        <v>170.67833333333334</v>
      </c>
      <c r="BV96" s="126">
        <f t="shared" si="120"/>
        <v>167.63050595238096</v>
      </c>
      <c r="BW96" s="126">
        <f t="shared" si="120"/>
        <v>164.58267857142857</v>
      </c>
      <c r="BX96" s="126">
        <f t="shared" si="120"/>
        <v>161.53485119047619</v>
      </c>
      <c r="BY96" s="126">
        <f t="shared" si="120"/>
        <v>158.48702380952381</v>
      </c>
      <c r="BZ96" s="126">
        <f t="shared" si="120"/>
        <v>155.43919642857142</v>
      </c>
      <c r="CA96" s="126">
        <f t="shared" si="120"/>
        <v>152.39136904761904</v>
      </c>
      <c r="CB96" s="126">
        <f t="shared" si="120"/>
        <v>149.34354166666668</v>
      </c>
      <c r="CC96" s="126">
        <f t="shared" si="120"/>
        <v>146.2957142857143</v>
      </c>
      <c r="CD96" s="126">
        <f t="shared" si="120"/>
        <v>143.24788690476188</v>
      </c>
      <c r="CE96" s="126">
        <f t="shared" si="120"/>
        <v>140.2000595238095</v>
      </c>
      <c r="CF96" s="126">
        <f t="shared" si="120"/>
        <v>137.15223214285712</v>
      </c>
      <c r="CG96" s="126">
        <f t="shared" si="120"/>
        <v>134.10440476190473</v>
      </c>
      <c r="CH96" s="126">
        <f t="shared" si="120"/>
        <v>131.05657738095238</v>
      </c>
      <c r="CI96" s="126">
        <f t="shared" si="120"/>
        <v>128.00874999999999</v>
      </c>
      <c r="CJ96" s="126">
        <f t="shared" si="120"/>
        <v>124.96092261904761</v>
      </c>
      <c r="CK96" s="126">
        <f t="shared" si="120"/>
        <v>121.91309523809522</v>
      </c>
      <c r="CL96" s="126">
        <f t="shared" si="120"/>
        <v>118.86526785714284</v>
      </c>
      <c r="CM96" s="126">
        <f t="shared" si="120"/>
        <v>115.81744047619047</v>
      </c>
      <c r="CN96" s="126">
        <f t="shared" si="120"/>
        <v>112.76961309523809</v>
      </c>
      <c r="CO96" s="126">
        <f t="shared" si="120"/>
        <v>109.7217857142857</v>
      </c>
      <c r="CP96" s="126">
        <f t="shared" si="120"/>
        <v>106.67395833333333</v>
      </c>
      <c r="CQ96" s="126">
        <f t="shared" si="120"/>
        <v>103.62613095238095</v>
      </c>
      <c r="CR96" s="126">
        <f t="shared" si="120"/>
        <v>100.57830357142856</v>
      </c>
      <c r="CS96" s="126">
        <f t="shared" si="120"/>
        <v>97.530476190476179</v>
      </c>
      <c r="CT96" s="126">
        <f t="shared" si="120"/>
        <v>94.482648809523809</v>
      </c>
      <c r="CU96" s="126">
        <f t="shared" si="120"/>
        <v>91.434821428571425</v>
      </c>
      <c r="CV96" s="126">
        <f t="shared" si="120"/>
        <v>88.386994047619041</v>
      </c>
      <c r="CW96" s="126">
        <f t="shared" si="120"/>
        <v>85.339166666666671</v>
      </c>
      <c r="CX96" s="126">
        <f t="shared" si="120"/>
        <v>82.291339285714287</v>
      </c>
      <c r="CY96" s="126">
        <f t="shared" si="120"/>
        <v>79.243511904761903</v>
      </c>
      <c r="CZ96" s="126">
        <f t="shared" si="120"/>
        <v>76.195684523809518</v>
      </c>
      <c r="DA96" s="126">
        <f t="shared" si="120"/>
        <v>73.147857142857148</v>
      </c>
      <c r="DB96" s="126">
        <f t="shared" si="120"/>
        <v>70.10002976190475</v>
      </c>
      <c r="DC96" s="126">
        <f t="shared" si="120"/>
        <v>67.052202380952366</v>
      </c>
      <c r="DD96" s="126">
        <f t="shared" si="120"/>
        <v>64.004374999999996</v>
      </c>
      <c r="DE96" s="126">
        <f t="shared" si="120"/>
        <v>60.956547619047612</v>
      </c>
      <c r="DF96" s="126">
        <f t="shared" si="120"/>
        <v>57.908720238095235</v>
      </c>
      <c r="DG96" s="126">
        <f t="shared" ref="DG96:DY96" si="121">IF(AND(DF$1&lt;DG$1, DG$1&lt;=$F93),$AS96*($F93-DG$1)/($F93-$AS$1),0)</f>
        <v>54.860892857142851</v>
      </c>
      <c r="DH96" s="126">
        <f t="shared" si="121"/>
        <v>51.813065476190474</v>
      </c>
      <c r="DI96" s="126">
        <f t="shared" si="121"/>
        <v>48.765238095238089</v>
      </c>
      <c r="DJ96" s="126">
        <f t="shared" si="121"/>
        <v>45.717410714285712</v>
      </c>
      <c r="DK96" s="126">
        <f t="shared" si="121"/>
        <v>42.669583333333335</v>
      </c>
      <c r="DL96" s="126">
        <f t="shared" si="121"/>
        <v>39.621755952380951</v>
      </c>
      <c r="DM96" s="126">
        <f t="shared" si="121"/>
        <v>36.573928571428574</v>
      </c>
      <c r="DN96" s="126">
        <f t="shared" si="121"/>
        <v>33.526101190476183</v>
      </c>
      <c r="DO96" s="126">
        <f t="shared" si="121"/>
        <v>30.478273809523806</v>
      </c>
      <c r="DP96" s="126">
        <f t="shared" si="121"/>
        <v>27.430446428571425</v>
      </c>
      <c r="DQ96" s="126">
        <f t="shared" si="121"/>
        <v>24.382619047619045</v>
      </c>
      <c r="DR96" s="126">
        <f t="shared" si="121"/>
        <v>21.334791666666668</v>
      </c>
      <c r="DS96" s="126">
        <f t="shared" si="121"/>
        <v>18.286964285714287</v>
      </c>
      <c r="DT96" s="126">
        <f t="shared" si="121"/>
        <v>15.239136904761903</v>
      </c>
      <c r="DU96" s="126">
        <f t="shared" si="121"/>
        <v>12.191309523809522</v>
      </c>
      <c r="DV96" s="126">
        <f t="shared" si="121"/>
        <v>9.1434821428571436</v>
      </c>
      <c r="DW96" s="126">
        <f t="shared" si="121"/>
        <v>6.0956547619047612</v>
      </c>
      <c r="DX96" s="126">
        <f t="shared" si="121"/>
        <v>3.0478273809523806</v>
      </c>
      <c r="DY96" s="126">
        <f t="shared" si="121"/>
        <v>0</v>
      </c>
    </row>
    <row r="97" spans="1:129" x14ac:dyDescent="0.45">
      <c r="A97" s="3">
        <v>46022</v>
      </c>
      <c r="B97" s="2" t="s">
        <v>19</v>
      </c>
      <c r="C97" s="6" t="s">
        <v>28</v>
      </c>
      <c r="D97" s="17">
        <v>0</v>
      </c>
      <c r="E97" s="2" t="s">
        <v>43</v>
      </c>
      <c r="F97" s="2">
        <v>120</v>
      </c>
      <c r="G97" s="2" t="s">
        <v>43</v>
      </c>
      <c r="H97" s="2">
        <v>120</v>
      </c>
      <c r="I97" s="14">
        <v>7004.9340000000002</v>
      </c>
      <c r="J97" s="55">
        <f t="shared" si="94"/>
        <v>6946.5595500000009</v>
      </c>
      <c r="K97" s="55">
        <f t="shared" si="94"/>
        <v>6888.1850999999997</v>
      </c>
      <c r="L97" s="55">
        <f t="shared" si="94"/>
        <v>6829.8106500000004</v>
      </c>
      <c r="M97" s="55">
        <f t="shared" si="94"/>
        <v>6771.4362000000001</v>
      </c>
      <c r="N97" s="55">
        <f t="shared" si="94"/>
        <v>6713.0617500000008</v>
      </c>
      <c r="O97" s="55">
        <f t="shared" si="94"/>
        <v>6654.6872999999996</v>
      </c>
      <c r="P97" s="55">
        <f t="shared" si="94"/>
        <v>6596.3128500000003</v>
      </c>
      <c r="Q97" s="55">
        <f t="shared" si="94"/>
        <v>6537.9384</v>
      </c>
      <c r="R97" s="55">
        <f t="shared" si="94"/>
        <v>6479.5639500000007</v>
      </c>
      <c r="S97" s="55">
        <f t="shared" si="94"/>
        <v>6421.1894999999995</v>
      </c>
      <c r="T97" s="55">
        <f t="shared" si="94"/>
        <v>6362.8150500000002</v>
      </c>
      <c r="U97" s="96">
        <f t="shared" si="94"/>
        <v>6304.4405999999999</v>
      </c>
      <c r="V97" s="55">
        <f t="shared" si="94"/>
        <v>6246.0661500000006</v>
      </c>
      <c r="W97" s="55">
        <f t="shared" si="94"/>
        <v>6187.6917000000003</v>
      </c>
      <c r="X97" s="55">
        <f t="shared" si="94"/>
        <v>6129.3172500000001</v>
      </c>
      <c r="Y97" s="55">
        <f t="shared" si="94"/>
        <v>6070.9428000000007</v>
      </c>
      <c r="Z97" s="55">
        <f t="shared" ref="Z97:CK105" si="122">IF(Z$1&lt;$F97,$I97*(($F97-Z$1)/$F97),0)</f>
        <v>6012.5683499999996</v>
      </c>
      <c r="AA97" s="55">
        <f t="shared" si="122"/>
        <v>5954.1939000000002</v>
      </c>
      <c r="AB97" s="55">
        <f t="shared" si="122"/>
        <v>5895.81945</v>
      </c>
      <c r="AC97" s="55">
        <f t="shared" si="122"/>
        <v>5837.4450000000006</v>
      </c>
      <c r="AD97" s="55">
        <f t="shared" si="122"/>
        <v>5779.0705499999995</v>
      </c>
      <c r="AE97" s="55">
        <f t="shared" si="122"/>
        <v>5720.6961000000001</v>
      </c>
      <c r="AF97" s="55">
        <f t="shared" si="122"/>
        <v>5662.3216499999999</v>
      </c>
      <c r="AG97" s="102">
        <f t="shared" si="122"/>
        <v>5603.9472000000005</v>
      </c>
      <c r="AH97" s="55">
        <f t="shared" si="122"/>
        <v>5545.5727500000003</v>
      </c>
      <c r="AI97" s="55">
        <f t="shared" si="122"/>
        <v>5487.1983</v>
      </c>
      <c r="AJ97" s="55">
        <f t="shared" si="122"/>
        <v>5428.8238500000007</v>
      </c>
      <c r="AK97" s="55">
        <f t="shared" si="122"/>
        <v>5370.4494000000004</v>
      </c>
      <c r="AL97" s="55">
        <f t="shared" si="122"/>
        <v>5312.0749500000002</v>
      </c>
      <c r="AM97" s="55">
        <f t="shared" si="122"/>
        <v>5253.7004999999999</v>
      </c>
      <c r="AN97" s="55">
        <f t="shared" si="122"/>
        <v>5195.3260500000006</v>
      </c>
      <c r="AO97" s="55">
        <f t="shared" si="122"/>
        <v>5136.9515999999994</v>
      </c>
      <c r="AP97" s="55">
        <f t="shared" si="122"/>
        <v>5078.5771500000001</v>
      </c>
      <c r="AQ97" s="55">
        <f t="shared" si="122"/>
        <v>5020.2026999999998</v>
      </c>
      <c r="AR97" s="55">
        <f t="shared" si="122"/>
        <v>4961.8282500000005</v>
      </c>
      <c r="AS97" s="108">
        <f t="shared" si="122"/>
        <v>4903.4538000000002</v>
      </c>
      <c r="AT97" s="55">
        <f t="shared" si="122"/>
        <v>4845.07935</v>
      </c>
      <c r="AU97" s="55">
        <f t="shared" si="122"/>
        <v>4786.7049000000006</v>
      </c>
      <c r="AV97" s="55">
        <f t="shared" si="122"/>
        <v>4728.3304500000004</v>
      </c>
      <c r="AW97" s="55">
        <f t="shared" si="122"/>
        <v>4669.9560000000001</v>
      </c>
      <c r="AX97" s="55">
        <f t="shared" si="122"/>
        <v>4611.5815499999999</v>
      </c>
      <c r="AY97" s="55">
        <f t="shared" si="122"/>
        <v>4553.2071000000005</v>
      </c>
      <c r="AZ97" s="55">
        <f t="shared" si="122"/>
        <v>4494.8326500000003</v>
      </c>
      <c r="BA97" s="55">
        <f t="shared" si="122"/>
        <v>4436.4582</v>
      </c>
      <c r="BB97" s="55">
        <f t="shared" si="122"/>
        <v>4378.0837499999998</v>
      </c>
      <c r="BC97" s="55">
        <f t="shared" si="122"/>
        <v>4319.7093000000004</v>
      </c>
      <c r="BD97" s="55">
        <f t="shared" si="122"/>
        <v>4261.3348500000002</v>
      </c>
      <c r="BE97" s="55">
        <f t="shared" si="122"/>
        <v>4202.9603999999999</v>
      </c>
      <c r="BF97" s="55">
        <f t="shared" si="122"/>
        <v>4144.5859500000006</v>
      </c>
      <c r="BG97" s="55">
        <f t="shared" si="122"/>
        <v>4086.2115000000003</v>
      </c>
      <c r="BH97" s="55">
        <f t="shared" si="122"/>
        <v>4027.8370499999996</v>
      </c>
      <c r="BI97" s="55">
        <f t="shared" si="122"/>
        <v>3969.4625999999998</v>
      </c>
      <c r="BJ97" s="55">
        <f t="shared" si="122"/>
        <v>3911.08815</v>
      </c>
      <c r="BK97" s="55">
        <f t="shared" si="122"/>
        <v>3852.7137000000002</v>
      </c>
      <c r="BL97" s="55">
        <f t="shared" si="122"/>
        <v>3794.33925</v>
      </c>
      <c r="BM97" s="55">
        <f t="shared" si="122"/>
        <v>3735.9648000000002</v>
      </c>
      <c r="BN97" s="55">
        <f t="shared" si="122"/>
        <v>3677.5903500000004</v>
      </c>
      <c r="BO97" s="55">
        <f t="shared" si="122"/>
        <v>3619.2159000000006</v>
      </c>
      <c r="BP97" s="55">
        <f t="shared" si="122"/>
        <v>3560.8414499999999</v>
      </c>
      <c r="BQ97" s="55">
        <f t="shared" si="122"/>
        <v>3502.4670000000001</v>
      </c>
      <c r="BR97" s="55">
        <f t="shared" si="122"/>
        <v>3444.0925499999998</v>
      </c>
      <c r="BS97" s="55">
        <f t="shared" si="122"/>
        <v>3385.7181</v>
      </c>
      <c r="BT97" s="55">
        <f t="shared" si="122"/>
        <v>3327.3436499999998</v>
      </c>
      <c r="BU97" s="55">
        <f t="shared" si="122"/>
        <v>3268.9692</v>
      </c>
      <c r="BV97" s="55">
        <f t="shared" si="122"/>
        <v>3210.5947499999997</v>
      </c>
      <c r="BW97" s="55">
        <f t="shared" si="122"/>
        <v>3152.2203</v>
      </c>
      <c r="BX97" s="55">
        <f t="shared" si="122"/>
        <v>3093.8458500000002</v>
      </c>
      <c r="BY97" s="55">
        <f t="shared" si="122"/>
        <v>3035.4714000000004</v>
      </c>
      <c r="BZ97" s="55">
        <f t="shared" si="122"/>
        <v>2977.0969500000001</v>
      </c>
      <c r="CA97" s="55">
        <f t="shared" si="122"/>
        <v>2918.7225000000003</v>
      </c>
      <c r="CB97" s="55">
        <f t="shared" si="122"/>
        <v>2860.3480500000001</v>
      </c>
      <c r="CC97" s="55">
        <f t="shared" si="122"/>
        <v>2801.9736000000003</v>
      </c>
      <c r="CD97" s="55">
        <f t="shared" si="122"/>
        <v>2743.59915</v>
      </c>
      <c r="CE97" s="55">
        <f t="shared" si="122"/>
        <v>2685.2247000000002</v>
      </c>
      <c r="CF97" s="55">
        <f t="shared" si="122"/>
        <v>2626.85025</v>
      </c>
      <c r="CG97" s="55">
        <f t="shared" si="122"/>
        <v>2568.4757999999997</v>
      </c>
      <c r="CH97" s="55">
        <f t="shared" si="122"/>
        <v>2510.1013499999999</v>
      </c>
      <c r="CI97" s="55">
        <f t="shared" si="122"/>
        <v>2451.7269000000001</v>
      </c>
      <c r="CJ97" s="55">
        <f t="shared" si="122"/>
        <v>2393.3524500000003</v>
      </c>
      <c r="CK97" s="55">
        <f t="shared" si="122"/>
        <v>2334.9780000000001</v>
      </c>
      <c r="CL97" s="55">
        <f t="shared" si="96"/>
        <v>2276.6035500000003</v>
      </c>
      <c r="CM97" s="55">
        <f t="shared" si="96"/>
        <v>2218.2291</v>
      </c>
      <c r="CN97" s="55">
        <f t="shared" si="96"/>
        <v>2159.8546500000002</v>
      </c>
      <c r="CO97" s="55">
        <f t="shared" si="96"/>
        <v>2101.4802</v>
      </c>
      <c r="CP97" s="55">
        <f t="shared" si="96"/>
        <v>2043.1057500000002</v>
      </c>
      <c r="CQ97" s="55">
        <f t="shared" si="96"/>
        <v>1984.7312999999999</v>
      </c>
      <c r="CR97" s="55">
        <f t="shared" si="96"/>
        <v>1926.3568500000001</v>
      </c>
      <c r="CS97" s="55">
        <f t="shared" si="96"/>
        <v>1867.9824000000001</v>
      </c>
      <c r="CT97" s="55">
        <f t="shared" si="96"/>
        <v>1809.6079500000003</v>
      </c>
      <c r="CU97" s="55">
        <f t="shared" si="96"/>
        <v>1751.2335</v>
      </c>
      <c r="CV97" s="55">
        <f t="shared" si="96"/>
        <v>1692.85905</v>
      </c>
      <c r="CW97" s="55">
        <f t="shared" si="96"/>
        <v>1634.4846</v>
      </c>
      <c r="CX97" s="55">
        <f t="shared" si="96"/>
        <v>1576.11015</v>
      </c>
      <c r="CY97" s="55">
        <f t="shared" si="96"/>
        <v>1517.7357000000002</v>
      </c>
      <c r="CZ97" s="55">
        <f t="shared" si="96"/>
        <v>1459.3612500000002</v>
      </c>
      <c r="DA97" s="55">
        <f t="shared" si="96"/>
        <v>1400.9868000000001</v>
      </c>
      <c r="DB97" s="55">
        <f t="shared" si="96"/>
        <v>1342.6123500000001</v>
      </c>
      <c r="DC97" s="55">
        <f t="shared" si="96"/>
        <v>1284.2378999999999</v>
      </c>
      <c r="DD97" s="55">
        <f t="shared" si="96"/>
        <v>1225.8634500000001</v>
      </c>
      <c r="DE97" s="55">
        <f t="shared" si="96"/>
        <v>1167.489</v>
      </c>
      <c r="DF97" s="55">
        <f t="shared" si="96"/>
        <v>1109.11455</v>
      </c>
      <c r="DG97" s="55">
        <f t="shared" si="96"/>
        <v>1050.7401</v>
      </c>
      <c r="DH97" s="55">
        <f t="shared" si="96"/>
        <v>992.36564999999996</v>
      </c>
      <c r="DI97" s="55">
        <f t="shared" si="96"/>
        <v>933.99120000000005</v>
      </c>
      <c r="DJ97" s="55">
        <f t="shared" si="96"/>
        <v>875.61675000000002</v>
      </c>
      <c r="DK97" s="55">
        <f t="shared" si="96"/>
        <v>817.2423</v>
      </c>
      <c r="DL97" s="55">
        <f t="shared" si="96"/>
        <v>758.86785000000009</v>
      </c>
      <c r="DM97" s="55">
        <f t="shared" si="96"/>
        <v>700.49340000000007</v>
      </c>
      <c r="DN97" s="55">
        <f t="shared" si="96"/>
        <v>642.11894999999993</v>
      </c>
      <c r="DO97" s="55">
        <f t="shared" si="96"/>
        <v>583.74450000000002</v>
      </c>
      <c r="DP97" s="55">
        <f t="shared" si="96"/>
        <v>525.37004999999999</v>
      </c>
      <c r="DQ97" s="55">
        <f t="shared" si="96"/>
        <v>466.99560000000002</v>
      </c>
      <c r="DR97" s="55">
        <f t="shared" si="96"/>
        <v>408.62115</v>
      </c>
      <c r="DS97" s="55">
        <f t="shared" si="96"/>
        <v>350.24670000000003</v>
      </c>
      <c r="DT97" s="55">
        <f t="shared" si="96"/>
        <v>291.87225000000001</v>
      </c>
      <c r="DU97" s="55">
        <f t="shared" si="96"/>
        <v>233.49780000000001</v>
      </c>
      <c r="DV97" s="55">
        <f t="shared" si="96"/>
        <v>175.12335000000002</v>
      </c>
      <c r="DW97" s="55">
        <f t="shared" si="96"/>
        <v>116.74890000000001</v>
      </c>
      <c r="DX97" s="55">
        <f t="shared" si="96"/>
        <v>58.374450000000003</v>
      </c>
      <c r="DY97" s="55">
        <f t="shared" si="96"/>
        <v>0</v>
      </c>
    </row>
    <row r="98" spans="1:129" x14ac:dyDescent="0.45">
      <c r="A98" s="3"/>
      <c r="B98" s="2"/>
      <c r="C98" s="121" t="s">
        <v>265</v>
      </c>
      <c r="D98" s="17"/>
      <c r="E98" s="2"/>
      <c r="F98" s="2"/>
      <c r="G98" s="2"/>
      <c r="H98" s="2"/>
      <c r="I98" s="14"/>
      <c r="J98" s="55"/>
      <c r="K98" s="55"/>
      <c r="L98" s="55"/>
      <c r="M98" s="55"/>
      <c r="N98" s="55"/>
      <c r="O98" s="55"/>
      <c r="P98" s="55"/>
      <c r="Q98" s="55"/>
      <c r="R98" s="55"/>
      <c r="S98" s="55"/>
      <c r="T98" s="55"/>
      <c r="U98" s="119">
        <f>'Plan Moyen Terme (PMT)'!C31-BAU_Liquidité_Dynamique!U97</f>
        <v>695.46840000000066</v>
      </c>
      <c r="V98" s="120">
        <f>IF(AND(U$1&lt;V$1, V$1&lt;=$F97),$U98*($F97-V$1)/($F97-$U$1),0)</f>
        <v>689.02887777777846</v>
      </c>
      <c r="W98" s="120">
        <f>IF(AND(V$1&lt;W$1, W$1&lt;=$F97),$U98*($F97-W$1)/($F97-$U$1),0)</f>
        <v>682.58935555555627</v>
      </c>
      <c r="X98" s="120">
        <f t="shared" ref="X98:CI98" si="123">IF(AND(W$1&lt;X$1, X$1&lt;=$F97),$U98*($F97-X$1)/($F97-$U$1),0)</f>
        <v>676.14983333333396</v>
      </c>
      <c r="Y98" s="120">
        <f t="shared" si="123"/>
        <v>669.71031111111176</v>
      </c>
      <c r="Z98" s="120">
        <f t="shared" si="123"/>
        <v>663.27078888888946</v>
      </c>
      <c r="AA98" s="120">
        <f t="shared" si="123"/>
        <v>656.83126666666726</v>
      </c>
      <c r="AB98" s="120">
        <f t="shared" si="123"/>
        <v>650.39174444444507</v>
      </c>
      <c r="AC98" s="120">
        <f t="shared" si="123"/>
        <v>643.95222222222287</v>
      </c>
      <c r="AD98" s="120">
        <f t="shared" si="123"/>
        <v>637.51270000000068</v>
      </c>
      <c r="AE98" s="120">
        <f t="shared" si="123"/>
        <v>631.07317777777837</v>
      </c>
      <c r="AF98" s="120">
        <f t="shared" si="123"/>
        <v>624.63365555555617</v>
      </c>
      <c r="AG98" s="120">
        <f t="shared" si="123"/>
        <v>618.19413333333387</v>
      </c>
      <c r="AH98" s="120">
        <f t="shared" si="123"/>
        <v>611.75461111111167</v>
      </c>
      <c r="AI98" s="120">
        <f t="shared" si="123"/>
        <v>605.31508888888948</v>
      </c>
      <c r="AJ98" s="120">
        <f t="shared" si="123"/>
        <v>598.87556666666728</v>
      </c>
      <c r="AK98" s="120">
        <f t="shared" si="123"/>
        <v>592.43604444444497</v>
      </c>
      <c r="AL98" s="120">
        <f t="shared" si="123"/>
        <v>585.99652222222278</v>
      </c>
      <c r="AM98" s="120">
        <f t="shared" si="123"/>
        <v>579.55700000000058</v>
      </c>
      <c r="AN98" s="120">
        <f t="shared" si="123"/>
        <v>573.11747777777828</v>
      </c>
      <c r="AO98" s="120">
        <f t="shared" si="123"/>
        <v>566.67795555555608</v>
      </c>
      <c r="AP98" s="120">
        <f t="shared" si="123"/>
        <v>560.23843333333389</v>
      </c>
      <c r="AQ98" s="120">
        <f t="shared" si="123"/>
        <v>553.79891111111158</v>
      </c>
      <c r="AR98" s="120">
        <f t="shared" si="123"/>
        <v>547.35938888888938</v>
      </c>
      <c r="AS98" s="120">
        <f t="shared" si="123"/>
        <v>540.91986666666719</v>
      </c>
      <c r="AT98" s="120">
        <f t="shared" si="123"/>
        <v>534.480344444445</v>
      </c>
      <c r="AU98" s="120">
        <f t="shared" si="123"/>
        <v>528.04082222222269</v>
      </c>
      <c r="AV98" s="120">
        <f t="shared" si="123"/>
        <v>521.60130000000049</v>
      </c>
      <c r="AW98" s="120">
        <f t="shared" si="123"/>
        <v>515.1617777777783</v>
      </c>
      <c r="AX98" s="120">
        <f t="shared" si="123"/>
        <v>508.72225555555605</v>
      </c>
      <c r="AY98" s="120">
        <f t="shared" si="123"/>
        <v>502.28273333333379</v>
      </c>
      <c r="AZ98" s="120">
        <f t="shared" si="123"/>
        <v>495.8432111111116</v>
      </c>
      <c r="BA98" s="120">
        <f t="shared" si="123"/>
        <v>489.40368888888929</v>
      </c>
      <c r="BB98" s="120">
        <f t="shared" si="123"/>
        <v>482.9641666666671</v>
      </c>
      <c r="BC98" s="120">
        <f t="shared" si="123"/>
        <v>476.5246444444449</v>
      </c>
      <c r="BD98" s="120">
        <f t="shared" si="123"/>
        <v>470.08512222222265</v>
      </c>
      <c r="BE98" s="120">
        <f t="shared" si="123"/>
        <v>463.64560000000046</v>
      </c>
      <c r="BF98" s="120">
        <f t="shared" si="123"/>
        <v>457.20607777777826</v>
      </c>
      <c r="BG98" s="120">
        <f t="shared" si="123"/>
        <v>450.76655555555595</v>
      </c>
      <c r="BH98" s="120">
        <f t="shared" si="123"/>
        <v>444.32703333333376</v>
      </c>
      <c r="BI98" s="120">
        <f t="shared" si="123"/>
        <v>437.88751111111156</v>
      </c>
      <c r="BJ98" s="120">
        <f t="shared" si="123"/>
        <v>431.44798888888931</v>
      </c>
      <c r="BK98" s="120">
        <f t="shared" si="123"/>
        <v>425.00846666666706</v>
      </c>
      <c r="BL98" s="120">
        <f t="shared" si="123"/>
        <v>418.56894444444481</v>
      </c>
      <c r="BM98" s="120">
        <f t="shared" si="123"/>
        <v>412.12942222222262</v>
      </c>
      <c r="BN98" s="120">
        <f t="shared" si="123"/>
        <v>405.68990000000042</v>
      </c>
      <c r="BO98" s="120">
        <f t="shared" si="123"/>
        <v>399.25037777777811</v>
      </c>
      <c r="BP98" s="120">
        <f t="shared" si="123"/>
        <v>392.81085555555592</v>
      </c>
      <c r="BQ98" s="120">
        <f t="shared" si="123"/>
        <v>386.37133333333367</v>
      </c>
      <c r="BR98" s="120">
        <f t="shared" si="123"/>
        <v>379.93181111111147</v>
      </c>
      <c r="BS98" s="120">
        <f t="shared" si="123"/>
        <v>373.49228888888928</v>
      </c>
      <c r="BT98" s="120">
        <f t="shared" si="123"/>
        <v>367.05276666666697</v>
      </c>
      <c r="BU98" s="120">
        <f t="shared" si="123"/>
        <v>360.61324444444477</v>
      </c>
      <c r="BV98" s="120">
        <f t="shared" si="123"/>
        <v>354.17372222222258</v>
      </c>
      <c r="BW98" s="120">
        <f t="shared" si="123"/>
        <v>347.73420000000033</v>
      </c>
      <c r="BX98" s="120">
        <f t="shared" si="123"/>
        <v>341.29467777777813</v>
      </c>
      <c r="BY98" s="120">
        <f t="shared" si="123"/>
        <v>334.85515555555588</v>
      </c>
      <c r="BZ98" s="120">
        <f t="shared" si="123"/>
        <v>328.41563333333363</v>
      </c>
      <c r="CA98" s="120">
        <f t="shared" si="123"/>
        <v>321.97611111111144</v>
      </c>
      <c r="CB98" s="120">
        <f t="shared" si="123"/>
        <v>315.53658888888918</v>
      </c>
      <c r="CC98" s="120">
        <f t="shared" si="123"/>
        <v>309.09706666666693</v>
      </c>
      <c r="CD98" s="120">
        <f t="shared" si="123"/>
        <v>302.65754444444474</v>
      </c>
      <c r="CE98" s="120">
        <f t="shared" si="123"/>
        <v>296.21802222222249</v>
      </c>
      <c r="CF98" s="120">
        <f t="shared" si="123"/>
        <v>289.77850000000029</v>
      </c>
      <c r="CG98" s="120">
        <f t="shared" si="123"/>
        <v>283.33897777777804</v>
      </c>
      <c r="CH98" s="120">
        <f t="shared" si="123"/>
        <v>276.89945555555579</v>
      </c>
      <c r="CI98" s="120">
        <f t="shared" si="123"/>
        <v>270.45993333333359</v>
      </c>
      <c r="CJ98" s="120">
        <f t="shared" ref="CJ98:DY98" si="124">IF(AND(CI$1&lt;CJ$1, CJ$1&lt;=$F97),$U98*($F97-CJ$1)/($F97-$U$1),0)</f>
        <v>264.02041111111134</v>
      </c>
      <c r="CK98" s="120">
        <f t="shared" si="124"/>
        <v>257.58088888888915</v>
      </c>
      <c r="CL98" s="120">
        <f t="shared" si="124"/>
        <v>251.1413666666669</v>
      </c>
      <c r="CM98" s="120">
        <f t="shared" si="124"/>
        <v>244.70184444444465</v>
      </c>
      <c r="CN98" s="120">
        <f t="shared" si="124"/>
        <v>238.26232222222245</v>
      </c>
      <c r="CO98" s="120">
        <f t="shared" si="124"/>
        <v>231.82280000000023</v>
      </c>
      <c r="CP98" s="120">
        <f t="shared" si="124"/>
        <v>225.38327777777798</v>
      </c>
      <c r="CQ98" s="120">
        <f t="shared" si="124"/>
        <v>218.94375555555578</v>
      </c>
      <c r="CR98" s="120">
        <f t="shared" si="124"/>
        <v>212.50423333333353</v>
      </c>
      <c r="CS98" s="120">
        <f t="shared" si="124"/>
        <v>206.06471111111131</v>
      </c>
      <c r="CT98" s="120">
        <f t="shared" si="124"/>
        <v>199.62518888888906</v>
      </c>
      <c r="CU98" s="120">
        <f t="shared" si="124"/>
        <v>193.18566666666683</v>
      </c>
      <c r="CV98" s="120">
        <f t="shared" si="124"/>
        <v>186.74614444444464</v>
      </c>
      <c r="CW98" s="120">
        <f t="shared" si="124"/>
        <v>180.30662222222239</v>
      </c>
      <c r="CX98" s="120">
        <f t="shared" si="124"/>
        <v>173.86710000000016</v>
      </c>
      <c r="CY98" s="120">
        <f t="shared" si="124"/>
        <v>167.42757777777794</v>
      </c>
      <c r="CZ98" s="120">
        <f t="shared" si="124"/>
        <v>160.98805555555572</v>
      </c>
      <c r="DA98" s="120">
        <f t="shared" si="124"/>
        <v>154.54853333333347</v>
      </c>
      <c r="DB98" s="120">
        <f t="shared" si="124"/>
        <v>148.10901111111124</v>
      </c>
      <c r="DC98" s="120">
        <f t="shared" si="124"/>
        <v>141.66948888888902</v>
      </c>
      <c r="DD98" s="120">
        <f t="shared" si="124"/>
        <v>135.2299666666668</v>
      </c>
      <c r="DE98" s="120">
        <f t="shared" si="124"/>
        <v>128.79044444444457</v>
      </c>
      <c r="DF98" s="120">
        <f t="shared" si="124"/>
        <v>122.35092222222232</v>
      </c>
      <c r="DG98" s="120">
        <f t="shared" si="124"/>
        <v>115.91140000000011</v>
      </c>
      <c r="DH98" s="120">
        <f t="shared" si="124"/>
        <v>109.47187777777789</v>
      </c>
      <c r="DI98" s="120">
        <f t="shared" si="124"/>
        <v>103.03235555555565</v>
      </c>
      <c r="DJ98" s="120">
        <f t="shared" si="124"/>
        <v>96.592833333333417</v>
      </c>
      <c r="DK98" s="120">
        <f t="shared" si="124"/>
        <v>90.153311111111194</v>
      </c>
      <c r="DL98" s="120">
        <f t="shared" si="124"/>
        <v>83.713788888888971</v>
      </c>
      <c r="DM98" s="120">
        <f t="shared" si="124"/>
        <v>77.274266666666733</v>
      </c>
      <c r="DN98" s="120">
        <f t="shared" si="124"/>
        <v>70.83474444444451</v>
      </c>
      <c r="DO98" s="120">
        <f t="shared" si="124"/>
        <v>64.395222222222287</v>
      </c>
      <c r="DP98" s="120">
        <f t="shared" si="124"/>
        <v>57.955700000000057</v>
      </c>
      <c r="DQ98" s="120">
        <f t="shared" si="124"/>
        <v>51.516177777777827</v>
      </c>
      <c r="DR98" s="120">
        <f t="shared" si="124"/>
        <v>45.076655555555597</v>
      </c>
      <c r="DS98" s="120">
        <f t="shared" si="124"/>
        <v>38.637133333333367</v>
      </c>
      <c r="DT98" s="120">
        <f t="shared" si="124"/>
        <v>32.197611111111144</v>
      </c>
      <c r="DU98" s="120">
        <f t="shared" si="124"/>
        <v>25.758088888888913</v>
      </c>
      <c r="DV98" s="120">
        <f t="shared" si="124"/>
        <v>19.318566666666683</v>
      </c>
      <c r="DW98" s="120">
        <f t="shared" si="124"/>
        <v>12.879044444444457</v>
      </c>
      <c r="DX98" s="120">
        <f t="shared" si="124"/>
        <v>6.4395222222222284</v>
      </c>
      <c r="DY98" s="120">
        <f t="shared" si="124"/>
        <v>0</v>
      </c>
    </row>
    <row r="99" spans="1:129" x14ac:dyDescent="0.45">
      <c r="A99" s="3"/>
      <c r="B99" s="2"/>
      <c r="C99" s="122" t="s">
        <v>266</v>
      </c>
      <c r="D99" s="17"/>
      <c r="E99" s="2"/>
      <c r="F99" s="2"/>
      <c r="G99" s="2"/>
      <c r="H99" s="2"/>
      <c r="I99" s="14"/>
      <c r="J99" s="55"/>
      <c r="K99" s="55"/>
      <c r="L99" s="55"/>
      <c r="M99" s="55"/>
      <c r="N99" s="55"/>
      <c r="O99" s="55"/>
      <c r="P99" s="55"/>
      <c r="Q99" s="55"/>
      <c r="R99" s="55"/>
      <c r="S99" s="55"/>
      <c r="T99" s="55"/>
      <c r="U99" s="95"/>
      <c r="V99" s="91"/>
      <c r="W99" s="91"/>
      <c r="X99" s="91"/>
      <c r="Y99" s="91"/>
      <c r="Z99" s="55"/>
      <c r="AA99" s="55"/>
      <c r="AB99" s="55"/>
      <c r="AC99" s="55"/>
      <c r="AD99" s="55"/>
      <c r="AE99" s="55"/>
      <c r="AF99" s="55"/>
      <c r="AG99" s="129">
        <f>'Plan Moyen Terme (PMT)'!D31-BAU_Liquidité_Dynamique!AG97</f>
        <v>1374.9618</v>
      </c>
      <c r="AH99" s="124">
        <f>IF(AND(AG$1&lt;AH$1, AH$1&lt;=$F97),$AG99*($F97-AH$1)/($F97-$AG$1),0)</f>
        <v>1360.6392812500001</v>
      </c>
      <c r="AI99" s="124">
        <f>IF(AND(AH$1&lt;AI$1, AI$1&lt;=$F97),$AG99*($F97-AI$1)/($F97-$AG$1),0)</f>
        <v>1346.3167625000001</v>
      </c>
      <c r="AJ99" s="124">
        <f t="shared" ref="AJ99:CU99" si="125">IF(AND(AI$1&lt;AJ$1, AJ$1&lt;=$F97),$AG99*($F97-AJ$1)/($F97-$AG$1),0)</f>
        <v>1331.9942437500001</v>
      </c>
      <c r="AK99" s="124">
        <f t="shared" si="125"/>
        <v>1317.6717249999999</v>
      </c>
      <c r="AL99" s="124">
        <f t="shared" si="125"/>
        <v>1303.3492062500002</v>
      </c>
      <c r="AM99" s="124">
        <f t="shared" si="125"/>
        <v>1289.0266875</v>
      </c>
      <c r="AN99" s="124">
        <f t="shared" si="125"/>
        <v>1274.70416875</v>
      </c>
      <c r="AO99" s="124">
        <f t="shared" si="125"/>
        <v>1260.38165</v>
      </c>
      <c r="AP99" s="124">
        <f t="shared" si="125"/>
        <v>1246.0591312500001</v>
      </c>
      <c r="AQ99" s="124">
        <f t="shared" si="125"/>
        <v>1231.7366125000001</v>
      </c>
      <c r="AR99" s="124">
        <f t="shared" si="125"/>
        <v>1217.4140937499999</v>
      </c>
      <c r="AS99" s="124">
        <f t="shared" si="125"/>
        <v>1203.0915750000001</v>
      </c>
      <c r="AT99" s="124">
        <f t="shared" si="125"/>
        <v>1188.7690562499999</v>
      </c>
      <c r="AU99" s="124">
        <f t="shared" si="125"/>
        <v>1174.4465375</v>
      </c>
      <c r="AV99" s="124">
        <f t="shared" si="125"/>
        <v>1160.12401875</v>
      </c>
      <c r="AW99" s="124">
        <f t="shared" si="125"/>
        <v>1145.8015</v>
      </c>
      <c r="AX99" s="124">
        <f t="shared" si="125"/>
        <v>1131.4789812500001</v>
      </c>
      <c r="AY99" s="124">
        <f t="shared" si="125"/>
        <v>1117.1564625000001</v>
      </c>
      <c r="AZ99" s="124">
        <f t="shared" si="125"/>
        <v>1102.8339437500001</v>
      </c>
      <c r="BA99" s="124">
        <f t="shared" si="125"/>
        <v>1088.5114249999999</v>
      </c>
      <c r="BB99" s="124">
        <f t="shared" si="125"/>
        <v>1074.1889062500002</v>
      </c>
      <c r="BC99" s="124">
        <f t="shared" si="125"/>
        <v>1059.8663875</v>
      </c>
      <c r="BD99" s="124">
        <f t="shared" si="125"/>
        <v>1045.54386875</v>
      </c>
      <c r="BE99" s="124">
        <f t="shared" si="125"/>
        <v>1031.22135</v>
      </c>
      <c r="BF99" s="124">
        <f t="shared" si="125"/>
        <v>1016.8988312500001</v>
      </c>
      <c r="BG99" s="124">
        <f t="shared" si="125"/>
        <v>1002.5763125</v>
      </c>
      <c r="BH99" s="124">
        <f t="shared" si="125"/>
        <v>988.25379375</v>
      </c>
      <c r="BI99" s="124">
        <f t="shared" si="125"/>
        <v>973.93127500000003</v>
      </c>
      <c r="BJ99" s="124">
        <f t="shared" si="125"/>
        <v>959.60875625000006</v>
      </c>
      <c r="BK99" s="124">
        <f t="shared" si="125"/>
        <v>945.28623749999997</v>
      </c>
      <c r="BL99" s="124">
        <f t="shared" si="125"/>
        <v>930.96371875000011</v>
      </c>
      <c r="BM99" s="124">
        <f t="shared" si="125"/>
        <v>916.64120000000003</v>
      </c>
      <c r="BN99" s="124">
        <f t="shared" si="125"/>
        <v>902.31868124999994</v>
      </c>
      <c r="BO99" s="124">
        <f t="shared" si="125"/>
        <v>887.99616250000008</v>
      </c>
      <c r="BP99" s="124">
        <f t="shared" si="125"/>
        <v>873.67364375</v>
      </c>
      <c r="BQ99" s="124">
        <f t="shared" si="125"/>
        <v>859.35112500000002</v>
      </c>
      <c r="BR99" s="124">
        <f t="shared" si="125"/>
        <v>845.02860625000005</v>
      </c>
      <c r="BS99" s="124">
        <f t="shared" si="125"/>
        <v>830.70608750000008</v>
      </c>
      <c r="BT99" s="124">
        <f t="shared" si="125"/>
        <v>816.38356874999999</v>
      </c>
      <c r="BU99" s="124">
        <f t="shared" si="125"/>
        <v>802.06104999999991</v>
      </c>
      <c r="BV99" s="124">
        <f t="shared" si="125"/>
        <v>787.73853125000005</v>
      </c>
      <c r="BW99" s="124">
        <f t="shared" si="125"/>
        <v>773.41601249999997</v>
      </c>
      <c r="BX99" s="124">
        <f t="shared" si="125"/>
        <v>759.09349374999999</v>
      </c>
      <c r="BY99" s="124">
        <f t="shared" si="125"/>
        <v>744.77097500000002</v>
      </c>
      <c r="BZ99" s="124">
        <f t="shared" si="125"/>
        <v>730.44845625000005</v>
      </c>
      <c r="CA99" s="124">
        <f t="shared" si="125"/>
        <v>716.12593749999996</v>
      </c>
      <c r="CB99" s="124">
        <f t="shared" si="125"/>
        <v>701.80341875000011</v>
      </c>
      <c r="CC99" s="124">
        <f t="shared" si="125"/>
        <v>687.48090000000002</v>
      </c>
      <c r="CD99" s="124">
        <f t="shared" si="125"/>
        <v>673.15838125000005</v>
      </c>
      <c r="CE99" s="124">
        <f t="shared" si="125"/>
        <v>658.83586249999996</v>
      </c>
      <c r="CF99" s="124">
        <f t="shared" si="125"/>
        <v>644.51334374999999</v>
      </c>
      <c r="CG99" s="124">
        <f t="shared" si="125"/>
        <v>630.19082500000002</v>
      </c>
      <c r="CH99" s="124">
        <f t="shared" si="125"/>
        <v>615.86830625000005</v>
      </c>
      <c r="CI99" s="124">
        <f t="shared" si="125"/>
        <v>601.54578750000007</v>
      </c>
      <c r="CJ99" s="124">
        <f t="shared" si="125"/>
        <v>587.22326874999999</v>
      </c>
      <c r="CK99" s="124">
        <f t="shared" si="125"/>
        <v>572.90075000000002</v>
      </c>
      <c r="CL99" s="124">
        <f t="shared" si="125"/>
        <v>558.57823125000004</v>
      </c>
      <c r="CM99" s="124">
        <f t="shared" si="125"/>
        <v>544.25571249999996</v>
      </c>
      <c r="CN99" s="124">
        <f t="shared" si="125"/>
        <v>529.93319374999999</v>
      </c>
      <c r="CO99" s="124">
        <f t="shared" si="125"/>
        <v>515.61067500000001</v>
      </c>
      <c r="CP99" s="124">
        <f t="shared" si="125"/>
        <v>501.28815624999999</v>
      </c>
      <c r="CQ99" s="124">
        <f t="shared" si="125"/>
        <v>486.96563750000001</v>
      </c>
      <c r="CR99" s="124">
        <f t="shared" si="125"/>
        <v>472.64311874999999</v>
      </c>
      <c r="CS99" s="124">
        <f t="shared" si="125"/>
        <v>458.32060000000001</v>
      </c>
      <c r="CT99" s="124">
        <f t="shared" si="125"/>
        <v>443.99808125000004</v>
      </c>
      <c r="CU99" s="124">
        <f t="shared" si="125"/>
        <v>429.67556250000001</v>
      </c>
      <c r="CV99" s="124">
        <f t="shared" ref="CV99:DY99" si="126">IF(AND(CU$1&lt;CV$1, CV$1&lt;=$F97),$AG99*($F97-CV$1)/($F97-$AG$1),0)</f>
        <v>415.35304375000004</v>
      </c>
      <c r="CW99" s="124">
        <f t="shared" si="126"/>
        <v>401.03052499999995</v>
      </c>
      <c r="CX99" s="124">
        <f t="shared" si="126"/>
        <v>386.70800624999998</v>
      </c>
      <c r="CY99" s="124">
        <f t="shared" si="126"/>
        <v>372.38548750000001</v>
      </c>
      <c r="CZ99" s="124">
        <f t="shared" si="126"/>
        <v>358.06296874999998</v>
      </c>
      <c r="DA99" s="124">
        <f t="shared" si="126"/>
        <v>343.74045000000001</v>
      </c>
      <c r="DB99" s="124">
        <f t="shared" si="126"/>
        <v>329.41793124999998</v>
      </c>
      <c r="DC99" s="124">
        <f t="shared" si="126"/>
        <v>315.09541250000001</v>
      </c>
      <c r="DD99" s="124">
        <f t="shared" si="126"/>
        <v>300.77289375000004</v>
      </c>
      <c r="DE99" s="124">
        <f t="shared" si="126"/>
        <v>286.45037500000001</v>
      </c>
      <c r="DF99" s="124">
        <f t="shared" si="126"/>
        <v>272.12785624999998</v>
      </c>
      <c r="DG99" s="124">
        <f t="shared" si="126"/>
        <v>257.80533750000001</v>
      </c>
      <c r="DH99" s="124">
        <f t="shared" si="126"/>
        <v>243.48281875000001</v>
      </c>
      <c r="DI99" s="124">
        <f t="shared" si="126"/>
        <v>229.16030000000001</v>
      </c>
      <c r="DJ99" s="124">
        <f t="shared" si="126"/>
        <v>214.83778125000001</v>
      </c>
      <c r="DK99" s="124">
        <f t="shared" si="126"/>
        <v>200.51526249999998</v>
      </c>
      <c r="DL99" s="124">
        <f t="shared" si="126"/>
        <v>186.19274375000001</v>
      </c>
      <c r="DM99" s="124">
        <f t="shared" si="126"/>
        <v>171.870225</v>
      </c>
      <c r="DN99" s="124">
        <f t="shared" si="126"/>
        <v>157.54770625</v>
      </c>
      <c r="DO99" s="124">
        <f t="shared" si="126"/>
        <v>143.2251875</v>
      </c>
      <c r="DP99" s="124">
        <f t="shared" si="126"/>
        <v>128.90266875</v>
      </c>
      <c r="DQ99" s="124">
        <f t="shared" si="126"/>
        <v>114.58015</v>
      </c>
      <c r="DR99" s="124">
        <f t="shared" si="126"/>
        <v>100.25763124999999</v>
      </c>
      <c r="DS99" s="124">
        <f t="shared" si="126"/>
        <v>85.935112500000002</v>
      </c>
      <c r="DT99" s="124">
        <f t="shared" si="126"/>
        <v>71.612593750000002</v>
      </c>
      <c r="DU99" s="124">
        <f t="shared" si="126"/>
        <v>57.290075000000002</v>
      </c>
      <c r="DV99" s="124">
        <f t="shared" si="126"/>
        <v>42.967556250000001</v>
      </c>
      <c r="DW99" s="124">
        <f t="shared" si="126"/>
        <v>28.645037500000001</v>
      </c>
      <c r="DX99" s="124">
        <f t="shared" si="126"/>
        <v>14.32251875</v>
      </c>
      <c r="DY99" s="124">
        <f t="shared" si="126"/>
        <v>0</v>
      </c>
    </row>
    <row r="100" spans="1:129" x14ac:dyDescent="0.45">
      <c r="A100" s="3"/>
      <c r="B100" s="2"/>
      <c r="C100" s="125" t="s">
        <v>267</v>
      </c>
      <c r="D100" s="17"/>
      <c r="E100" s="2"/>
      <c r="F100" s="2"/>
      <c r="G100" s="2"/>
      <c r="H100" s="2"/>
      <c r="I100" s="14"/>
      <c r="J100" s="55"/>
      <c r="K100" s="55"/>
      <c r="L100" s="55"/>
      <c r="M100" s="55"/>
      <c r="N100" s="55"/>
      <c r="O100" s="55"/>
      <c r="P100" s="55"/>
      <c r="Q100" s="55"/>
      <c r="R100" s="55"/>
      <c r="S100" s="55"/>
      <c r="T100" s="55"/>
      <c r="U100" s="96"/>
      <c r="V100" s="55"/>
      <c r="W100" s="55"/>
      <c r="X100" s="55"/>
      <c r="Y100" s="55"/>
      <c r="Z100" s="55"/>
      <c r="AA100" s="55"/>
      <c r="AB100" s="55"/>
      <c r="AC100" s="55"/>
      <c r="AD100" s="55"/>
      <c r="AE100" s="55"/>
      <c r="AF100" s="55"/>
      <c r="AG100" s="102"/>
      <c r="AH100" s="91"/>
      <c r="AI100" s="91"/>
      <c r="AJ100" s="91"/>
      <c r="AK100" s="55"/>
      <c r="AL100" s="55"/>
      <c r="AM100" s="55"/>
      <c r="AN100" s="55"/>
      <c r="AO100" s="55"/>
      <c r="AP100" s="55"/>
      <c r="AQ100" s="55"/>
      <c r="AR100" s="55"/>
      <c r="AS100" s="130">
        <f>'Plan Moyen Terme (PMT)'!E31-BAU_Liquidité_Dynamique!AS97</f>
        <v>-2959.4538000000002</v>
      </c>
      <c r="AT100" s="126">
        <f>IF(AND(AS$1&lt;AT$1, AT$1&lt;=$F97),$AS100*($F97-AT$1)/($F97-$AS$1),0)</f>
        <v>-2924.2222071428573</v>
      </c>
      <c r="AU100" s="126">
        <f t="shared" ref="AU100:DF100" si="127">IF(AND(AT$1&lt;AU$1, AU$1&lt;=$F97),$AS100*($F97-AU$1)/($F97-$AS$1),0)</f>
        <v>-2888.9906142857144</v>
      </c>
      <c r="AV100" s="126">
        <f t="shared" si="127"/>
        <v>-2853.7590214285715</v>
      </c>
      <c r="AW100" s="126">
        <f t="shared" si="127"/>
        <v>-2818.5274285714286</v>
      </c>
      <c r="AX100" s="126">
        <f t="shared" si="127"/>
        <v>-2783.2958357142861</v>
      </c>
      <c r="AY100" s="126">
        <f t="shared" si="127"/>
        <v>-2748.0642428571432</v>
      </c>
      <c r="AZ100" s="126">
        <f t="shared" si="127"/>
        <v>-2712.8326500000003</v>
      </c>
      <c r="BA100" s="126">
        <f t="shared" si="127"/>
        <v>-2677.6010571428574</v>
      </c>
      <c r="BB100" s="126">
        <f t="shared" si="127"/>
        <v>-2642.3694642857145</v>
      </c>
      <c r="BC100" s="126">
        <f t="shared" si="127"/>
        <v>-2607.1378714285715</v>
      </c>
      <c r="BD100" s="126">
        <f t="shared" si="127"/>
        <v>-2571.9062785714291</v>
      </c>
      <c r="BE100" s="126">
        <f t="shared" si="127"/>
        <v>-2536.6746857142857</v>
      </c>
      <c r="BF100" s="126">
        <f t="shared" si="127"/>
        <v>-2501.4430928571433</v>
      </c>
      <c r="BG100" s="126">
        <f t="shared" si="127"/>
        <v>-2466.2114999999999</v>
      </c>
      <c r="BH100" s="126">
        <f t="shared" si="127"/>
        <v>-2430.9799071428574</v>
      </c>
      <c r="BI100" s="126">
        <f t="shared" si="127"/>
        <v>-2395.7483142857145</v>
      </c>
      <c r="BJ100" s="126">
        <f t="shared" si="127"/>
        <v>-2360.5167214285716</v>
      </c>
      <c r="BK100" s="126">
        <f t="shared" si="127"/>
        <v>-2325.2851285714287</v>
      </c>
      <c r="BL100" s="126">
        <f t="shared" si="127"/>
        <v>-2290.0535357142858</v>
      </c>
      <c r="BM100" s="126">
        <f t="shared" si="127"/>
        <v>-2254.8219428571429</v>
      </c>
      <c r="BN100" s="126">
        <f t="shared" si="127"/>
        <v>-2219.5903500000004</v>
      </c>
      <c r="BO100" s="126">
        <f t="shared" si="127"/>
        <v>-2184.358757142857</v>
      </c>
      <c r="BP100" s="126">
        <f t="shared" si="127"/>
        <v>-2149.1271642857146</v>
      </c>
      <c r="BQ100" s="126">
        <f t="shared" si="127"/>
        <v>-2113.8955714285717</v>
      </c>
      <c r="BR100" s="126">
        <f t="shared" si="127"/>
        <v>-2078.6639785714287</v>
      </c>
      <c r="BS100" s="126">
        <f t="shared" si="127"/>
        <v>-2043.4323857142861</v>
      </c>
      <c r="BT100" s="126">
        <f t="shared" si="127"/>
        <v>-2008.2007928571429</v>
      </c>
      <c r="BU100" s="126">
        <f t="shared" si="127"/>
        <v>-1972.9692000000002</v>
      </c>
      <c r="BV100" s="126">
        <f t="shared" si="127"/>
        <v>-1937.7376071428571</v>
      </c>
      <c r="BW100" s="126">
        <f t="shared" si="127"/>
        <v>-1902.5060142857144</v>
      </c>
      <c r="BX100" s="126">
        <f t="shared" si="127"/>
        <v>-1867.2744214285717</v>
      </c>
      <c r="BY100" s="126">
        <f t="shared" si="127"/>
        <v>-1832.0428285714286</v>
      </c>
      <c r="BZ100" s="126">
        <f t="shared" si="127"/>
        <v>-1796.8112357142859</v>
      </c>
      <c r="CA100" s="126">
        <f t="shared" si="127"/>
        <v>-1761.579642857143</v>
      </c>
      <c r="CB100" s="126">
        <f t="shared" si="127"/>
        <v>-1726.3480500000001</v>
      </c>
      <c r="CC100" s="126">
        <f t="shared" si="127"/>
        <v>-1691.1164571428574</v>
      </c>
      <c r="CD100" s="126">
        <f t="shared" si="127"/>
        <v>-1655.8848642857145</v>
      </c>
      <c r="CE100" s="126">
        <f t="shared" si="127"/>
        <v>-1620.6532714285718</v>
      </c>
      <c r="CF100" s="126">
        <f t="shared" si="127"/>
        <v>-1585.4216785714286</v>
      </c>
      <c r="CG100" s="126">
        <f t="shared" si="127"/>
        <v>-1550.1900857142859</v>
      </c>
      <c r="CH100" s="126">
        <f t="shared" si="127"/>
        <v>-1514.958492857143</v>
      </c>
      <c r="CI100" s="126">
        <f t="shared" si="127"/>
        <v>-1479.7269000000001</v>
      </c>
      <c r="CJ100" s="126">
        <f t="shared" si="127"/>
        <v>-1444.4953071428572</v>
      </c>
      <c r="CK100" s="126">
        <f t="shared" si="127"/>
        <v>-1409.2637142857143</v>
      </c>
      <c r="CL100" s="126">
        <f t="shared" si="127"/>
        <v>-1374.0321214285716</v>
      </c>
      <c r="CM100" s="126">
        <f t="shared" si="127"/>
        <v>-1338.8005285714287</v>
      </c>
      <c r="CN100" s="126">
        <f t="shared" si="127"/>
        <v>-1303.5689357142858</v>
      </c>
      <c r="CO100" s="126">
        <f t="shared" si="127"/>
        <v>-1268.3373428571429</v>
      </c>
      <c r="CP100" s="126">
        <f t="shared" si="127"/>
        <v>-1233.1057499999999</v>
      </c>
      <c r="CQ100" s="126">
        <f t="shared" si="127"/>
        <v>-1197.8741571428573</v>
      </c>
      <c r="CR100" s="126">
        <f t="shared" si="127"/>
        <v>-1162.6425642857143</v>
      </c>
      <c r="CS100" s="126">
        <f t="shared" si="127"/>
        <v>-1127.4109714285714</v>
      </c>
      <c r="CT100" s="126">
        <f t="shared" si="127"/>
        <v>-1092.1793785714285</v>
      </c>
      <c r="CU100" s="126">
        <f t="shared" si="127"/>
        <v>-1056.9477857142858</v>
      </c>
      <c r="CV100" s="126">
        <f t="shared" si="127"/>
        <v>-1021.716192857143</v>
      </c>
      <c r="CW100" s="126">
        <f t="shared" si="127"/>
        <v>-986.48460000000011</v>
      </c>
      <c r="CX100" s="126">
        <f t="shared" si="127"/>
        <v>-951.2530071428572</v>
      </c>
      <c r="CY100" s="126">
        <f t="shared" si="127"/>
        <v>-916.02141428571429</v>
      </c>
      <c r="CZ100" s="126">
        <f t="shared" si="127"/>
        <v>-880.78982142857149</v>
      </c>
      <c r="DA100" s="126">
        <f t="shared" si="127"/>
        <v>-845.55822857142869</v>
      </c>
      <c r="DB100" s="126">
        <f t="shared" si="127"/>
        <v>-810.32663571428589</v>
      </c>
      <c r="DC100" s="126">
        <f t="shared" si="127"/>
        <v>-775.09504285714297</v>
      </c>
      <c r="DD100" s="126">
        <f t="shared" si="127"/>
        <v>-739.86345000000006</v>
      </c>
      <c r="DE100" s="126">
        <f t="shared" si="127"/>
        <v>-704.63185714285714</v>
      </c>
      <c r="DF100" s="126">
        <f t="shared" si="127"/>
        <v>-669.40026428571434</v>
      </c>
      <c r="DG100" s="126">
        <f t="shared" ref="DG100:DY100" si="128">IF(AND(DF$1&lt;DG$1, DG$1&lt;=$F97),$AS100*($F97-DG$1)/($F97-$AS$1),0)</f>
        <v>-634.16867142857143</v>
      </c>
      <c r="DH100" s="126">
        <f t="shared" si="128"/>
        <v>-598.93707857142863</v>
      </c>
      <c r="DI100" s="126">
        <f t="shared" si="128"/>
        <v>-563.70548571428571</v>
      </c>
      <c r="DJ100" s="126">
        <f t="shared" si="128"/>
        <v>-528.47389285714291</v>
      </c>
      <c r="DK100" s="126">
        <f t="shared" si="128"/>
        <v>-493.24230000000006</v>
      </c>
      <c r="DL100" s="126">
        <f t="shared" si="128"/>
        <v>-458.01070714285714</v>
      </c>
      <c r="DM100" s="126">
        <f t="shared" si="128"/>
        <v>-422.77911428571434</v>
      </c>
      <c r="DN100" s="126">
        <f t="shared" si="128"/>
        <v>-387.54752142857149</v>
      </c>
      <c r="DO100" s="126">
        <f t="shared" si="128"/>
        <v>-352.31592857142857</v>
      </c>
      <c r="DP100" s="126">
        <f t="shared" si="128"/>
        <v>-317.08433571428571</v>
      </c>
      <c r="DQ100" s="126">
        <f t="shared" si="128"/>
        <v>-281.85274285714286</v>
      </c>
      <c r="DR100" s="126">
        <f t="shared" si="128"/>
        <v>-246.62115000000003</v>
      </c>
      <c r="DS100" s="126">
        <f t="shared" si="128"/>
        <v>-211.38955714285717</v>
      </c>
      <c r="DT100" s="126">
        <f t="shared" si="128"/>
        <v>-176.15796428571429</v>
      </c>
      <c r="DU100" s="126">
        <f t="shared" si="128"/>
        <v>-140.92637142857143</v>
      </c>
      <c r="DV100" s="126">
        <f t="shared" si="128"/>
        <v>-105.69477857142859</v>
      </c>
      <c r="DW100" s="126">
        <f t="shared" si="128"/>
        <v>-70.463185714285714</v>
      </c>
      <c r="DX100" s="126">
        <f t="shared" si="128"/>
        <v>-35.231592857142857</v>
      </c>
      <c r="DY100" s="126">
        <f t="shared" si="128"/>
        <v>0</v>
      </c>
    </row>
    <row r="101" spans="1:129" x14ac:dyDescent="0.45">
      <c r="A101" s="3">
        <v>46022</v>
      </c>
      <c r="B101" s="2" t="s">
        <v>19</v>
      </c>
      <c r="C101" s="6" t="s">
        <v>29</v>
      </c>
      <c r="D101" s="17">
        <v>0</v>
      </c>
      <c r="E101" s="2" t="s">
        <v>43</v>
      </c>
      <c r="F101" s="2">
        <v>120</v>
      </c>
      <c r="G101" s="2" t="s">
        <v>43</v>
      </c>
      <c r="H101" s="2">
        <v>120</v>
      </c>
      <c r="I101" s="14">
        <v>0</v>
      </c>
      <c r="J101" s="55">
        <f t="shared" si="94"/>
        <v>0</v>
      </c>
      <c r="K101" s="55">
        <f t="shared" si="94"/>
        <v>0</v>
      </c>
      <c r="L101" s="55">
        <f t="shared" si="94"/>
        <v>0</v>
      </c>
      <c r="M101" s="55">
        <f t="shared" si="94"/>
        <v>0</v>
      </c>
      <c r="N101" s="55">
        <f t="shared" si="94"/>
        <v>0</v>
      </c>
      <c r="O101" s="55">
        <f t="shared" si="94"/>
        <v>0</v>
      </c>
      <c r="P101" s="55">
        <f t="shared" si="94"/>
        <v>0</v>
      </c>
      <c r="Q101" s="55">
        <f t="shared" si="94"/>
        <v>0</v>
      </c>
      <c r="R101" s="55">
        <f t="shared" si="94"/>
        <v>0</v>
      </c>
      <c r="S101" s="55">
        <f t="shared" si="94"/>
        <v>0</v>
      </c>
      <c r="T101" s="55">
        <f t="shared" si="94"/>
        <v>0</v>
      </c>
      <c r="U101" s="96">
        <f t="shared" si="94"/>
        <v>0</v>
      </c>
      <c r="V101" s="55">
        <f t="shared" si="94"/>
        <v>0</v>
      </c>
      <c r="W101" s="55">
        <f t="shared" si="94"/>
        <v>0</v>
      </c>
      <c r="X101" s="55">
        <f t="shared" si="94"/>
        <v>0</v>
      </c>
      <c r="Y101" s="55">
        <f t="shared" si="94"/>
        <v>0</v>
      </c>
      <c r="Z101" s="55">
        <f t="shared" si="122"/>
        <v>0</v>
      </c>
      <c r="AA101" s="55">
        <f t="shared" si="122"/>
        <v>0</v>
      </c>
      <c r="AB101" s="55">
        <f t="shared" si="122"/>
        <v>0</v>
      </c>
      <c r="AC101" s="55">
        <f t="shared" si="122"/>
        <v>0</v>
      </c>
      <c r="AD101" s="55">
        <f t="shared" si="122"/>
        <v>0</v>
      </c>
      <c r="AE101" s="55">
        <f t="shared" si="122"/>
        <v>0</v>
      </c>
      <c r="AF101" s="55">
        <f t="shared" si="122"/>
        <v>0</v>
      </c>
      <c r="AG101" s="102">
        <f t="shared" si="122"/>
        <v>0</v>
      </c>
      <c r="AH101" s="55">
        <f t="shared" si="122"/>
        <v>0</v>
      </c>
      <c r="AI101" s="55">
        <f t="shared" si="122"/>
        <v>0</v>
      </c>
      <c r="AJ101" s="55">
        <f t="shared" si="122"/>
        <v>0</v>
      </c>
      <c r="AK101" s="55">
        <f t="shared" si="122"/>
        <v>0</v>
      </c>
      <c r="AL101" s="55">
        <f t="shared" si="122"/>
        <v>0</v>
      </c>
      <c r="AM101" s="55">
        <f t="shared" si="122"/>
        <v>0</v>
      </c>
      <c r="AN101" s="55">
        <f t="shared" si="122"/>
        <v>0</v>
      </c>
      <c r="AO101" s="55">
        <f t="shared" si="122"/>
        <v>0</v>
      </c>
      <c r="AP101" s="55">
        <f t="shared" si="122"/>
        <v>0</v>
      </c>
      <c r="AQ101" s="55">
        <f t="shared" si="122"/>
        <v>0</v>
      </c>
      <c r="AR101" s="55">
        <f t="shared" si="122"/>
        <v>0</v>
      </c>
      <c r="AS101" s="108">
        <f t="shared" si="122"/>
        <v>0</v>
      </c>
      <c r="AT101" s="55">
        <f t="shared" si="122"/>
        <v>0</v>
      </c>
      <c r="AU101" s="55">
        <f t="shared" si="122"/>
        <v>0</v>
      </c>
      <c r="AV101" s="55">
        <f t="shared" si="122"/>
        <v>0</v>
      </c>
      <c r="AW101" s="55">
        <f t="shared" si="122"/>
        <v>0</v>
      </c>
      <c r="AX101" s="55">
        <f t="shared" si="122"/>
        <v>0</v>
      </c>
      <c r="AY101" s="55">
        <f t="shared" si="122"/>
        <v>0</v>
      </c>
      <c r="AZ101" s="55">
        <f t="shared" si="122"/>
        <v>0</v>
      </c>
      <c r="BA101" s="55">
        <f t="shared" si="122"/>
        <v>0</v>
      </c>
      <c r="BB101" s="55">
        <f t="shared" si="122"/>
        <v>0</v>
      </c>
      <c r="BC101" s="55">
        <f t="shared" si="122"/>
        <v>0</v>
      </c>
      <c r="BD101" s="55">
        <f t="shared" si="122"/>
        <v>0</v>
      </c>
      <c r="BE101" s="55">
        <f t="shared" si="122"/>
        <v>0</v>
      </c>
      <c r="BF101" s="55">
        <f t="shared" si="122"/>
        <v>0</v>
      </c>
      <c r="BG101" s="55">
        <f t="shared" si="122"/>
        <v>0</v>
      </c>
      <c r="BH101" s="55">
        <f t="shared" si="122"/>
        <v>0</v>
      </c>
      <c r="BI101" s="55">
        <f t="shared" si="122"/>
        <v>0</v>
      </c>
      <c r="BJ101" s="55">
        <f t="shared" si="122"/>
        <v>0</v>
      </c>
      <c r="BK101" s="55">
        <f t="shared" si="122"/>
        <v>0</v>
      </c>
      <c r="BL101" s="55">
        <f t="shared" si="122"/>
        <v>0</v>
      </c>
      <c r="BM101" s="55">
        <f t="shared" si="122"/>
        <v>0</v>
      </c>
      <c r="BN101" s="55">
        <f t="shared" si="122"/>
        <v>0</v>
      </c>
      <c r="BO101" s="55">
        <f t="shared" si="122"/>
        <v>0</v>
      </c>
      <c r="BP101" s="55">
        <f t="shared" si="122"/>
        <v>0</v>
      </c>
      <c r="BQ101" s="55">
        <f t="shared" si="122"/>
        <v>0</v>
      </c>
      <c r="BR101" s="55">
        <f t="shared" si="122"/>
        <v>0</v>
      </c>
      <c r="BS101" s="55">
        <f t="shared" si="122"/>
        <v>0</v>
      </c>
      <c r="BT101" s="55">
        <f t="shared" si="122"/>
        <v>0</v>
      </c>
      <c r="BU101" s="55">
        <f t="shared" si="122"/>
        <v>0</v>
      </c>
      <c r="BV101" s="55">
        <f t="shared" si="122"/>
        <v>0</v>
      </c>
      <c r="BW101" s="55">
        <f t="shared" si="122"/>
        <v>0</v>
      </c>
      <c r="BX101" s="55">
        <f t="shared" si="122"/>
        <v>0</v>
      </c>
      <c r="BY101" s="55">
        <f t="shared" si="122"/>
        <v>0</v>
      </c>
      <c r="BZ101" s="55">
        <f t="shared" si="122"/>
        <v>0</v>
      </c>
      <c r="CA101" s="55">
        <f t="shared" si="122"/>
        <v>0</v>
      </c>
      <c r="CB101" s="55">
        <f t="shared" si="122"/>
        <v>0</v>
      </c>
      <c r="CC101" s="55">
        <f t="shared" si="122"/>
        <v>0</v>
      </c>
      <c r="CD101" s="55">
        <f t="shared" si="122"/>
        <v>0</v>
      </c>
      <c r="CE101" s="55">
        <f t="shared" si="122"/>
        <v>0</v>
      </c>
      <c r="CF101" s="55">
        <f t="shared" si="122"/>
        <v>0</v>
      </c>
      <c r="CG101" s="55">
        <f t="shared" si="122"/>
        <v>0</v>
      </c>
      <c r="CH101" s="55">
        <f t="shared" si="122"/>
        <v>0</v>
      </c>
      <c r="CI101" s="55">
        <f t="shared" si="122"/>
        <v>0</v>
      </c>
      <c r="CJ101" s="55">
        <f t="shared" si="122"/>
        <v>0</v>
      </c>
      <c r="CK101" s="55">
        <f t="shared" si="122"/>
        <v>0</v>
      </c>
      <c r="CL101" s="55">
        <f t="shared" si="96"/>
        <v>0</v>
      </c>
      <c r="CM101" s="55">
        <f t="shared" si="96"/>
        <v>0</v>
      </c>
      <c r="CN101" s="55">
        <f t="shared" si="96"/>
        <v>0</v>
      </c>
      <c r="CO101" s="55">
        <f t="shared" si="96"/>
        <v>0</v>
      </c>
      <c r="CP101" s="55">
        <f t="shared" si="96"/>
        <v>0</v>
      </c>
      <c r="CQ101" s="55">
        <f t="shared" si="96"/>
        <v>0</v>
      </c>
      <c r="CR101" s="55">
        <f t="shared" si="96"/>
        <v>0</v>
      </c>
      <c r="CS101" s="55">
        <f t="shared" si="96"/>
        <v>0</v>
      </c>
      <c r="CT101" s="55">
        <f t="shared" si="96"/>
        <v>0</v>
      </c>
      <c r="CU101" s="55">
        <f t="shared" si="96"/>
        <v>0</v>
      </c>
      <c r="CV101" s="55">
        <f t="shared" si="96"/>
        <v>0</v>
      </c>
      <c r="CW101" s="55">
        <f t="shared" si="96"/>
        <v>0</v>
      </c>
      <c r="CX101" s="55">
        <f t="shared" si="96"/>
        <v>0</v>
      </c>
      <c r="CY101" s="55">
        <f t="shared" si="96"/>
        <v>0</v>
      </c>
      <c r="CZ101" s="55">
        <f t="shared" si="96"/>
        <v>0</v>
      </c>
      <c r="DA101" s="55">
        <f t="shared" si="96"/>
        <v>0</v>
      </c>
      <c r="DB101" s="55">
        <f t="shared" si="96"/>
        <v>0</v>
      </c>
      <c r="DC101" s="55">
        <f t="shared" si="96"/>
        <v>0</v>
      </c>
      <c r="DD101" s="55">
        <f t="shared" si="96"/>
        <v>0</v>
      </c>
      <c r="DE101" s="55">
        <f t="shared" si="96"/>
        <v>0</v>
      </c>
      <c r="DF101" s="55">
        <f t="shared" si="96"/>
        <v>0</v>
      </c>
      <c r="DG101" s="55">
        <f t="shared" si="96"/>
        <v>0</v>
      </c>
      <c r="DH101" s="55">
        <f t="shared" si="96"/>
        <v>0</v>
      </c>
      <c r="DI101" s="55">
        <f t="shared" si="96"/>
        <v>0</v>
      </c>
      <c r="DJ101" s="55">
        <f t="shared" si="96"/>
        <v>0</v>
      </c>
      <c r="DK101" s="55">
        <f t="shared" si="96"/>
        <v>0</v>
      </c>
      <c r="DL101" s="55">
        <f t="shared" si="96"/>
        <v>0</v>
      </c>
      <c r="DM101" s="55">
        <f t="shared" si="96"/>
        <v>0</v>
      </c>
      <c r="DN101" s="55">
        <f t="shared" si="96"/>
        <v>0</v>
      </c>
      <c r="DO101" s="55">
        <f t="shared" si="96"/>
        <v>0</v>
      </c>
      <c r="DP101" s="55">
        <f t="shared" si="96"/>
        <v>0</v>
      </c>
      <c r="DQ101" s="55">
        <f t="shared" si="96"/>
        <v>0</v>
      </c>
      <c r="DR101" s="55">
        <f t="shared" si="96"/>
        <v>0</v>
      </c>
      <c r="DS101" s="55">
        <f t="shared" si="96"/>
        <v>0</v>
      </c>
      <c r="DT101" s="55">
        <f t="shared" si="96"/>
        <v>0</v>
      </c>
      <c r="DU101" s="55">
        <f t="shared" si="96"/>
        <v>0</v>
      </c>
      <c r="DV101" s="55">
        <f t="shared" si="96"/>
        <v>0</v>
      </c>
      <c r="DW101" s="55">
        <f t="shared" si="96"/>
        <v>0</v>
      </c>
      <c r="DX101" s="55">
        <f t="shared" si="96"/>
        <v>0</v>
      </c>
      <c r="DY101" s="55">
        <f t="shared" si="96"/>
        <v>0</v>
      </c>
    </row>
    <row r="102" spans="1:129" x14ac:dyDescent="0.45">
      <c r="A102" s="3"/>
      <c r="B102" s="2"/>
      <c r="C102" s="121" t="s">
        <v>265</v>
      </c>
      <c r="D102" s="17"/>
      <c r="E102" s="2"/>
      <c r="F102" s="2"/>
      <c r="G102" s="2"/>
      <c r="H102" s="2"/>
      <c r="I102" s="14"/>
      <c r="J102" s="55"/>
      <c r="K102" s="55"/>
      <c r="L102" s="55"/>
      <c r="M102" s="55"/>
      <c r="N102" s="55"/>
      <c r="O102" s="55"/>
      <c r="P102" s="55"/>
      <c r="Q102" s="55"/>
      <c r="R102" s="55"/>
      <c r="S102" s="55"/>
      <c r="T102" s="55"/>
      <c r="U102" s="119">
        <f>'Plan Moyen Terme (PMT)'!C32-BAU_Liquidité_Dynamique!U101</f>
        <v>0</v>
      </c>
      <c r="V102" s="120">
        <f>IF(AND(U$1&lt;V$1, V$1&lt;=$F101),$U102*($F101-V$1)/($F101-$U$1),0)</f>
        <v>0</v>
      </c>
      <c r="W102" s="120">
        <f>IF(AND(V$1&lt;W$1, W$1&lt;=$F101),$U102*($F101-W$1)/($F101-$U$1),0)</f>
        <v>0</v>
      </c>
      <c r="X102" s="120">
        <f t="shared" ref="X102:CI102" si="129">IF(AND(W$1&lt;X$1, X$1&lt;=$F101),$U102*($F101-X$1)/($F101-$U$1),0)</f>
        <v>0</v>
      </c>
      <c r="Y102" s="120">
        <f t="shared" si="129"/>
        <v>0</v>
      </c>
      <c r="Z102" s="120">
        <f t="shared" si="129"/>
        <v>0</v>
      </c>
      <c r="AA102" s="120">
        <f t="shared" si="129"/>
        <v>0</v>
      </c>
      <c r="AB102" s="120">
        <f t="shared" si="129"/>
        <v>0</v>
      </c>
      <c r="AC102" s="120">
        <f t="shared" si="129"/>
        <v>0</v>
      </c>
      <c r="AD102" s="120">
        <f t="shared" si="129"/>
        <v>0</v>
      </c>
      <c r="AE102" s="120">
        <f t="shared" si="129"/>
        <v>0</v>
      </c>
      <c r="AF102" s="120">
        <f t="shared" si="129"/>
        <v>0</v>
      </c>
      <c r="AG102" s="120">
        <f t="shared" si="129"/>
        <v>0</v>
      </c>
      <c r="AH102" s="120">
        <f t="shared" si="129"/>
        <v>0</v>
      </c>
      <c r="AI102" s="120">
        <f t="shared" si="129"/>
        <v>0</v>
      </c>
      <c r="AJ102" s="120">
        <f t="shared" si="129"/>
        <v>0</v>
      </c>
      <c r="AK102" s="120">
        <f t="shared" si="129"/>
        <v>0</v>
      </c>
      <c r="AL102" s="120">
        <f t="shared" si="129"/>
        <v>0</v>
      </c>
      <c r="AM102" s="120">
        <f t="shared" si="129"/>
        <v>0</v>
      </c>
      <c r="AN102" s="120">
        <f t="shared" si="129"/>
        <v>0</v>
      </c>
      <c r="AO102" s="120">
        <f t="shared" si="129"/>
        <v>0</v>
      </c>
      <c r="AP102" s="120">
        <f t="shared" si="129"/>
        <v>0</v>
      </c>
      <c r="AQ102" s="120">
        <f t="shared" si="129"/>
        <v>0</v>
      </c>
      <c r="AR102" s="120">
        <f t="shared" si="129"/>
        <v>0</v>
      </c>
      <c r="AS102" s="120">
        <f t="shared" si="129"/>
        <v>0</v>
      </c>
      <c r="AT102" s="120">
        <f t="shared" si="129"/>
        <v>0</v>
      </c>
      <c r="AU102" s="120">
        <f t="shared" si="129"/>
        <v>0</v>
      </c>
      <c r="AV102" s="120">
        <f t="shared" si="129"/>
        <v>0</v>
      </c>
      <c r="AW102" s="120">
        <f t="shared" si="129"/>
        <v>0</v>
      </c>
      <c r="AX102" s="120">
        <f t="shared" si="129"/>
        <v>0</v>
      </c>
      <c r="AY102" s="120">
        <f t="shared" si="129"/>
        <v>0</v>
      </c>
      <c r="AZ102" s="120">
        <f t="shared" si="129"/>
        <v>0</v>
      </c>
      <c r="BA102" s="120">
        <f t="shared" si="129"/>
        <v>0</v>
      </c>
      <c r="BB102" s="120">
        <f t="shared" si="129"/>
        <v>0</v>
      </c>
      <c r="BC102" s="120">
        <f t="shared" si="129"/>
        <v>0</v>
      </c>
      <c r="BD102" s="120">
        <f t="shared" si="129"/>
        <v>0</v>
      </c>
      <c r="BE102" s="120">
        <f t="shared" si="129"/>
        <v>0</v>
      </c>
      <c r="BF102" s="120">
        <f t="shared" si="129"/>
        <v>0</v>
      </c>
      <c r="BG102" s="120">
        <f t="shared" si="129"/>
        <v>0</v>
      </c>
      <c r="BH102" s="120">
        <f t="shared" si="129"/>
        <v>0</v>
      </c>
      <c r="BI102" s="120">
        <f t="shared" si="129"/>
        <v>0</v>
      </c>
      <c r="BJ102" s="120">
        <f t="shared" si="129"/>
        <v>0</v>
      </c>
      <c r="BK102" s="120">
        <f t="shared" si="129"/>
        <v>0</v>
      </c>
      <c r="BL102" s="120">
        <f t="shared" si="129"/>
        <v>0</v>
      </c>
      <c r="BM102" s="120">
        <f t="shared" si="129"/>
        <v>0</v>
      </c>
      <c r="BN102" s="120">
        <f t="shared" si="129"/>
        <v>0</v>
      </c>
      <c r="BO102" s="120">
        <f t="shared" si="129"/>
        <v>0</v>
      </c>
      <c r="BP102" s="120">
        <f t="shared" si="129"/>
        <v>0</v>
      </c>
      <c r="BQ102" s="120">
        <f t="shared" si="129"/>
        <v>0</v>
      </c>
      <c r="BR102" s="120">
        <f t="shared" si="129"/>
        <v>0</v>
      </c>
      <c r="BS102" s="120">
        <f t="shared" si="129"/>
        <v>0</v>
      </c>
      <c r="BT102" s="120">
        <f t="shared" si="129"/>
        <v>0</v>
      </c>
      <c r="BU102" s="120">
        <f t="shared" si="129"/>
        <v>0</v>
      </c>
      <c r="BV102" s="120">
        <f t="shared" si="129"/>
        <v>0</v>
      </c>
      <c r="BW102" s="120">
        <f t="shared" si="129"/>
        <v>0</v>
      </c>
      <c r="BX102" s="120">
        <f t="shared" si="129"/>
        <v>0</v>
      </c>
      <c r="BY102" s="120">
        <f t="shared" si="129"/>
        <v>0</v>
      </c>
      <c r="BZ102" s="120">
        <f t="shared" si="129"/>
        <v>0</v>
      </c>
      <c r="CA102" s="120">
        <f t="shared" si="129"/>
        <v>0</v>
      </c>
      <c r="CB102" s="120">
        <f t="shared" si="129"/>
        <v>0</v>
      </c>
      <c r="CC102" s="120">
        <f t="shared" si="129"/>
        <v>0</v>
      </c>
      <c r="CD102" s="120">
        <f t="shared" si="129"/>
        <v>0</v>
      </c>
      <c r="CE102" s="120">
        <f t="shared" si="129"/>
        <v>0</v>
      </c>
      <c r="CF102" s="120">
        <f t="shared" si="129"/>
        <v>0</v>
      </c>
      <c r="CG102" s="120">
        <f t="shared" si="129"/>
        <v>0</v>
      </c>
      <c r="CH102" s="120">
        <f t="shared" si="129"/>
        <v>0</v>
      </c>
      <c r="CI102" s="120">
        <f t="shared" si="129"/>
        <v>0</v>
      </c>
      <c r="CJ102" s="120">
        <f t="shared" ref="CJ102:DY102" si="130">IF(AND(CI$1&lt;CJ$1, CJ$1&lt;=$F101),$U102*($F101-CJ$1)/($F101-$U$1),0)</f>
        <v>0</v>
      </c>
      <c r="CK102" s="120">
        <f t="shared" si="130"/>
        <v>0</v>
      </c>
      <c r="CL102" s="120">
        <f t="shared" si="130"/>
        <v>0</v>
      </c>
      <c r="CM102" s="120">
        <f t="shared" si="130"/>
        <v>0</v>
      </c>
      <c r="CN102" s="120">
        <f t="shared" si="130"/>
        <v>0</v>
      </c>
      <c r="CO102" s="120">
        <f t="shared" si="130"/>
        <v>0</v>
      </c>
      <c r="CP102" s="120">
        <f t="shared" si="130"/>
        <v>0</v>
      </c>
      <c r="CQ102" s="120">
        <f t="shared" si="130"/>
        <v>0</v>
      </c>
      <c r="CR102" s="120">
        <f t="shared" si="130"/>
        <v>0</v>
      </c>
      <c r="CS102" s="120">
        <f t="shared" si="130"/>
        <v>0</v>
      </c>
      <c r="CT102" s="120">
        <f t="shared" si="130"/>
        <v>0</v>
      </c>
      <c r="CU102" s="120">
        <f t="shared" si="130"/>
        <v>0</v>
      </c>
      <c r="CV102" s="120">
        <f t="shared" si="130"/>
        <v>0</v>
      </c>
      <c r="CW102" s="120">
        <f t="shared" si="130"/>
        <v>0</v>
      </c>
      <c r="CX102" s="120">
        <f t="shared" si="130"/>
        <v>0</v>
      </c>
      <c r="CY102" s="120">
        <f t="shared" si="130"/>
        <v>0</v>
      </c>
      <c r="CZ102" s="120">
        <f t="shared" si="130"/>
        <v>0</v>
      </c>
      <c r="DA102" s="120">
        <f t="shared" si="130"/>
        <v>0</v>
      </c>
      <c r="DB102" s="120">
        <f t="shared" si="130"/>
        <v>0</v>
      </c>
      <c r="DC102" s="120">
        <f t="shared" si="130"/>
        <v>0</v>
      </c>
      <c r="DD102" s="120">
        <f t="shared" si="130"/>
        <v>0</v>
      </c>
      <c r="DE102" s="120">
        <f t="shared" si="130"/>
        <v>0</v>
      </c>
      <c r="DF102" s="120">
        <f t="shared" si="130"/>
        <v>0</v>
      </c>
      <c r="DG102" s="120">
        <f t="shared" si="130"/>
        <v>0</v>
      </c>
      <c r="DH102" s="120">
        <f t="shared" si="130"/>
        <v>0</v>
      </c>
      <c r="DI102" s="120">
        <f t="shared" si="130"/>
        <v>0</v>
      </c>
      <c r="DJ102" s="120">
        <f t="shared" si="130"/>
        <v>0</v>
      </c>
      <c r="DK102" s="120">
        <f t="shared" si="130"/>
        <v>0</v>
      </c>
      <c r="DL102" s="120">
        <f t="shared" si="130"/>
        <v>0</v>
      </c>
      <c r="DM102" s="120">
        <f t="shared" si="130"/>
        <v>0</v>
      </c>
      <c r="DN102" s="120">
        <f t="shared" si="130"/>
        <v>0</v>
      </c>
      <c r="DO102" s="120">
        <f t="shared" si="130"/>
        <v>0</v>
      </c>
      <c r="DP102" s="120">
        <f t="shared" si="130"/>
        <v>0</v>
      </c>
      <c r="DQ102" s="120">
        <f t="shared" si="130"/>
        <v>0</v>
      </c>
      <c r="DR102" s="120">
        <f t="shared" si="130"/>
        <v>0</v>
      </c>
      <c r="DS102" s="120">
        <f t="shared" si="130"/>
        <v>0</v>
      </c>
      <c r="DT102" s="120">
        <f t="shared" si="130"/>
        <v>0</v>
      </c>
      <c r="DU102" s="120">
        <f t="shared" si="130"/>
        <v>0</v>
      </c>
      <c r="DV102" s="120">
        <f t="shared" si="130"/>
        <v>0</v>
      </c>
      <c r="DW102" s="120">
        <f t="shared" si="130"/>
        <v>0</v>
      </c>
      <c r="DX102" s="120">
        <f t="shared" si="130"/>
        <v>0</v>
      </c>
      <c r="DY102" s="120">
        <f t="shared" si="130"/>
        <v>0</v>
      </c>
    </row>
    <row r="103" spans="1:129" x14ac:dyDescent="0.45">
      <c r="A103" s="3"/>
      <c r="B103" s="2"/>
      <c r="C103" s="122" t="s">
        <v>266</v>
      </c>
      <c r="D103" s="17"/>
      <c r="E103" s="2"/>
      <c r="F103" s="2"/>
      <c r="G103" s="2"/>
      <c r="H103" s="2"/>
      <c r="I103" s="14"/>
      <c r="J103" s="55"/>
      <c r="K103" s="55"/>
      <c r="L103" s="55"/>
      <c r="M103" s="55"/>
      <c r="N103" s="55"/>
      <c r="O103" s="55"/>
      <c r="P103" s="55"/>
      <c r="Q103" s="55"/>
      <c r="R103" s="55"/>
      <c r="S103" s="55"/>
      <c r="T103" s="55"/>
      <c r="U103" s="95"/>
      <c r="V103" s="91"/>
      <c r="W103" s="91"/>
      <c r="X103" s="91"/>
      <c r="Y103" s="91"/>
      <c r="Z103" s="55"/>
      <c r="AA103" s="55"/>
      <c r="AB103" s="55"/>
      <c r="AC103" s="55"/>
      <c r="AD103" s="55"/>
      <c r="AE103" s="55"/>
      <c r="AF103" s="55"/>
      <c r="AG103" s="129">
        <f>'Plan Moyen Terme (PMT)'!D32-BAU_Liquidité_Dynamique!AG101</f>
        <v>0</v>
      </c>
      <c r="AH103" s="124">
        <f>IF(AND(AG$1&lt;AH$1, AH$1&lt;=$F101),$AG103*($F101-AH$1)/($F101-$AG$1),0)</f>
        <v>0</v>
      </c>
      <c r="AI103" s="124">
        <f>IF(AND(AH$1&lt;AI$1, AI$1&lt;=$F101),$AG103*($F101-AI$1)/($F101-$AG$1),0)</f>
        <v>0</v>
      </c>
      <c r="AJ103" s="124">
        <f t="shared" ref="AJ103:CU103" si="131">IF(AND(AI$1&lt;AJ$1, AJ$1&lt;=$F101),$AG103*($F101-AJ$1)/($F101-$AG$1),0)</f>
        <v>0</v>
      </c>
      <c r="AK103" s="124">
        <f t="shared" si="131"/>
        <v>0</v>
      </c>
      <c r="AL103" s="124">
        <f t="shared" si="131"/>
        <v>0</v>
      </c>
      <c r="AM103" s="124">
        <f t="shared" si="131"/>
        <v>0</v>
      </c>
      <c r="AN103" s="124">
        <f t="shared" si="131"/>
        <v>0</v>
      </c>
      <c r="AO103" s="124">
        <f t="shared" si="131"/>
        <v>0</v>
      </c>
      <c r="AP103" s="124">
        <f t="shared" si="131"/>
        <v>0</v>
      </c>
      <c r="AQ103" s="124">
        <f t="shared" si="131"/>
        <v>0</v>
      </c>
      <c r="AR103" s="124">
        <f t="shared" si="131"/>
        <v>0</v>
      </c>
      <c r="AS103" s="124">
        <f t="shared" si="131"/>
        <v>0</v>
      </c>
      <c r="AT103" s="124">
        <f t="shared" si="131"/>
        <v>0</v>
      </c>
      <c r="AU103" s="124">
        <f t="shared" si="131"/>
        <v>0</v>
      </c>
      <c r="AV103" s="124">
        <f t="shared" si="131"/>
        <v>0</v>
      </c>
      <c r="AW103" s="124">
        <f t="shared" si="131"/>
        <v>0</v>
      </c>
      <c r="AX103" s="124">
        <f t="shared" si="131"/>
        <v>0</v>
      </c>
      <c r="AY103" s="124">
        <f t="shared" si="131"/>
        <v>0</v>
      </c>
      <c r="AZ103" s="124">
        <f t="shared" si="131"/>
        <v>0</v>
      </c>
      <c r="BA103" s="124">
        <f t="shared" si="131"/>
        <v>0</v>
      </c>
      <c r="BB103" s="124">
        <f t="shared" si="131"/>
        <v>0</v>
      </c>
      <c r="BC103" s="124">
        <f t="shared" si="131"/>
        <v>0</v>
      </c>
      <c r="BD103" s="124">
        <f t="shared" si="131"/>
        <v>0</v>
      </c>
      <c r="BE103" s="124">
        <f t="shared" si="131"/>
        <v>0</v>
      </c>
      <c r="BF103" s="124">
        <f t="shared" si="131"/>
        <v>0</v>
      </c>
      <c r="BG103" s="124">
        <f t="shared" si="131"/>
        <v>0</v>
      </c>
      <c r="BH103" s="124">
        <f t="shared" si="131"/>
        <v>0</v>
      </c>
      <c r="BI103" s="124">
        <f t="shared" si="131"/>
        <v>0</v>
      </c>
      <c r="BJ103" s="124">
        <f t="shared" si="131"/>
        <v>0</v>
      </c>
      <c r="BK103" s="124">
        <f t="shared" si="131"/>
        <v>0</v>
      </c>
      <c r="BL103" s="124">
        <f t="shared" si="131"/>
        <v>0</v>
      </c>
      <c r="BM103" s="124">
        <f t="shared" si="131"/>
        <v>0</v>
      </c>
      <c r="BN103" s="124">
        <f t="shared" si="131"/>
        <v>0</v>
      </c>
      <c r="BO103" s="124">
        <f t="shared" si="131"/>
        <v>0</v>
      </c>
      <c r="BP103" s="124">
        <f t="shared" si="131"/>
        <v>0</v>
      </c>
      <c r="BQ103" s="124">
        <f t="shared" si="131"/>
        <v>0</v>
      </c>
      <c r="BR103" s="124">
        <f t="shared" si="131"/>
        <v>0</v>
      </c>
      <c r="BS103" s="124">
        <f t="shared" si="131"/>
        <v>0</v>
      </c>
      <c r="BT103" s="124">
        <f t="shared" si="131"/>
        <v>0</v>
      </c>
      <c r="BU103" s="124">
        <f t="shared" si="131"/>
        <v>0</v>
      </c>
      <c r="BV103" s="124">
        <f t="shared" si="131"/>
        <v>0</v>
      </c>
      <c r="BW103" s="124">
        <f t="shared" si="131"/>
        <v>0</v>
      </c>
      <c r="BX103" s="124">
        <f t="shared" si="131"/>
        <v>0</v>
      </c>
      <c r="BY103" s="124">
        <f t="shared" si="131"/>
        <v>0</v>
      </c>
      <c r="BZ103" s="124">
        <f t="shared" si="131"/>
        <v>0</v>
      </c>
      <c r="CA103" s="124">
        <f t="shared" si="131"/>
        <v>0</v>
      </c>
      <c r="CB103" s="124">
        <f t="shared" si="131"/>
        <v>0</v>
      </c>
      <c r="CC103" s="124">
        <f t="shared" si="131"/>
        <v>0</v>
      </c>
      <c r="CD103" s="124">
        <f t="shared" si="131"/>
        <v>0</v>
      </c>
      <c r="CE103" s="124">
        <f t="shared" si="131"/>
        <v>0</v>
      </c>
      <c r="CF103" s="124">
        <f t="shared" si="131"/>
        <v>0</v>
      </c>
      <c r="CG103" s="124">
        <f t="shared" si="131"/>
        <v>0</v>
      </c>
      <c r="CH103" s="124">
        <f t="shared" si="131"/>
        <v>0</v>
      </c>
      <c r="CI103" s="124">
        <f t="shared" si="131"/>
        <v>0</v>
      </c>
      <c r="CJ103" s="124">
        <f t="shared" si="131"/>
        <v>0</v>
      </c>
      <c r="CK103" s="124">
        <f t="shared" si="131"/>
        <v>0</v>
      </c>
      <c r="CL103" s="124">
        <f t="shared" si="131"/>
        <v>0</v>
      </c>
      <c r="CM103" s="124">
        <f t="shared" si="131"/>
        <v>0</v>
      </c>
      <c r="CN103" s="124">
        <f t="shared" si="131"/>
        <v>0</v>
      </c>
      <c r="CO103" s="124">
        <f t="shared" si="131"/>
        <v>0</v>
      </c>
      <c r="CP103" s="124">
        <f t="shared" si="131"/>
        <v>0</v>
      </c>
      <c r="CQ103" s="124">
        <f t="shared" si="131"/>
        <v>0</v>
      </c>
      <c r="CR103" s="124">
        <f t="shared" si="131"/>
        <v>0</v>
      </c>
      <c r="CS103" s="124">
        <f t="shared" si="131"/>
        <v>0</v>
      </c>
      <c r="CT103" s="124">
        <f t="shared" si="131"/>
        <v>0</v>
      </c>
      <c r="CU103" s="124">
        <f t="shared" si="131"/>
        <v>0</v>
      </c>
      <c r="CV103" s="124">
        <f t="shared" ref="CV103:DY103" si="132">IF(AND(CU$1&lt;CV$1, CV$1&lt;=$F101),$AG103*($F101-CV$1)/($F101-$AG$1),0)</f>
        <v>0</v>
      </c>
      <c r="CW103" s="124">
        <f t="shared" si="132"/>
        <v>0</v>
      </c>
      <c r="CX103" s="124">
        <f t="shared" si="132"/>
        <v>0</v>
      </c>
      <c r="CY103" s="124">
        <f t="shared" si="132"/>
        <v>0</v>
      </c>
      <c r="CZ103" s="124">
        <f t="shared" si="132"/>
        <v>0</v>
      </c>
      <c r="DA103" s="124">
        <f t="shared" si="132"/>
        <v>0</v>
      </c>
      <c r="DB103" s="124">
        <f t="shared" si="132"/>
        <v>0</v>
      </c>
      <c r="DC103" s="124">
        <f t="shared" si="132"/>
        <v>0</v>
      </c>
      <c r="DD103" s="124">
        <f t="shared" si="132"/>
        <v>0</v>
      </c>
      <c r="DE103" s="124">
        <f t="shared" si="132"/>
        <v>0</v>
      </c>
      <c r="DF103" s="124">
        <f t="shared" si="132"/>
        <v>0</v>
      </c>
      <c r="DG103" s="124">
        <f t="shared" si="132"/>
        <v>0</v>
      </c>
      <c r="DH103" s="124">
        <f t="shared" si="132"/>
        <v>0</v>
      </c>
      <c r="DI103" s="124">
        <f t="shared" si="132"/>
        <v>0</v>
      </c>
      <c r="DJ103" s="124">
        <f t="shared" si="132"/>
        <v>0</v>
      </c>
      <c r="DK103" s="124">
        <f t="shared" si="132"/>
        <v>0</v>
      </c>
      <c r="DL103" s="124">
        <f t="shared" si="132"/>
        <v>0</v>
      </c>
      <c r="DM103" s="124">
        <f t="shared" si="132"/>
        <v>0</v>
      </c>
      <c r="DN103" s="124">
        <f t="shared" si="132"/>
        <v>0</v>
      </c>
      <c r="DO103" s="124">
        <f t="shared" si="132"/>
        <v>0</v>
      </c>
      <c r="DP103" s="124">
        <f t="shared" si="132"/>
        <v>0</v>
      </c>
      <c r="DQ103" s="124">
        <f t="shared" si="132"/>
        <v>0</v>
      </c>
      <c r="DR103" s="124">
        <f t="shared" si="132"/>
        <v>0</v>
      </c>
      <c r="DS103" s="124">
        <f t="shared" si="132"/>
        <v>0</v>
      </c>
      <c r="DT103" s="124">
        <f t="shared" si="132"/>
        <v>0</v>
      </c>
      <c r="DU103" s="124">
        <f t="shared" si="132"/>
        <v>0</v>
      </c>
      <c r="DV103" s="124">
        <f t="shared" si="132"/>
        <v>0</v>
      </c>
      <c r="DW103" s="124">
        <f t="shared" si="132"/>
        <v>0</v>
      </c>
      <c r="DX103" s="124">
        <f t="shared" si="132"/>
        <v>0</v>
      </c>
      <c r="DY103" s="124">
        <f t="shared" si="132"/>
        <v>0</v>
      </c>
    </row>
    <row r="104" spans="1:129" x14ac:dyDescent="0.45">
      <c r="A104" s="3"/>
      <c r="B104" s="2"/>
      <c r="C104" s="125" t="s">
        <v>267</v>
      </c>
      <c r="D104" s="17"/>
      <c r="E104" s="2"/>
      <c r="F104" s="2"/>
      <c r="G104" s="2"/>
      <c r="H104" s="2"/>
      <c r="I104" s="14"/>
      <c r="J104" s="55"/>
      <c r="K104" s="55"/>
      <c r="L104" s="55"/>
      <c r="M104" s="55"/>
      <c r="N104" s="55"/>
      <c r="O104" s="55"/>
      <c r="P104" s="55"/>
      <c r="Q104" s="55"/>
      <c r="R104" s="55"/>
      <c r="S104" s="55"/>
      <c r="T104" s="55"/>
      <c r="U104" s="96"/>
      <c r="V104" s="55"/>
      <c r="W104" s="55"/>
      <c r="X104" s="55"/>
      <c r="Y104" s="55"/>
      <c r="Z104" s="55"/>
      <c r="AA104" s="55"/>
      <c r="AB104" s="55"/>
      <c r="AC104" s="55"/>
      <c r="AD104" s="55"/>
      <c r="AE104" s="55"/>
      <c r="AF104" s="55"/>
      <c r="AG104" s="102"/>
      <c r="AH104" s="91"/>
      <c r="AI104" s="91"/>
      <c r="AJ104" s="91"/>
      <c r="AK104" s="55"/>
      <c r="AL104" s="55"/>
      <c r="AM104" s="55"/>
      <c r="AN104" s="55"/>
      <c r="AO104" s="55"/>
      <c r="AP104" s="55"/>
      <c r="AQ104" s="55"/>
      <c r="AR104" s="55"/>
      <c r="AS104" s="130">
        <f>'Plan Moyen Terme (PMT)'!E32-BAU_Liquidité_Dynamique!AS101</f>
        <v>2979</v>
      </c>
      <c r="AT104" s="126">
        <f>IF(AND(AS$1&lt;AT$1, AT$1&lt;=$F101),$AS104*($F101-AT$1)/($F101-$AS$1),0)</f>
        <v>2943.5357142857142</v>
      </c>
      <c r="AU104" s="126">
        <f t="shared" ref="AU104:DF104" si="133">IF(AND(AT$1&lt;AU$1, AU$1&lt;=$F101),$AS104*($F101-AU$1)/($F101-$AS$1),0)</f>
        <v>2908.0714285714284</v>
      </c>
      <c r="AV104" s="126">
        <f t="shared" si="133"/>
        <v>2872.6071428571427</v>
      </c>
      <c r="AW104" s="126">
        <f t="shared" si="133"/>
        <v>2837.1428571428573</v>
      </c>
      <c r="AX104" s="126">
        <f t="shared" si="133"/>
        <v>2801.6785714285716</v>
      </c>
      <c r="AY104" s="126">
        <f t="shared" si="133"/>
        <v>2766.2142857142858</v>
      </c>
      <c r="AZ104" s="126">
        <f t="shared" si="133"/>
        <v>2730.75</v>
      </c>
      <c r="BA104" s="126">
        <f t="shared" si="133"/>
        <v>2695.2857142857142</v>
      </c>
      <c r="BB104" s="126">
        <f t="shared" si="133"/>
        <v>2659.8214285714284</v>
      </c>
      <c r="BC104" s="126">
        <f t="shared" si="133"/>
        <v>2624.3571428571427</v>
      </c>
      <c r="BD104" s="126">
        <f t="shared" si="133"/>
        <v>2588.8928571428573</v>
      </c>
      <c r="BE104" s="126">
        <f t="shared" si="133"/>
        <v>2553.4285714285716</v>
      </c>
      <c r="BF104" s="126">
        <f t="shared" si="133"/>
        <v>2517.9642857142858</v>
      </c>
      <c r="BG104" s="126">
        <f t="shared" si="133"/>
        <v>2482.5</v>
      </c>
      <c r="BH104" s="126">
        <f t="shared" si="133"/>
        <v>2447.0357142857142</v>
      </c>
      <c r="BI104" s="126">
        <f t="shared" si="133"/>
        <v>2411.5714285714284</v>
      </c>
      <c r="BJ104" s="126">
        <f t="shared" si="133"/>
        <v>2376.1071428571427</v>
      </c>
      <c r="BK104" s="126">
        <f t="shared" si="133"/>
        <v>2340.6428571428573</v>
      </c>
      <c r="BL104" s="126">
        <f t="shared" si="133"/>
        <v>2305.1785714285716</v>
      </c>
      <c r="BM104" s="126">
        <f t="shared" si="133"/>
        <v>2269.7142857142858</v>
      </c>
      <c r="BN104" s="126">
        <f t="shared" si="133"/>
        <v>2234.25</v>
      </c>
      <c r="BO104" s="126">
        <f t="shared" si="133"/>
        <v>2198.7857142857142</v>
      </c>
      <c r="BP104" s="126">
        <f t="shared" si="133"/>
        <v>2163.3214285714284</v>
      </c>
      <c r="BQ104" s="126">
        <f t="shared" si="133"/>
        <v>2127.8571428571427</v>
      </c>
      <c r="BR104" s="126">
        <f t="shared" si="133"/>
        <v>2092.3928571428573</v>
      </c>
      <c r="BS104" s="126">
        <f t="shared" si="133"/>
        <v>2056.9285714285716</v>
      </c>
      <c r="BT104" s="126">
        <f t="shared" si="133"/>
        <v>2021.4642857142858</v>
      </c>
      <c r="BU104" s="126">
        <f t="shared" si="133"/>
        <v>1986</v>
      </c>
      <c r="BV104" s="126">
        <f t="shared" si="133"/>
        <v>1950.5357142857142</v>
      </c>
      <c r="BW104" s="126">
        <f t="shared" si="133"/>
        <v>1915.0714285714287</v>
      </c>
      <c r="BX104" s="126">
        <f t="shared" si="133"/>
        <v>1879.6071428571429</v>
      </c>
      <c r="BY104" s="126">
        <f t="shared" si="133"/>
        <v>1844.1428571428571</v>
      </c>
      <c r="BZ104" s="126">
        <f t="shared" si="133"/>
        <v>1808.6785714285713</v>
      </c>
      <c r="CA104" s="126">
        <f t="shared" si="133"/>
        <v>1773.2142857142858</v>
      </c>
      <c r="CB104" s="126">
        <f t="shared" si="133"/>
        <v>1737.75</v>
      </c>
      <c r="CC104" s="126">
        <f t="shared" si="133"/>
        <v>1702.2857142857142</v>
      </c>
      <c r="CD104" s="126">
        <f t="shared" si="133"/>
        <v>1666.8214285714287</v>
      </c>
      <c r="CE104" s="126">
        <f t="shared" si="133"/>
        <v>1631.3571428571429</v>
      </c>
      <c r="CF104" s="126">
        <f t="shared" si="133"/>
        <v>1595.8928571428571</v>
      </c>
      <c r="CG104" s="126">
        <f t="shared" si="133"/>
        <v>1560.4285714285713</v>
      </c>
      <c r="CH104" s="126">
        <f t="shared" si="133"/>
        <v>1524.9642857142858</v>
      </c>
      <c r="CI104" s="126">
        <f t="shared" si="133"/>
        <v>1489.5</v>
      </c>
      <c r="CJ104" s="126">
        <f t="shared" si="133"/>
        <v>1454.0357142857142</v>
      </c>
      <c r="CK104" s="126">
        <f t="shared" si="133"/>
        <v>1418.5714285714287</v>
      </c>
      <c r="CL104" s="126">
        <f t="shared" si="133"/>
        <v>1383.1071428571429</v>
      </c>
      <c r="CM104" s="126">
        <f t="shared" si="133"/>
        <v>1347.6428571428571</v>
      </c>
      <c r="CN104" s="126">
        <f t="shared" si="133"/>
        <v>1312.1785714285713</v>
      </c>
      <c r="CO104" s="126">
        <f t="shared" si="133"/>
        <v>1276.7142857142858</v>
      </c>
      <c r="CP104" s="126">
        <f t="shared" si="133"/>
        <v>1241.25</v>
      </c>
      <c r="CQ104" s="126">
        <f t="shared" si="133"/>
        <v>1205.7857142857142</v>
      </c>
      <c r="CR104" s="126">
        <f t="shared" si="133"/>
        <v>1170.3214285714287</v>
      </c>
      <c r="CS104" s="126">
        <f t="shared" si="133"/>
        <v>1134.8571428571429</v>
      </c>
      <c r="CT104" s="126">
        <f t="shared" si="133"/>
        <v>1099.3928571428571</v>
      </c>
      <c r="CU104" s="126">
        <f t="shared" si="133"/>
        <v>1063.9285714285713</v>
      </c>
      <c r="CV104" s="126">
        <f t="shared" si="133"/>
        <v>1028.4642857142858</v>
      </c>
      <c r="CW104" s="126">
        <f t="shared" si="133"/>
        <v>993</v>
      </c>
      <c r="CX104" s="126">
        <f t="shared" si="133"/>
        <v>957.53571428571433</v>
      </c>
      <c r="CY104" s="126">
        <f t="shared" si="133"/>
        <v>922.07142857142856</v>
      </c>
      <c r="CZ104" s="126">
        <f t="shared" si="133"/>
        <v>886.60714285714289</v>
      </c>
      <c r="DA104" s="126">
        <f t="shared" si="133"/>
        <v>851.14285714285711</v>
      </c>
      <c r="DB104" s="126">
        <f t="shared" si="133"/>
        <v>815.67857142857144</v>
      </c>
      <c r="DC104" s="126">
        <f t="shared" si="133"/>
        <v>780.21428571428567</v>
      </c>
      <c r="DD104" s="126">
        <f t="shared" si="133"/>
        <v>744.75</v>
      </c>
      <c r="DE104" s="126">
        <f t="shared" si="133"/>
        <v>709.28571428571433</v>
      </c>
      <c r="DF104" s="126">
        <f t="shared" si="133"/>
        <v>673.82142857142856</v>
      </c>
      <c r="DG104" s="126">
        <f t="shared" ref="DG104:DY104" si="134">IF(AND(DF$1&lt;DG$1, DG$1&lt;=$F101),$AS104*($F101-DG$1)/($F101-$AS$1),0)</f>
        <v>638.35714285714289</v>
      </c>
      <c r="DH104" s="126">
        <f t="shared" si="134"/>
        <v>602.89285714285711</v>
      </c>
      <c r="DI104" s="126">
        <f t="shared" si="134"/>
        <v>567.42857142857144</v>
      </c>
      <c r="DJ104" s="126">
        <f t="shared" si="134"/>
        <v>531.96428571428567</v>
      </c>
      <c r="DK104" s="126">
        <f t="shared" si="134"/>
        <v>496.5</v>
      </c>
      <c r="DL104" s="126">
        <f t="shared" si="134"/>
        <v>461.03571428571428</v>
      </c>
      <c r="DM104" s="126">
        <f t="shared" si="134"/>
        <v>425.57142857142856</v>
      </c>
      <c r="DN104" s="126">
        <f t="shared" si="134"/>
        <v>390.10714285714283</v>
      </c>
      <c r="DO104" s="126">
        <f t="shared" si="134"/>
        <v>354.64285714285717</v>
      </c>
      <c r="DP104" s="126">
        <f t="shared" si="134"/>
        <v>319.17857142857144</v>
      </c>
      <c r="DQ104" s="126">
        <f t="shared" si="134"/>
        <v>283.71428571428572</v>
      </c>
      <c r="DR104" s="126">
        <f t="shared" si="134"/>
        <v>248.25</v>
      </c>
      <c r="DS104" s="126">
        <f t="shared" si="134"/>
        <v>212.78571428571428</v>
      </c>
      <c r="DT104" s="126">
        <f t="shared" si="134"/>
        <v>177.32142857142858</v>
      </c>
      <c r="DU104" s="126">
        <f t="shared" si="134"/>
        <v>141.85714285714286</v>
      </c>
      <c r="DV104" s="126">
        <f t="shared" si="134"/>
        <v>106.39285714285714</v>
      </c>
      <c r="DW104" s="126">
        <f t="shared" si="134"/>
        <v>70.928571428571431</v>
      </c>
      <c r="DX104" s="126">
        <f t="shared" si="134"/>
        <v>35.464285714285715</v>
      </c>
      <c r="DY104" s="126">
        <f t="shared" si="134"/>
        <v>0</v>
      </c>
    </row>
    <row r="105" spans="1:129" x14ac:dyDescent="0.45">
      <c r="A105" s="3">
        <v>46022</v>
      </c>
      <c r="B105" s="2" t="s">
        <v>19</v>
      </c>
      <c r="C105" s="6" t="s">
        <v>30</v>
      </c>
      <c r="D105" s="17">
        <v>0</v>
      </c>
      <c r="E105" s="2" t="s">
        <v>43</v>
      </c>
      <c r="F105" s="2">
        <v>120</v>
      </c>
      <c r="G105" s="2" t="s">
        <v>43</v>
      </c>
      <c r="H105" s="2">
        <v>120</v>
      </c>
      <c r="I105" s="14">
        <v>0</v>
      </c>
      <c r="J105" s="55">
        <f t="shared" si="94"/>
        <v>0</v>
      </c>
      <c r="K105" s="55">
        <f t="shared" si="94"/>
        <v>0</v>
      </c>
      <c r="L105" s="55">
        <f t="shared" si="94"/>
        <v>0</v>
      </c>
      <c r="M105" s="55">
        <f t="shared" si="94"/>
        <v>0</v>
      </c>
      <c r="N105" s="55">
        <f t="shared" si="94"/>
        <v>0</v>
      </c>
      <c r="O105" s="55">
        <f t="shared" si="94"/>
        <v>0</v>
      </c>
      <c r="P105" s="55">
        <f t="shared" si="94"/>
        <v>0</v>
      </c>
      <c r="Q105" s="55">
        <f t="shared" si="94"/>
        <v>0</v>
      </c>
      <c r="R105" s="55">
        <f t="shared" si="94"/>
        <v>0</v>
      </c>
      <c r="S105" s="55">
        <f t="shared" si="94"/>
        <v>0</v>
      </c>
      <c r="T105" s="55">
        <f t="shared" si="94"/>
        <v>0</v>
      </c>
      <c r="U105" s="96">
        <f t="shared" si="94"/>
        <v>0</v>
      </c>
      <c r="V105" s="55">
        <f t="shared" si="94"/>
        <v>0</v>
      </c>
      <c r="W105" s="55">
        <f t="shared" si="94"/>
        <v>0</v>
      </c>
      <c r="X105" s="55">
        <f t="shared" si="94"/>
        <v>0</v>
      </c>
      <c r="Y105" s="55">
        <f t="shared" si="94"/>
        <v>0</v>
      </c>
      <c r="Z105" s="55">
        <f t="shared" si="122"/>
        <v>0</v>
      </c>
      <c r="AA105" s="55">
        <f t="shared" si="122"/>
        <v>0</v>
      </c>
      <c r="AB105" s="55">
        <f t="shared" si="122"/>
        <v>0</v>
      </c>
      <c r="AC105" s="55">
        <f t="shared" si="122"/>
        <v>0</v>
      </c>
      <c r="AD105" s="55">
        <f t="shared" si="122"/>
        <v>0</v>
      </c>
      <c r="AE105" s="55">
        <f t="shared" si="122"/>
        <v>0</v>
      </c>
      <c r="AF105" s="55">
        <f t="shared" si="122"/>
        <v>0</v>
      </c>
      <c r="AG105" s="102">
        <f t="shared" si="122"/>
        <v>0</v>
      </c>
      <c r="AH105" s="55">
        <f t="shared" si="122"/>
        <v>0</v>
      </c>
      <c r="AI105" s="55">
        <f t="shared" si="122"/>
        <v>0</v>
      </c>
      <c r="AJ105" s="55">
        <f t="shared" si="122"/>
        <v>0</v>
      </c>
      <c r="AK105" s="55">
        <f t="shared" si="122"/>
        <v>0</v>
      </c>
      <c r="AL105" s="55">
        <f t="shared" si="122"/>
        <v>0</v>
      </c>
      <c r="AM105" s="55">
        <f t="shared" si="122"/>
        <v>0</v>
      </c>
      <c r="AN105" s="55">
        <f t="shared" si="122"/>
        <v>0</v>
      </c>
      <c r="AO105" s="55">
        <f t="shared" si="122"/>
        <v>0</v>
      </c>
      <c r="AP105" s="55">
        <f t="shared" si="122"/>
        <v>0</v>
      </c>
      <c r="AQ105" s="55">
        <f t="shared" si="122"/>
        <v>0</v>
      </c>
      <c r="AR105" s="55">
        <f t="shared" si="122"/>
        <v>0</v>
      </c>
      <c r="AS105" s="108">
        <f t="shared" si="122"/>
        <v>0</v>
      </c>
      <c r="AT105" s="55">
        <f t="shared" si="122"/>
        <v>0</v>
      </c>
      <c r="AU105" s="55">
        <f t="shared" si="122"/>
        <v>0</v>
      </c>
      <c r="AV105" s="55">
        <f t="shared" si="122"/>
        <v>0</v>
      </c>
      <c r="AW105" s="55">
        <f t="shared" si="122"/>
        <v>0</v>
      </c>
      <c r="AX105" s="55">
        <f t="shared" si="122"/>
        <v>0</v>
      </c>
      <c r="AY105" s="55">
        <f t="shared" si="122"/>
        <v>0</v>
      </c>
      <c r="AZ105" s="55">
        <f t="shared" si="122"/>
        <v>0</v>
      </c>
      <c r="BA105" s="55">
        <f t="shared" si="122"/>
        <v>0</v>
      </c>
      <c r="BB105" s="55">
        <f t="shared" si="122"/>
        <v>0</v>
      </c>
      <c r="BC105" s="55">
        <f t="shared" si="122"/>
        <v>0</v>
      </c>
      <c r="BD105" s="55">
        <f t="shared" si="122"/>
        <v>0</v>
      </c>
      <c r="BE105" s="55">
        <f t="shared" si="122"/>
        <v>0</v>
      </c>
      <c r="BF105" s="55">
        <f t="shared" si="122"/>
        <v>0</v>
      </c>
      <c r="BG105" s="55">
        <f t="shared" si="122"/>
        <v>0</v>
      </c>
      <c r="BH105" s="55">
        <f t="shared" si="122"/>
        <v>0</v>
      </c>
      <c r="BI105" s="55">
        <f t="shared" si="122"/>
        <v>0</v>
      </c>
      <c r="BJ105" s="55">
        <f t="shared" si="122"/>
        <v>0</v>
      </c>
      <c r="BK105" s="55">
        <f t="shared" si="122"/>
        <v>0</v>
      </c>
      <c r="BL105" s="55">
        <f t="shared" si="122"/>
        <v>0</v>
      </c>
      <c r="BM105" s="55">
        <f t="shared" si="122"/>
        <v>0</v>
      </c>
      <c r="BN105" s="55">
        <f t="shared" si="122"/>
        <v>0</v>
      </c>
      <c r="BO105" s="55">
        <f t="shared" si="122"/>
        <v>0</v>
      </c>
      <c r="BP105" s="55">
        <f t="shared" si="122"/>
        <v>0</v>
      </c>
      <c r="BQ105" s="55">
        <f t="shared" si="122"/>
        <v>0</v>
      </c>
      <c r="BR105" s="55">
        <f t="shared" si="122"/>
        <v>0</v>
      </c>
      <c r="BS105" s="55">
        <f t="shared" si="122"/>
        <v>0</v>
      </c>
      <c r="BT105" s="55">
        <f t="shared" si="122"/>
        <v>0</v>
      </c>
      <c r="BU105" s="55">
        <f t="shared" si="122"/>
        <v>0</v>
      </c>
      <c r="BV105" s="55">
        <f t="shared" si="122"/>
        <v>0</v>
      </c>
      <c r="BW105" s="55">
        <f t="shared" si="122"/>
        <v>0</v>
      </c>
      <c r="BX105" s="55">
        <f t="shared" si="122"/>
        <v>0</v>
      </c>
      <c r="BY105" s="55">
        <f t="shared" si="122"/>
        <v>0</v>
      </c>
      <c r="BZ105" s="55">
        <f t="shared" si="122"/>
        <v>0</v>
      </c>
      <c r="CA105" s="55">
        <f t="shared" si="122"/>
        <v>0</v>
      </c>
      <c r="CB105" s="55">
        <f t="shared" si="122"/>
        <v>0</v>
      </c>
      <c r="CC105" s="55">
        <f t="shared" si="122"/>
        <v>0</v>
      </c>
      <c r="CD105" s="55">
        <f t="shared" si="122"/>
        <v>0</v>
      </c>
      <c r="CE105" s="55">
        <f t="shared" si="122"/>
        <v>0</v>
      </c>
      <c r="CF105" s="55">
        <f t="shared" si="122"/>
        <v>0</v>
      </c>
      <c r="CG105" s="55">
        <f t="shared" si="122"/>
        <v>0</v>
      </c>
      <c r="CH105" s="55">
        <f t="shared" si="122"/>
        <v>0</v>
      </c>
      <c r="CI105" s="55">
        <f t="shared" si="122"/>
        <v>0</v>
      </c>
      <c r="CJ105" s="55">
        <f t="shared" si="122"/>
        <v>0</v>
      </c>
      <c r="CK105" s="55">
        <f t="shared" si="122"/>
        <v>0</v>
      </c>
      <c r="CL105" s="55">
        <f t="shared" si="96"/>
        <v>0</v>
      </c>
      <c r="CM105" s="55">
        <f t="shared" si="96"/>
        <v>0</v>
      </c>
      <c r="CN105" s="55">
        <f t="shared" si="96"/>
        <v>0</v>
      </c>
      <c r="CO105" s="55">
        <f t="shared" si="96"/>
        <v>0</v>
      </c>
      <c r="CP105" s="55">
        <f t="shared" si="96"/>
        <v>0</v>
      </c>
      <c r="CQ105" s="55">
        <f t="shared" si="96"/>
        <v>0</v>
      </c>
      <c r="CR105" s="55">
        <f t="shared" si="96"/>
        <v>0</v>
      </c>
      <c r="CS105" s="55">
        <f t="shared" si="96"/>
        <v>0</v>
      </c>
      <c r="CT105" s="55">
        <f t="shared" si="96"/>
        <v>0</v>
      </c>
      <c r="CU105" s="55">
        <f t="shared" si="96"/>
        <v>0</v>
      </c>
      <c r="CV105" s="55">
        <f t="shared" si="96"/>
        <v>0</v>
      </c>
      <c r="CW105" s="55">
        <f t="shared" si="96"/>
        <v>0</v>
      </c>
      <c r="CX105" s="55">
        <f t="shared" si="96"/>
        <v>0</v>
      </c>
      <c r="CY105" s="55">
        <f t="shared" si="96"/>
        <v>0</v>
      </c>
      <c r="CZ105" s="55">
        <f t="shared" si="96"/>
        <v>0</v>
      </c>
      <c r="DA105" s="55">
        <f t="shared" ref="DA105:DY105" si="135">IF(DA$1&lt;$F105,$I105*(($F105-DA$1)/$F105),0)</f>
        <v>0</v>
      </c>
      <c r="DB105" s="55">
        <f t="shared" si="135"/>
        <v>0</v>
      </c>
      <c r="DC105" s="55">
        <f t="shared" si="135"/>
        <v>0</v>
      </c>
      <c r="DD105" s="55">
        <f t="shared" si="135"/>
        <v>0</v>
      </c>
      <c r="DE105" s="55">
        <f t="shared" si="135"/>
        <v>0</v>
      </c>
      <c r="DF105" s="55">
        <f t="shared" si="135"/>
        <v>0</v>
      </c>
      <c r="DG105" s="55">
        <f t="shared" si="135"/>
        <v>0</v>
      </c>
      <c r="DH105" s="55">
        <f t="shared" si="135"/>
        <v>0</v>
      </c>
      <c r="DI105" s="55">
        <f t="shared" si="135"/>
        <v>0</v>
      </c>
      <c r="DJ105" s="55">
        <f t="shared" si="135"/>
        <v>0</v>
      </c>
      <c r="DK105" s="55">
        <f t="shared" si="135"/>
        <v>0</v>
      </c>
      <c r="DL105" s="55">
        <f t="shared" si="135"/>
        <v>0</v>
      </c>
      <c r="DM105" s="55">
        <f t="shared" si="135"/>
        <v>0</v>
      </c>
      <c r="DN105" s="55">
        <f t="shared" si="135"/>
        <v>0</v>
      </c>
      <c r="DO105" s="55">
        <f t="shared" si="135"/>
        <v>0</v>
      </c>
      <c r="DP105" s="55">
        <f t="shared" si="135"/>
        <v>0</v>
      </c>
      <c r="DQ105" s="55">
        <f t="shared" si="135"/>
        <v>0</v>
      </c>
      <c r="DR105" s="55">
        <f t="shared" si="135"/>
        <v>0</v>
      </c>
      <c r="DS105" s="55">
        <f t="shared" si="135"/>
        <v>0</v>
      </c>
      <c r="DT105" s="55">
        <f t="shared" si="135"/>
        <v>0</v>
      </c>
      <c r="DU105" s="55">
        <f t="shared" si="135"/>
        <v>0</v>
      </c>
      <c r="DV105" s="55">
        <f t="shared" si="135"/>
        <v>0</v>
      </c>
      <c r="DW105" s="55">
        <f t="shared" si="135"/>
        <v>0</v>
      </c>
      <c r="DX105" s="55">
        <f t="shared" si="135"/>
        <v>0</v>
      </c>
      <c r="DY105" s="55">
        <f t="shared" si="135"/>
        <v>0</v>
      </c>
    </row>
    <row r="106" spans="1:129" x14ac:dyDescent="0.45">
      <c r="A106" s="3"/>
      <c r="B106" s="2"/>
      <c r="C106" s="121" t="s">
        <v>265</v>
      </c>
      <c r="D106" s="17"/>
      <c r="E106" s="2"/>
      <c r="F106" s="2"/>
      <c r="G106" s="2"/>
      <c r="H106" s="2"/>
      <c r="I106" s="14"/>
      <c r="J106" s="55"/>
      <c r="K106" s="55"/>
      <c r="L106" s="55"/>
      <c r="M106" s="55"/>
      <c r="N106" s="55"/>
      <c r="O106" s="55"/>
      <c r="P106" s="55"/>
      <c r="Q106" s="55"/>
      <c r="R106" s="55"/>
      <c r="S106" s="55"/>
      <c r="T106" s="55"/>
      <c r="U106" s="96"/>
      <c r="V106" s="55"/>
      <c r="W106" s="55"/>
      <c r="X106" s="55"/>
      <c r="Y106" s="55"/>
      <c r="Z106" s="55"/>
      <c r="AA106" s="55"/>
      <c r="AB106" s="55"/>
      <c r="AC106" s="55"/>
      <c r="AD106" s="55"/>
      <c r="AE106" s="55"/>
      <c r="AF106" s="55"/>
      <c r="AG106" s="102"/>
      <c r="AH106" s="55"/>
      <c r="AI106" s="55"/>
      <c r="AJ106" s="55"/>
      <c r="AK106" s="55"/>
      <c r="AL106" s="55"/>
      <c r="AM106" s="55"/>
      <c r="AN106" s="55"/>
      <c r="AO106" s="55"/>
      <c r="AP106" s="55"/>
      <c r="AQ106" s="55"/>
      <c r="AR106" s="55"/>
      <c r="AS106" s="108"/>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row>
    <row r="107" spans="1:129" x14ac:dyDescent="0.45">
      <c r="A107" s="3"/>
      <c r="B107" s="2"/>
      <c r="C107" s="122" t="s">
        <v>266</v>
      </c>
      <c r="D107" s="17"/>
      <c r="E107" s="2"/>
      <c r="F107" s="2"/>
      <c r="G107" s="2"/>
      <c r="H107" s="2"/>
      <c r="I107" s="14"/>
      <c r="J107" s="55"/>
      <c r="K107" s="55"/>
      <c r="L107" s="55"/>
      <c r="M107" s="55"/>
      <c r="N107" s="55"/>
      <c r="O107" s="55"/>
      <c r="P107" s="55"/>
      <c r="Q107" s="55"/>
      <c r="R107" s="55"/>
      <c r="S107" s="55"/>
      <c r="T107" s="55"/>
      <c r="U107" s="96"/>
      <c r="V107" s="55"/>
      <c r="W107" s="55"/>
      <c r="X107" s="55"/>
      <c r="Y107" s="55"/>
      <c r="Z107" s="55"/>
      <c r="AA107" s="55"/>
      <c r="AB107" s="55"/>
      <c r="AC107" s="55"/>
      <c r="AD107" s="55"/>
      <c r="AE107" s="55"/>
      <c r="AF107" s="55"/>
      <c r="AG107" s="102"/>
      <c r="AH107" s="55"/>
      <c r="AI107" s="55"/>
      <c r="AJ107" s="55"/>
      <c r="AK107" s="55"/>
      <c r="AL107" s="55"/>
      <c r="AM107" s="55"/>
      <c r="AN107" s="55"/>
      <c r="AO107" s="55"/>
      <c r="AP107" s="55"/>
      <c r="AQ107" s="55"/>
      <c r="AR107" s="55"/>
      <c r="AS107" s="108"/>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row>
    <row r="108" spans="1:129" x14ac:dyDescent="0.45">
      <c r="A108" s="3"/>
      <c r="B108" s="2"/>
      <c r="C108" s="125" t="s">
        <v>267</v>
      </c>
      <c r="D108" s="17"/>
      <c r="E108" s="2"/>
      <c r="F108" s="2"/>
      <c r="G108" s="2"/>
      <c r="H108" s="2"/>
      <c r="I108" s="14"/>
      <c r="J108" s="55"/>
      <c r="K108" s="55"/>
      <c r="L108" s="55"/>
      <c r="M108" s="55"/>
      <c r="N108" s="55"/>
      <c r="O108" s="55"/>
      <c r="P108" s="55"/>
      <c r="Q108" s="55"/>
      <c r="R108" s="55"/>
      <c r="S108" s="55"/>
      <c r="T108" s="55"/>
      <c r="U108" s="96"/>
      <c r="V108" s="55"/>
      <c r="W108" s="55"/>
      <c r="X108" s="55"/>
      <c r="Y108" s="55"/>
      <c r="Z108" s="55"/>
      <c r="AA108" s="55"/>
      <c r="AB108" s="55"/>
      <c r="AC108" s="55"/>
      <c r="AD108" s="55"/>
      <c r="AE108" s="55"/>
      <c r="AF108" s="55"/>
      <c r="AG108" s="102"/>
      <c r="AH108" s="55"/>
      <c r="AI108" s="55"/>
      <c r="AJ108" s="55"/>
      <c r="AK108" s="55"/>
      <c r="AL108" s="55"/>
      <c r="AM108" s="55"/>
      <c r="AN108" s="55"/>
      <c r="AO108" s="55"/>
      <c r="AP108" s="55"/>
      <c r="AQ108" s="55"/>
      <c r="AR108" s="55"/>
      <c r="AS108" s="108"/>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row>
    <row r="109" spans="1:129" x14ac:dyDescent="0.45">
      <c r="A109" s="72"/>
      <c r="B109" s="73"/>
      <c r="C109" s="139" t="s">
        <v>276</v>
      </c>
      <c r="D109" s="137"/>
      <c r="E109" s="135"/>
      <c r="F109" s="135"/>
      <c r="G109" s="135"/>
      <c r="H109" s="135"/>
      <c r="I109" s="138">
        <f>SUM(I52+I56+I61+I65+I69+I73+I77+I82+I86+I94+I90+I98+I102+I106)</f>
        <v>0</v>
      </c>
      <c r="J109" s="138">
        <f t="shared" ref="J109:BU109" si="136">SUM(J52+J56+J61+J65+J69+J73+J77+J82+J86+J94+J90+J98+J102+J106)</f>
        <v>0</v>
      </c>
      <c r="K109" s="138">
        <f t="shared" si="136"/>
        <v>0</v>
      </c>
      <c r="L109" s="138">
        <f t="shared" si="136"/>
        <v>0</v>
      </c>
      <c r="M109" s="138">
        <f t="shared" si="136"/>
        <v>0</v>
      </c>
      <c r="N109" s="138">
        <f t="shared" si="136"/>
        <v>0</v>
      </c>
      <c r="O109" s="138">
        <f t="shared" si="136"/>
        <v>0</v>
      </c>
      <c r="P109" s="138">
        <f t="shared" si="136"/>
        <v>0</v>
      </c>
      <c r="Q109" s="138">
        <f t="shared" si="136"/>
        <v>0</v>
      </c>
      <c r="R109" s="138">
        <f t="shared" si="136"/>
        <v>0</v>
      </c>
      <c r="S109" s="138">
        <f t="shared" si="136"/>
        <v>0</v>
      </c>
      <c r="T109" s="138">
        <f t="shared" si="136"/>
        <v>0</v>
      </c>
      <c r="U109" s="138">
        <f t="shared" si="136"/>
        <v>55067.941941947414</v>
      </c>
      <c r="V109" s="138">
        <f t="shared" si="136"/>
        <v>50699.653130653765</v>
      </c>
      <c r="W109" s="138">
        <f t="shared" si="136"/>
        <v>48468.197062345163</v>
      </c>
      <c r="X109" s="138">
        <f t="shared" si="136"/>
        <v>46636.031461928484</v>
      </c>
      <c r="Y109" s="138">
        <f t="shared" si="136"/>
        <v>45130.777246985817</v>
      </c>
      <c r="Z109" s="138">
        <f t="shared" si="136"/>
        <v>43893.175436862082</v>
      </c>
      <c r="AA109" s="138">
        <f t="shared" si="136"/>
        <v>42874.708881698869</v>
      </c>
      <c r="AB109" s="138">
        <f t="shared" si="136"/>
        <v>42035.655098855408</v>
      </c>
      <c r="AC109" s="138">
        <f t="shared" si="136"/>
        <v>41343.492070205131</v>
      </c>
      <c r="AD109" s="138">
        <f t="shared" si="136"/>
        <v>40771.59301935562</v>
      </c>
      <c r="AE109" s="138">
        <f t="shared" si="136"/>
        <v>40298.157785619071</v>
      </c>
      <c r="AF109" s="138">
        <f t="shared" si="136"/>
        <v>39905.337907018373</v>
      </c>
      <c r="AG109" s="138">
        <f t="shared" si="136"/>
        <v>22773.62029883769</v>
      </c>
      <c r="AH109" s="138">
        <f t="shared" si="136"/>
        <v>22500.840779222835</v>
      </c>
      <c r="AI109" s="138">
        <f t="shared" si="136"/>
        <v>22272.303904554388</v>
      </c>
      <c r="AJ109" s="138">
        <f t="shared" si="136"/>
        <v>22079.989843901061</v>
      </c>
      <c r="AK109" s="138">
        <f t="shared" si="136"/>
        <v>21917.332515044949</v>
      </c>
      <c r="AL109" s="138">
        <f t="shared" si="136"/>
        <v>21778.95606454699</v>
      </c>
      <c r="AM109" s="138">
        <f t="shared" si="136"/>
        <v>21660.459115872614</v>
      </c>
      <c r="AN109" s="138">
        <f t="shared" si="136"/>
        <v>21558.238126697062</v>
      </c>
      <c r="AO109" s="138">
        <f t="shared" si="136"/>
        <v>21469.342766099053</v>
      </c>
      <c r="AP109" s="138">
        <f t="shared" si="136"/>
        <v>21391.35750742157</v>
      </c>
      <c r="AQ109" s="138">
        <f t="shared" si="136"/>
        <v>21322.304684705643</v>
      </c>
      <c r="AR109" s="138">
        <f t="shared" si="136"/>
        <v>21260.565122011336</v>
      </c>
      <c r="AS109" s="138">
        <f t="shared" si="136"/>
        <v>21204.813150201986</v>
      </c>
      <c r="AT109" s="138">
        <f t="shared" si="136"/>
        <v>21153.963403187012</v>
      </c>
      <c r="AU109" s="138">
        <f t="shared" si="136"/>
        <v>21107.12725836967</v>
      </c>
      <c r="AV109" s="138">
        <f t="shared" si="136"/>
        <v>21063.577173102174</v>
      </c>
      <c r="AW109" s="138">
        <f t="shared" si="136"/>
        <v>21022.717485844565</v>
      </c>
      <c r="AX109" s="138">
        <f t="shared" si="136"/>
        <v>20984.060510175681</v>
      </c>
      <c r="AY109" s="138">
        <f t="shared" si="136"/>
        <v>20947.206962224649</v>
      </c>
      <c r="AZ109" s="138">
        <f t="shared" si="136"/>
        <v>20911.829936007165</v>
      </c>
      <c r="BA109" s="138">
        <f t="shared" si="136"/>
        <v>20877.661783540541</v>
      </c>
      <c r="BB109" s="138">
        <f t="shared" si="136"/>
        <v>20844.483373190316</v>
      </c>
      <c r="BC109" s="138">
        <f t="shared" si="136"/>
        <v>20812.115295148411</v>
      </c>
      <c r="BD109" s="138">
        <f t="shared" si="136"/>
        <v>20780.410661087546</v>
      </c>
      <c r="BE109" s="138">
        <f t="shared" si="136"/>
        <v>20749.249209016903</v>
      </c>
      <c r="BF109" s="138">
        <f t="shared" si="136"/>
        <v>20718.532476746161</v>
      </c>
      <c r="BG109" s="138">
        <f t="shared" si="136"/>
        <v>20688.179850252112</v>
      </c>
      <c r="BH109" s="138">
        <f t="shared" si="136"/>
        <v>20658.125328354814</v>
      </c>
      <c r="BI109" s="138">
        <f t="shared" si="136"/>
        <v>20628.314873858501</v>
      </c>
      <c r="BJ109" s="138">
        <f t="shared" si="136"/>
        <v>20598.704244849207</v>
      </c>
      <c r="BK109" s="138">
        <f t="shared" si="136"/>
        <v>20569.257219111376</v>
      </c>
      <c r="BL109" s="138">
        <f t="shared" si="136"/>
        <v>20539.944140403208</v>
      </c>
      <c r="BM109" s="138">
        <f t="shared" si="136"/>
        <v>20510.7407282475</v>
      </c>
      <c r="BN109" s="138">
        <f t="shared" si="136"/>
        <v>20481.627103470877</v>
      </c>
      <c r="BO109" s="138">
        <f t="shared" si="136"/>
        <v>20452.586990382755</v>
      </c>
      <c r="BP109" s="138">
        <f t="shared" si="136"/>
        <v>20423.607063574702</v>
      </c>
      <c r="BQ109" s="138">
        <f t="shared" si="136"/>
        <v>8067.6414131250731</v>
      </c>
      <c r="BR109" s="138">
        <f t="shared" si="136"/>
        <v>8038.751106745477</v>
      </c>
      <c r="BS109" s="138">
        <f t="shared" si="136"/>
        <v>8009.8938312967248</v>
      </c>
      <c r="BT109" s="138">
        <f t="shared" si="136"/>
        <v>7981.0635992868547</v>
      </c>
      <c r="BU109" s="138">
        <f t="shared" si="136"/>
        <v>7952.2555085720678</v>
      </c>
      <c r="BV109" s="138">
        <f t="shared" ref="BV109:DY109" si="137">SUM(BV52+BV56+BV61+BV65+BV69+BV73+BV77+BV82+BV86+BV94+BV90+BV98+BV102+BV106)</f>
        <v>7923.4655456164764</v>
      </c>
      <c r="BW109" s="138">
        <f t="shared" si="137"/>
        <v>7894.6904244148245</v>
      </c>
      <c r="BX109" s="138">
        <f t="shared" si="137"/>
        <v>7865.9274546135548</v>
      </c>
      <c r="BY109" s="138">
        <f t="shared" si="137"/>
        <v>7837.174433537466</v>
      </c>
      <c r="BZ109" s="138">
        <f t="shared" si="137"/>
        <v>7808.4295577886405</v>
      </c>
      <c r="CA109" s="138">
        <f t="shared" si="137"/>
        <v>7779.691350869738</v>
      </c>
      <c r="CB109" s="138">
        <f t="shared" si="137"/>
        <v>7750.9586039269807</v>
      </c>
      <c r="CC109" s="138">
        <f t="shared" si="137"/>
        <v>1378.0793272345902</v>
      </c>
      <c r="CD109" s="138">
        <f t="shared" si="137"/>
        <v>1349.3547104736742</v>
      </c>
      <c r="CE109" s="138">
        <f t="shared" si="137"/>
        <v>1320.6330902111997</v>
      </c>
      <c r="CF109" s="138">
        <f t="shared" si="137"/>
        <v>1291.9139232741504</v>
      </c>
      <c r="CG109" s="138">
        <f t="shared" si="137"/>
        <v>1263.1967649500743</v>
      </c>
      <c r="CH109" s="138">
        <f t="shared" si="137"/>
        <v>1234.4812511392101</v>
      </c>
      <c r="CI109" s="138">
        <f t="shared" si="137"/>
        <v>1205.7670837418868</v>
      </c>
      <c r="CJ109" s="138">
        <f t="shared" si="137"/>
        <v>1177.0540186947355</v>
      </c>
      <c r="CK109" s="138">
        <f t="shared" si="137"/>
        <v>1148.3418561755705</v>
      </c>
      <c r="CL109" s="138">
        <f t="shared" si="137"/>
        <v>1119.6304325838234</v>
      </c>
      <c r="CM109" s="138">
        <f t="shared" si="137"/>
        <v>1090.9196139746782</v>
      </c>
      <c r="CN109" s="138">
        <f t="shared" si="137"/>
        <v>1062.2092906833936</v>
      </c>
      <c r="CO109" s="138">
        <f t="shared" si="137"/>
        <v>1033.4993729240744</v>
      </c>
      <c r="CP109" s="138">
        <f t="shared" si="137"/>
        <v>1004.7897871862464</v>
      </c>
      <c r="CQ109" s="138">
        <f t="shared" si="137"/>
        <v>976.08047328462419</v>
      </c>
      <c r="CR109" s="138">
        <f t="shared" si="137"/>
        <v>947.3713819436631</v>
      </c>
      <c r="CS109" s="138">
        <f t="shared" si="137"/>
        <v>918.66247281995993</v>
      </c>
      <c r="CT109" s="138">
        <f t="shared" si="137"/>
        <v>889.95371288312958</v>
      </c>
      <c r="CU109" s="138">
        <f t="shared" si="137"/>
        <v>861.24507509017997</v>
      </c>
      <c r="CV109" s="138">
        <f t="shared" si="137"/>
        <v>832.53653730018186</v>
      </c>
      <c r="CW109" s="138">
        <f t="shared" si="137"/>
        <v>803.82808138567543</v>
      </c>
      <c r="CX109" s="138">
        <f t="shared" si="137"/>
        <v>775.11969250515187</v>
      </c>
      <c r="CY109" s="138">
        <f t="shared" si="137"/>
        <v>746.41135850741171</v>
      </c>
      <c r="CZ109" s="138">
        <f t="shared" si="137"/>
        <v>717.70306944389404</v>
      </c>
      <c r="DA109" s="138">
        <f t="shared" si="137"/>
        <v>688.99481716940636</v>
      </c>
      <c r="DB109" s="138">
        <f t="shared" si="137"/>
        <v>660.28659501522884</v>
      </c>
      <c r="DC109" s="138">
        <f t="shared" si="137"/>
        <v>631.57839752147538</v>
      </c>
      <c r="DD109" s="138">
        <f t="shared" si="137"/>
        <v>602.87022021796975</v>
      </c>
      <c r="DE109" s="138">
        <f t="shared" si="137"/>
        <v>574.16205944484079</v>
      </c>
      <c r="DF109" s="138">
        <f t="shared" si="137"/>
        <v>545.45391220563954</v>
      </c>
      <c r="DG109" s="138">
        <f t="shared" si="137"/>
        <v>516.74577604708111</v>
      </c>
      <c r="DH109" s="138">
        <f t="shared" si="137"/>
        <v>488.0376489605859</v>
      </c>
      <c r="DI109" s="138">
        <f t="shared" si="137"/>
        <v>459.32952930166755</v>
      </c>
      <c r="DJ109" s="138">
        <f t="shared" si="137"/>
        <v>430.62141572393506</v>
      </c>
      <c r="DK109" s="138">
        <f t="shared" si="137"/>
        <v>401.91330712505641</v>
      </c>
      <c r="DL109" s="138">
        <f t="shared" si="137"/>
        <v>373.20520260251834</v>
      </c>
      <c r="DM109" s="138">
        <f t="shared" si="137"/>
        <v>344.49710141740582</v>
      </c>
      <c r="DN109" s="138">
        <f t="shared" si="137"/>
        <v>315.78900296474615</v>
      </c>
      <c r="DO109" s="138">
        <f t="shared" si="137"/>
        <v>287.08090674922971</v>
      </c>
      <c r="DP109" s="138">
        <f t="shared" si="137"/>
        <v>258.37281236533113</v>
      </c>
      <c r="DQ109" s="138">
        <f t="shared" si="137"/>
        <v>229.66471948103458</v>
      </c>
      <c r="DR109" s="138">
        <f t="shared" si="137"/>
        <v>200.9566278245083</v>
      </c>
      <c r="DS109" s="138">
        <f t="shared" si="137"/>
        <v>172.24853717319522</v>
      </c>
      <c r="DT109" s="138">
        <f t="shared" si="137"/>
        <v>143.5404473448811</v>
      </c>
      <c r="DU109" s="138">
        <f t="shared" si="137"/>
        <v>114.8323581903816</v>
      </c>
      <c r="DV109" s="138">
        <f t="shared" si="137"/>
        <v>86.124269587554821</v>
      </c>
      <c r="DW109" s="138">
        <f t="shared" si="137"/>
        <v>57.416181436399441</v>
      </c>
      <c r="DX109" s="138">
        <f t="shared" si="137"/>
        <v>28.708093655041374</v>
      </c>
      <c r="DY109" s="138">
        <f t="shared" si="137"/>
        <v>0</v>
      </c>
    </row>
    <row r="110" spans="1:129" x14ac:dyDescent="0.45">
      <c r="A110" s="72"/>
      <c r="B110" s="73"/>
      <c r="C110" s="139" t="s">
        <v>275</v>
      </c>
      <c r="D110" s="137"/>
      <c r="E110" s="135"/>
      <c r="F110" s="135"/>
      <c r="G110" s="135"/>
      <c r="H110" s="135"/>
      <c r="I110" s="138">
        <f>SUM(I53+I57+I62+I66+I70+I74+I78+I83+I87+I91+I95+I99+I103+I107)</f>
        <v>0</v>
      </c>
      <c r="J110" s="138">
        <f t="shared" ref="J110:BU110" si="138">SUM(J53+J57+J62+J66+J70+J74+J78+J83+J87+J91+J95+J99+J103+J107)</f>
        <v>0</v>
      </c>
      <c r="K110" s="138">
        <f t="shared" si="138"/>
        <v>0</v>
      </c>
      <c r="L110" s="138">
        <f t="shared" si="138"/>
        <v>0</v>
      </c>
      <c r="M110" s="138">
        <f t="shared" si="138"/>
        <v>0</v>
      </c>
      <c r="N110" s="138">
        <f t="shared" si="138"/>
        <v>0</v>
      </c>
      <c r="O110" s="138">
        <f t="shared" si="138"/>
        <v>0</v>
      </c>
      <c r="P110" s="138">
        <f t="shared" si="138"/>
        <v>0</v>
      </c>
      <c r="Q110" s="138">
        <f t="shared" si="138"/>
        <v>0</v>
      </c>
      <c r="R110" s="138">
        <f t="shared" si="138"/>
        <v>0</v>
      </c>
      <c r="S110" s="138">
        <f t="shared" si="138"/>
        <v>0</v>
      </c>
      <c r="T110" s="138">
        <f t="shared" si="138"/>
        <v>0</v>
      </c>
      <c r="U110" s="138">
        <f t="shared" si="138"/>
        <v>0</v>
      </c>
      <c r="V110" s="138">
        <f t="shared" si="138"/>
        <v>0</v>
      </c>
      <c r="W110" s="138">
        <f t="shared" si="138"/>
        <v>0</v>
      </c>
      <c r="X110" s="138">
        <f t="shared" si="138"/>
        <v>0</v>
      </c>
      <c r="Y110" s="138">
        <f t="shared" si="138"/>
        <v>0</v>
      </c>
      <c r="Z110" s="138">
        <f t="shared" si="138"/>
        <v>0</v>
      </c>
      <c r="AA110" s="138">
        <f t="shared" si="138"/>
        <v>0</v>
      </c>
      <c r="AB110" s="138">
        <f t="shared" si="138"/>
        <v>0</v>
      </c>
      <c r="AC110" s="138">
        <f t="shared" si="138"/>
        <v>0</v>
      </c>
      <c r="AD110" s="138">
        <f t="shared" si="138"/>
        <v>0</v>
      </c>
      <c r="AE110" s="138">
        <f t="shared" si="138"/>
        <v>0</v>
      </c>
      <c r="AF110" s="138">
        <f t="shared" si="138"/>
        <v>0</v>
      </c>
      <c r="AG110" s="138">
        <f t="shared" si="138"/>
        <v>84896.427162000386</v>
      </c>
      <c r="AH110" s="138">
        <f t="shared" si="138"/>
        <v>76130.284108104708</v>
      </c>
      <c r="AI110" s="138">
        <f t="shared" si="138"/>
        <v>71648.373576003258</v>
      </c>
      <c r="AJ110" s="138">
        <f t="shared" si="138"/>
        <v>67967.018545403218</v>
      </c>
      <c r="AK110" s="138">
        <f t="shared" si="138"/>
        <v>64941.102923428181</v>
      </c>
      <c r="AL110" s="138">
        <f t="shared" si="138"/>
        <v>62451.815702073662</v>
      </c>
      <c r="AM110" s="138">
        <f t="shared" si="138"/>
        <v>60401.882655282214</v>
      </c>
      <c r="AN110" s="138">
        <f t="shared" si="138"/>
        <v>58711.662382698742</v>
      </c>
      <c r="AO110" s="138">
        <f t="shared" si="138"/>
        <v>57315.950020634358</v>
      </c>
      <c r="AP110" s="138">
        <f t="shared" si="138"/>
        <v>56161.36034193667</v>
      </c>
      <c r="AQ110" s="138">
        <f t="shared" si="138"/>
        <v>55204.185219375977</v>
      </c>
      <c r="AR110" s="138">
        <f t="shared" si="138"/>
        <v>54408.639465029897</v>
      </c>
      <c r="AS110" s="138">
        <f t="shared" si="138"/>
        <v>53745.424645041683</v>
      </c>
      <c r="AT110" s="138">
        <f t="shared" si="138"/>
        <v>53190.553230595775</v>
      </c>
      <c r="AU110" s="138">
        <f t="shared" si="138"/>
        <v>52724.385894160587</v>
      </c>
      <c r="AV110" s="138">
        <f t="shared" si="138"/>
        <v>52330.843314316175</v>
      </c>
      <c r="AW110" s="138">
        <f t="shared" si="138"/>
        <v>51996.760856127454</v>
      </c>
      <c r="AX110" s="138">
        <f t="shared" si="138"/>
        <v>51711.36022812</v>
      </c>
      <c r="AY110" s="138">
        <f t="shared" si="138"/>
        <v>51465.816911598049</v>
      </c>
      <c r="AZ110" s="138">
        <f t="shared" si="138"/>
        <v>51252.906001724332</v>
      </c>
      <c r="BA110" s="138">
        <f t="shared" si="138"/>
        <v>51066.71224672041</v>
      </c>
      <c r="BB110" s="138">
        <f t="shared" si="138"/>
        <v>50902.392648043198</v>
      </c>
      <c r="BC110" s="138">
        <f t="shared" si="138"/>
        <v>50755.982093848252</v>
      </c>
      <c r="BD110" s="138">
        <f t="shared" si="138"/>
        <v>50624.234225129214</v>
      </c>
      <c r="BE110" s="138">
        <f t="shared" si="138"/>
        <v>50504.491147931993</v>
      </c>
      <c r="BF110" s="138">
        <f t="shared" si="138"/>
        <v>50394.576762737968</v>
      </c>
      <c r="BG110" s="138">
        <f t="shared" si="138"/>
        <v>50292.709429949507</v>
      </c>
      <c r="BH110" s="138">
        <f t="shared" si="138"/>
        <v>50197.430466437079</v>
      </c>
      <c r="BI110" s="138">
        <f t="shared" si="138"/>
        <v>50107.545603463623</v>
      </c>
      <c r="BJ110" s="138">
        <f t="shared" si="138"/>
        <v>50022.077056486589</v>
      </c>
      <c r="BK110" s="138">
        <f t="shared" si="138"/>
        <v>49940.224283231124</v>
      </c>
      <c r="BL110" s="138">
        <f t="shared" si="138"/>
        <v>49861.331855117714</v>
      </c>
      <c r="BM110" s="138">
        <f t="shared" si="138"/>
        <v>49784.863152611797</v>
      </c>
      <c r="BN110" s="138">
        <f t="shared" si="138"/>
        <v>49710.378828797773</v>
      </c>
      <c r="BO110" s="138">
        <f t="shared" si="138"/>
        <v>49637.519176844558</v>
      </c>
      <c r="BP110" s="138">
        <f t="shared" si="138"/>
        <v>49565.98969370743</v>
      </c>
      <c r="BQ110" s="138">
        <f t="shared" si="138"/>
        <v>7397.5142606868321</v>
      </c>
      <c r="BR110" s="138">
        <f t="shared" si="138"/>
        <v>7327.9654664882773</v>
      </c>
      <c r="BS110" s="138">
        <f t="shared" si="138"/>
        <v>7259.1466844139695</v>
      </c>
      <c r="BT110" s="138">
        <f t="shared" si="138"/>
        <v>7190.9255857158969</v>
      </c>
      <c r="BU110" s="138">
        <f t="shared" si="138"/>
        <v>7123.1938287785579</v>
      </c>
      <c r="BV110" s="138">
        <f t="shared" ref="BV110:DY110" si="139">SUM(BV53+BV57+BV62+BV66+BV70+BV74+BV78+BV83+BV87+BV91+BV95+BV99+BV103+BV107)</f>
        <v>7055.8627109894924</v>
      </c>
      <c r="BW110" s="138">
        <f t="shared" si="139"/>
        <v>6988.8596087920059</v>
      </c>
      <c r="BX110" s="138">
        <f t="shared" si="139"/>
        <v>6922.1250630468367</v>
      </c>
      <c r="BY110" s="138">
        <f t="shared" si="139"/>
        <v>6855.6103927281156</v>
      </c>
      <c r="BZ110" s="138">
        <f t="shared" si="139"/>
        <v>6789.2757411828725</v>
      </c>
      <c r="CA110" s="138">
        <f t="shared" si="139"/>
        <v>6723.0884765436076</v>
      </c>
      <c r="CB110" s="138">
        <f t="shared" si="139"/>
        <v>6657.0218820968712</v>
      </c>
      <c r="CC110" s="138">
        <f t="shared" si="139"/>
        <v>3147.0507640477158</v>
      </c>
      <c r="CD110" s="138">
        <f t="shared" si="139"/>
        <v>3081.1638536475884</v>
      </c>
      <c r="CE110" s="138">
        <f t="shared" si="139"/>
        <v>3015.3431684532479</v>
      </c>
      <c r="CF110" s="138">
        <f t="shared" si="139"/>
        <v>2949.5767038715153</v>
      </c>
      <c r="CG110" s="138">
        <f t="shared" si="139"/>
        <v>2883.8546313727757</v>
      </c>
      <c r="CH110" s="138">
        <f t="shared" si="139"/>
        <v>2818.1689040375745</v>
      </c>
      <c r="CI110" s="138">
        <f t="shared" si="139"/>
        <v>2752.5129336054893</v>
      </c>
      <c r="CJ110" s="138">
        <f t="shared" si="139"/>
        <v>2686.8813260650995</v>
      </c>
      <c r="CK110" s="138">
        <f t="shared" si="139"/>
        <v>2621.2696651733768</v>
      </c>
      <c r="CL110" s="138">
        <f t="shared" si="139"/>
        <v>2555.674335216338</v>
      </c>
      <c r="CM110" s="138">
        <f t="shared" si="139"/>
        <v>2490.0923758977506</v>
      </c>
      <c r="CN110" s="138">
        <f t="shared" si="139"/>
        <v>2424.5213635320524</v>
      </c>
      <c r="CO110" s="138">
        <f t="shared" si="139"/>
        <v>2358.9593137733373</v>
      </c>
      <c r="CP110" s="138">
        <f t="shared" si="139"/>
        <v>2293.404601976586</v>
      </c>
      <c r="CQ110" s="138">
        <f t="shared" si="139"/>
        <v>2227.8558979949603</v>
      </c>
      <c r="CR110" s="138">
        <f t="shared" si="139"/>
        <v>2162.3121127963368</v>
      </c>
      <c r="CS110" s="138">
        <f t="shared" si="139"/>
        <v>2096.7723547566238</v>
      </c>
      <c r="CT110" s="138">
        <f t="shared" si="139"/>
        <v>2031.2358938757598</v>
      </c>
      <c r="CU110" s="138">
        <f t="shared" si="139"/>
        <v>1965.7021324802424</v>
      </c>
      <c r="CV110" s="138">
        <f t="shared" si="139"/>
        <v>1900.1705812363957</v>
      </c>
      <c r="CW110" s="138">
        <f t="shared" si="139"/>
        <v>1834.640839511691</v>
      </c>
      <c r="CX110" s="138">
        <f t="shared" si="139"/>
        <v>1769.112579295956</v>
      </c>
      <c r="CY110" s="138">
        <f t="shared" si="139"/>
        <v>1703.5855320371761</v>
      </c>
      <c r="CZ110" s="138">
        <f t="shared" si="139"/>
        <v>1638.0594778635566</v>
      </c>
      <c r="DA110" s="138">
        <f t="shared" si="139"/>
        <v>1572.5342367592991</v>
      </c>
      <c r="DB110" s="138">
        <f t="shared" si="139"/>
        <v>1507.0096613399321</v>
      </c>
      <c r="DC110" s="138">
        <f t="shared" si="139"/>
        <v>1441.4856309372569</v>
      </c>
      <c r="DD110" s="138">
        <f t="shared" si="139"/>
        <v>1375.9620467565085</v>
      </c>
      <c r="DE110" s="138">
        <f t="shared" si="139"/>
        <v>1310.4388279113737</v>
      </c>
      <c r="DF110" s="138">
        <f t="shared" si="139"/>
        <v>1244.9159081777418</v>
      </c>
      <c r="DG110" s="138">
        <f t="shared" si="139"/>
        <v>1179.3932333358953</v>
      </c>
      <c r="DH110" s="138">
        <f t="shared" si="139"/>
        <v>1113.8707589944847</v>
      </c>
      <c r="DI110" s="138">
        <f t="shared" si="139"/>
        <v>1048.3484488089471</v>
      </c>
      <c r="DJ110" s="138">
        <f t="shared" si="139"/>
        <v>982.82627302287142</v>
      </c>
      <c r="DK110" s="138">
        <f t="shared" si="139"/>
        <v>917.30420727376759</v>
      </c>
      <c r="DL110" s="138">
        <f t="shared" si="139"/>
        <v>851.7822316153173</v>
      </c>
      <c r="DM110" s="138">
        <f t="shared" si="139"/>
        <v>786.26032971685538</v>
      </c>
      <c r="DN110" s="138">
        <f t="shared" si="139"/>
        <v>720.73848820796411</v>
      </c>
      <c r="DO110" s="138">
        <f t="shared" si="139"/>
        <v>655.21669614187158</v>
      </c>
      <c r="DP110" s="138">
        <f t="shared" si="139"/>
        <v>589.69494455611925</v>
      </c>
      <c r="DQ110" s="138">
        <f t="shared" si="139"/>
        <v>524.1732261128659</v>
      </c>
      <c r="DR110" s="138">
        <f t="shared" si="139"/>
        <v>458.65153480439579</v>
      </c>
      <c r="DS110" s="138">
        <f t="shared" si="139"/>
        <v>393.12986571200742</v>
      </c>
      <c r="DT110" s="138">
        <f t="shared" si="139"/>
        <v>327.60821480860807</v>
      </c>
      <c r="DU110" s="138">
        <f t="shared" si="139"/>
        <v>262.08657879709364</v>
      </c>
      <c r="DV110" s="138">
        <f t="shared" si="139"/>
        <v>196.56495497802328</v>
      </c>
      <c r="DW110" s="138">
        <f t="shared" si="139"/>
        <v>131.04334114128181</v>
      </c>
      <c r="DX110" s="138">
        <f t="shared" si="139"/>
        <v>65.521735477380005</v>
      </c>
      <c r="DY110" s="138">
        <f t="shared" si="139"/>
        <v>0</v>
      </c>
    </row>
    <row r="111" spans="1:129" x14ac:dyDescent="0.45">
      <c r="A111" s="72"/>
      <c r="B111" s="73"/>
      <c r="C111" s="139" t="s">
        <v>274</v>
      </c>
      <c r="D111" s="137"/>
      <c r="E111" s="135"/>
      <c r="F111" s="135"/>
      <c r="G111" s="135"/>
      <c r="H111" s="135"/>
      <c r="I111" s="138">
        <f>SUM(I54+I58+I63+I67+I71+I75+I79+I84+I88+I92+I96+I100+I104+I108)</f>
        <v>0</v>
      </c>
      <c r="J111" s="138">
        <f t="shared" ref="J111:BU111" si="140">SUM(J54+J58+J63+J67+J71+J75+J79+J84+J88+J92+J96+J100+J104+J108)</f>
        <v>0</v>
      </c>
      <c r="K111" s="138">
        <f t="shared" si="140"/>
        <v>0</v>
      </c>
      <c r="L111" s="138">
        <f t="shared" si="140"/>
        <v>0</v>
      </c>
      <c r="M111" s="138">
        <f t="shared" si="140"/>
        <v>0</v>
      </c>
      <c r="N111" s="138">
        <f t="shared" si="140"/>
        <v>0</v>
      </c>
      <c r="O111" s="138">
        <f t="shared" si="140"/>
        <v>0</v>
      </c>
      <c r="P111" s="138">
        <f t="shared" si="140"/>
        <v>0</v>
      </c>
      <c r="Q111" s="138">
        <f t="shared" si="140"/>
        <v>0</v>
      </c>
      <c r="R111" s="138">
        <f t="shared" si="140"/>
        <v>0</v>
      </c>
      <c r="S111" s="138">
        <f t="shared" si="140"/>
        <v>0</v>
      </c>
      <c r="T111" s="138">
        <f t="shared" si="140"/>
        <v>0</v>
      </c>
      <c r="U111" s="138">
        <f t="shared" si="140"/>
        <v>0</v>
      </c>
      <c r="V111" s="138">
        <f t="shared" si="140"/>
        <v>0</v>
      </c>
      <c r="W111" s="138">
        <f t="shared" si="140"/>
        <v>0</v>
      </c>
      <c r="X111" s="138">
        <f t="shared" si="140"/>
        <v>0</v>
      </c>
      <c r="Y111" s="138">
        <f t="shared" si="140"/>
        <v>0</v>
      </c>
      <c r="Z111" s="138">
        <f t="shared" si="140"/>
        <v>0</v>
      </c>
      <c r="AA111" s="138">
        <f t="shared" si="140"/>
        <v>0</v>
      </c>
      <c r="AB111" s="138">
        <f t="shared" si="140"/>
        <v>0</v>
      </c>
      <c r="AC111" s="138">
        <f t="shared" si="140"/>
        <v>0</v>
      </c>
      <c r="AD111" s="138">
        <f t="shared" si="140"/>
        <v>0</v>
      </c>
      <c r="AE111" s="138">
        <f t="shared" si="140"/>
        <v>0</v>
      </c>
      <c r="AF111" s="138">
        <f t="shared" si="140"/>
        <v>0</v>
      </c>
      <c r="AG111" s="138">
        <f t="shared" si="140"/>
        <v>0</v>
      </c>
      <c r="AH111" s="138">
        <f t="shared" si="140"/>
        <v>0</v>
      </c>
      <c r="AI111" s="138">
        <f t="shared" si="140"/>
        <v>0</v>
      </c>
      <c r="AJ111" s="138">
        <f t="shared" si="140"/>
        <v>0</v>
      </c>
      <c r="AK111" s="138">
        <f t="shared" si="140"/>
        <v>0</v>
      </c>
      <c r="AL111" s="138">
        <f t="shared" si="140"/>
        <v>0</v>
      </c>
      <c r="AM111" s="138">
        <f t="shared" si="140"/>
        <v>0</v>
      </c>
      <c r="AN111" s="138">
        <f t="shared" si="140"/>
        <v>0</v>
      </c>
      <c r="AO111" s="138">
        <f t="shared" si="140"/>
        <v>0</v>
      </c>
      <c r="AP111" s="138">
        <f t="shared" si="140"/>
        <v>0</v>
      </c>
      <c r="AQ111" s="138">
        <f t="shared" si="140"/>
        <v>0</v>
      </c>
      <c r="AR111" s="138">
        <f t="shared" si="140"/>
        <v>0</v>
      </c>
      <c r="AS111" s="138">
        <f t="shared" si="140"/>
        <v>152362.83183457743</v>
      </c>
      <c r="AT111" s="138">
        <f t="shared" si="140"/>
        <v>141439.36831049656</v>
      </c>
      <c r="AU111" s="138">
        <f t="shared" si="140"/>
        <v>135646.44944749729</v>
      </c>
      <c r="AV111" s="138">
        <f t="shared" si="140"/>
        <v>130812.22872546814</v>
      </c>
      <c r="AW111" s="138">
        <f t="shared" si="140"/>
        <v>126762.92365436992</v>
      </c>
      <c r="AX111" s="138">
        <f t="shared" si="140"/>
        <v>123356.25316526102</v>
      </c>
      <c r="AY111" s="138">
        <f t="shared" si="140"/>
        <v>120475.72737141828</v>
      </c>
      <c r="AZ111" s="138">
        <f t="shared" si="140"/>
        <v>118025.97242015871</v>
      </c>
      <c r="BA111" s="138">
        <f t="shared" si="140"/>
        <v>115928.90280525127</v>
      </c>
      <c r="BB111" s="138">
        <f t="shared" si="140"/>
        <v>114120.58752137508</v>
      </c>
      <c r="BC111" s="138">
        <f t="shared" si="140"/>
        <v>112548.68428839857</v>
      </c>
      <c r="BD111" s="138">
        <f t="shared" si="140"/>
        <v>111170.33887189183</v>
      </c>
      <c r="BE111" s="138">
        <f t="shared" si="140"/>
        <v>109950.46519222757</v>
      </c>
      <c r="BF111" s="138">
        <f t="shared" si="140"/>
        <v>108860.33719700994</v>
      </c>
      <c r="BG111" s="138">
        <f t="shared" si="140"/>
        <v>107876.43598372786</v>
      </c>
      <c r="BH111" s="138">
        <f t="shared" si="140"/>
        <v>106979.50590361693</v>
      </c>
      <c r="BI111" s="138">
        <f t="shared" si="140"/>
        <v>106153.78176486338</v>
      </c>
      <c r="BJ111" s="138">
        <f t="shared" si="140"/>
        <v>105386.35612010078</v>
      </c>
      <c r="BK111" s="138">
        <f t="shared" si="140"/>
        <v>104666.66124522686</v>
      </c>
      <c r="BL111" s="138">
        <f t="shared" si="140"/>
        <v>103986.04501952887</v>
      </c>
      <c r="BM111" s="138">
        <f t="shared" si="140"/>
        <v>103337.42368569989</v>
      </c>
      <c r="BN111" s="138">
        <f t="shared" si="140"/>
        <v>102714.99755378552</v>
      </c>
      <c r="BO111" s="138">
        <f t="shared" si="140"/>
        <v>102114.01823926171</v>
      </c>
      <c r="BP111" s="138">
        <f t="shared" si="140"/>
        <v>101530.59809369127</v>
      </c>
      <c r="BQ111" s="138">
        <f t="shared" si="140"/>
        <v>30656.519179741328</v>
      </c>
      <c r="BR111" s="138">
        <f t="shared" si="140"/>
        <v>30099.245528732543</v>
      </c>
      <c r="BS111" s="138">
        <f t="shared" si="140"/>
        <v>29551.608553965485</v>
      </c>
      <c r="BT111" s="138">
        <f t="shared" si="140"/>
        <v>29011.861422394966</v>
      </c>
      <c r="BU111" s="138">
        <f t="shared" si="140"/>
        <v>28478.573948086425</v>
      </c>
      <c r="BV111" s="138">
        <f t="shared" ref="BV111:DY111" si="141">SUM(BV54+BV58+BV63+BV67+BV71+BV75+BV79+BV84+BV88+BV92+BV96+BV100+BV104+BV108)</f>
        <v>27950.57519383261</v>
      </c>
      <c r="BW111" s="138">
        <f t="shared" si="141"/>
        <v>27426.906477332017</v>
      </c>
      <c r="BX111" s="138">
        <f t="shared" si="141"/>
        <v>26906.782895901983</v>
      </c>
      <c r="BY111" s="138">
        <f t="shared" si="141"/>
        <v>26389.561825578021</v>
      </c>
      <c r="BZ111" s="138">
        <f t="shared" si="141"/>
        <v>25874.71713035776</v>
      </c>
      <c r="CA111" s="138">
        <f t="shared" si="141"/>
        <v>25361.818046515738</v>
      </c>
      <c r="CB111" s="138">
        <f t="shared" si="141"/>
        <v>24850.511894542618</v>
      </c>
      <c r="CC111" s="138">
        <f t="shared" si="141"/>
        <v>24223.954064878122</v>
      </c>
      <c r="CD111" s="138">
        <f t="shared" si="141"/>
        <v>23715.019869377335</v>
      </c>
      <c r="CE111" s="138">
        <f t="shared" si="141"/>
        <v>23206.95989342171</v>
      </c>
      <c r="CF111" s="138">
        <f t="shared" si="141"/>
        <v>22699.615667892664</v>
      </c>
      <c r="CG111" s="138">
        <f t="shared" si="141"/>
        <v>22192.857449249357</v>
      </c>
      <c r="CH111" s="138">
        <f t="shared" si="141"/>
        <v>21686.57901246495</v>
      </c>
      <c r="CI111" s="138">
        <f t="shared" si="141"/>
        <v>21180.693387843166</v>
      </c>
      <c r="CJ111" s="138">
        <f t="shared" si="141"/>
        <v>20675.129370619128</v>
      </c>
      <c r="CK111" s="138">
        <f t="shared" si="141"/>
        <v>20169.828663262029</v>
      </c>
      <c r="CL111" s="138">
        <f t="shared" si="141"/>
        <v>19664.743535790592</v>
      </c>
      <c r="CM111" s="138">
        <f t="shared" si="141"/>
        <v>19159.834910201287</v>
      </c>
      <c r="CN111" s="138">
        <f t="shared" si="141"/>
        <v>18655.070792130846</v>
      </c>
      <c r="CO111" s="138">
        <f t="shared" si="141"/>
        <v>18150.424986810165</v>
      </c>
      <c r="CP111" s="138">
        <f t="shared" si="141"/>
        <v>17645.876047776193</v>
      </c>
      <c r="CQ111" s="138">
        <f t="shared" si="141"/>
        <v>17141.406416150083</v>
      </c>
      <c r="CR111" s="138">
        <f t="shared" si="141"/>
        <v>16637.001715937738</v>
      </c>
      <c r="CS111" s="138">
        <f t="shared" si="141"/>
        <v>16132.65017707068</v>
      </c>
      <c r="CT111" s="138">
        <f t="shared" si="141"/>
        <v>15628.342163031886</v>
      </c>
      <c r="CU111" s="138">
        <f t="shared" si="141"/>
        <v>15124.069784108515</v>
      </c>
      <c r="CV111" s="138">
        <f t="shared" si="141"/>
        <v>14619.826580750032</v>
      </c>
      <c r="CW111" s="138">
        <f t="shared" si="141"/>
        <v>14115.607264323753</v>
      </c>
      <c r="CX111" s="138">
        <f t="shared" si="141"/>
        <v>13611.407504863473</v>
      </c>
      <c r="CY111" s="138">
        <f t="shared" si="141"/>
        <v>13107.223757292693</v>
      </c>
      <c r="CZ111" s="138">
        <f t="shared" si="141"/>
        <v>12603.053119148261</v>
      </c>
      <c r="DA111" s="138">
        <f t="shared" si="141"/>
        <v>12098.893214094334</v>
      </c>
      <c r="DB111" s="138">
        <f t="shared" si="141"/>
        <v>11594.742096551676</v>
      </c>
      <c r="DC111" s="138">
        <f t="shared" si="141"/>
        <v>11090.598173614744</v>
      </c>
      <c r="DD111" s="138">
        <f t="shared" si="141"/>
        <v>10586.460141122774</v>
      </c>
      <c r="DE111" s="138">
        <f t="shared" si="141"/>
        <v>10082.326931319238</v>
      </c>
      <c r="DF111" s="138">
        <f t="shared" si="141"/>
        <v>9578.1976699990482</v>
      </c>
      <c r="DG111" s="138">
        <f t="shared" si="141"/>
        <v>9074.0716414235849</v>
      </c>
      <c r="DH111" s="138">
        <f t="shared" si="141"/>
        <v>8569.9482595956579</v>
      </c>
      <c r="DI111" s="138">
        <f t="shared" si="141"/>
        <v>8065.8270447413315</v>
      </c>
      <c r="DJ111" s="138">
        <f t="shared" si="141"/>
        <v>7561.7076040549318</v>
      </c>
      <c r="DK111" s="138">
        <f t="shared" si="141"/>
        <v>7057.5896159343783</v>
      </c>
      <c r="DL111" s="138">
        <f t="shared" si="141"/>
        <v>6553.47281707415</v>
      </c>
      <c r="DM111" s="138">
        <f t="shared" si="141"/>
        <v>6049.3569918979256</v>
      </c>
      <c r="DN111" s="138">
        <f t="shared" si="141"/>
        <v>5545.2419639067366</v>
      </c>
      <c r="DO111" s="138">
        <f t="shared" si="141"/>
        <v>5041.1275885954547</v>
      </c>
      <c r="DP111" s="138">
        <f t="shared" si="141"/>
        <v>4537.0137476532836</v>
      </c>
      <c r="DQ111" s="138">
        <f t="shared" si="141"/>
        <v>4032.9003442155376</v>
      </c>
      <c r="DR111" s="138">
        <f t="shared" si="141"/>
        <v>3528.7872989761181</v>
      </c>
      <c r="DS111" s="138">
        <f t="shared" si="141"/>
        <v>3024.6745470046844</v>
      </c>
      <c r="DT111" s="138">
        <f t="shared" si="141"/>
        <v>2520.5620351407692</v>
      </c>
      <c r="DU111" s="138">
        <f t="shared" si="141"/>
        <v>2016.4497198602648</v>
      </c>
      <c r="DV111" s="138">
        <f t="shared" si="141"/>
        <v>1512.3375655286436</v>
      </c>
      <c r="DW111" s="138">
        <f t="shared" si="141"/>
        <v>1008.2255429708222</v>
      </c>
      <c r="DX111" s="138">
        <f t="shared" si="141"/>
        <v>504.11362830026377</v>
      </c>
      <c r="DY111" s="138">
        <f t="shared" si="141"/>
        <v>0</v>
      </c>
    </row>
    <row r="112" spans="1:129" x14ac:dyDescent="0.45">
      <c r="A112" s="72">
        <v>46022</v>
      </c>
      <c r="B112" s="73" t="s">
        <v>19</v>
      </c>
      <c r="C112" s="74" t="s">
        <v>31</v>
      </c>
      <c r="D112" s="75"/>
      <c r="E112" s="54"/>
      <c r="F112" s="54"/>
      <c r="G112" s="54"/>
      <c r="H112" s="54"/>
      <c r="I112" s="82">
        <f>I80+I72+I68+I59+I50+I76</f>
        <v>155592.33199999999</v>
      </c>
      <c r="J112" s="82">
        <f t="shared" ref="J112:BU112" si="142">J80+J72+J68+J59+J50+J76</f>
        <v>148452.67632165065</v>
      </c>
      <c r="K112" s="82">
        <f t="shared" si="142"/>
        <v>144610.37198498996</v>
      </c>
      <c r="L112" s="82">
        <f t="shared" si="142"/>
        <v>141348.89320889805</v>
      </c>
      <c r="M112" s="82">
        <f t="shared" si="142"/>
        <v>138562.95418141759</v>
      </c>
      <c r="N112" s="82">
        <f t="shared" si="142"/>
        <v>136355.37417043629</v>
      </c>
      <c r="O112" s="82">
        <f t="shared" si="142"/>
        <v>134655.57798563596</v>
      </c>
      <c r="P112" s="82">
        <f t="shared" si="142"/>
        <v>133216.76354829883</v>
      </c>
      <c r="Q112" s="82">
        <f t="shared" si="142"/>
        <v>131991.62289360183</v>
      </c>
      <c r="R112" s="82">
        <f t="shared" si="142"/>
        <v>130941.42353587883</v>
      </c>
      <c r="S112" s="82">
        <f t="shared" si="142"/>
        <v>130034.45399797175</v>
      </c>
      <c r="T112" s="82">
        <f t="shared" si="142"/>
        <v>129244.75111830582</v>
      </c>
      <c r="U112" s="82">
        <f t="shared" si="142"/>
        <v>147634.82560000001</v>
      </c>
      <c r="V112" s="82">
        <f t="shared" si="142"/>
        <v>142656.15444242599</v>
      </c>
      <c r="W112" s="82">
        <f t="shared" si="142"/>
        <v>139878.67333440561</v>
      </c>
      <c r="X112" s="82">
        <f t="shared" si="142"/>
        <v>137553.17400035015</v>
      </c>
      <c r="Y112" s="82">
        <f t="shared" si="142"/>
        <v>135597.7260444705</v>
      </c>
      <c r="Z112" s="82">
        <f t="shared" si="142"/>
        <v>133945.25053212227</v>
      </c>
      <c r="AA112" s="82">
        <f t="shared" si="142"/>
        <v>132540.82787662841</v>
      </c>
      <c r="AB112" s="82">
        <f t="shared" si="142"/>
        <v>131339.49372343006</v>
      </c>
      <c r="AC112" s="82">
        <f t="shared" si="142"/>
        <v>130304.43437265762</v>
      </c>
      <c r="AD112" s="82">
        <f t="shared" si="142"/>
        <v>129405.5093160932</v>
      </c>
      <c r="AE112" s="82">
        <f t="shared" si="142"/>
        <v>128618.04159274549</v>
      </c>
      <c r="AF112" s="82">
        <f t="shared" si="142"/>
        <v>127921.82741575834</v>
      </c>
      <c r="AG112" s="82">
        <f t="shared" si="142"/>
        <v>93343.313365504349</v>
      </c>
      <c r="AH112" s="82">
        <f t="shared" si="142"/>
        <v>84028.361267418353</v>
      </c>
      <c r="AI112" s="82">
        <f t="shared" si="142"/>
        <v>79047.722699204067</v>
      </c>
      <c r="AJ112" s="82">
        <f t="shared" si="142"/>
        <v>74908.642493949417</v>
      </c>
      <c r="AK112" s="82">
        <f t="shared" si="142"/>
        <v>71458.57200095983</v>
      </c>
      <c r="AL112" s="82">
        <f t="shared" si="142"/>
        <v>68572.61494857099</v>
      </c>
      <c r="AM112" s="82">
        <f t="shared" si="142"/>
        <v>66148.514918226676</v>
      </c>
      <c r="AN112" s="82">
        <f t="shared" si="142"/>
        <v>64102.551435355177</v>
      </c>
      <c r="AO112" s="82">
        <f t="shared" si="142"/>
        <v>62366.179972762446</v>
      </c>
      <c r="AP112" s="82">
        <f t="shared" si="142"/>
        <v>60883.28101807947</v>
      </c>
      <c r="AQ112" s="82">
        <f t="shared" si="142"/>
        <v>59607.907800682005</v>
      </c>
      <c r="AR112" s="82">
        <f t="shared" si="142"/>
        <v>58502.442286455371</v>
      </c>
      <c r="AS112" s="82">
        <f t="shared" si="142"/>
        <v>138160.81320857699</v>
      </c>
      <c r="AT112" s="82">
        <f t="shared" si="142"/>
        <v>126400.55814764202</v>
      </c>
      <c r="AU112" s="82">
        <f t="shared" si="142"/>
        <v>119864.09507235089</v>
      </c>
      <c r="AV112" s="82">
        <f t="shared" si="142"/>
        <v>114362.67459029112</v>
      </c>
      <c r="AW112" s="82">
        <f t="shared" si="142"/>
        <v>109708.67531005549</v>
      </c>
      <c r="AX112" s="82">
        <f t="shared" si="142"/>
        <v>105748.48582856357</v>
      </c>
      <c r="AY112" s="82">
        <f t="shared" si="142"/>
        <v>102356.33976608998</v>
      </c>
      <c r="AZ112" s="82">
        <f t="shared" si="142"/>
        <v>99429.268319850235</v>
      </c>
      <c r="BA112" s="82">
        <f t="shared" si="142"/>
        <v>96882.967764397079</v>
      </c>
      <c r="BB112" s="82">
        <f t="shared" si="142"/>
        <v>94648.416047107821</v>
      </c>
      <c r="BC112" s="82">
        <f t="shared" si="142"/>
        <v>92669.102690859698</v>
      </c>
      <c r="BD112" s="82">
        <f t="shared" si="142"/>
        <v>90898.760830161104</v>
      </c>
      <c r="BE112" s="82">
        <f t="shared" si="142"/>
        <v>89299.510359385677</v>
      </c>
      <c r="BF112" s="82">
        <f t="shared" si="142"/>
        <v>87840.33767112717</v>
      </c>
      <c r="BG112" s="82">
        <f t="shared" si="142"/>
        <v>86495.850971238251</v>
      </c>
      <c r="BH112" s="82">
        <f t="shared" si="142"/>
        <v>85245.261216974643</v>
      </c>
      <c r="BI112" s="82">
        <f t="shared" si="142"/>
        <v>84071.547779714558</v>
      </c>
      <c r="BJ112" s="82">
        <f t="shared" si="142"/>
        <v>82960.775347368675</v>
      </c>
      <c r="BK112" s="82">
        <f t="shared" si="142"/>
        <v>81901.534651375609</v>
      </c>
      <c r="BL112" s="82">
        <f t="shared" si="142"/>
        <v>80884.484572694157</v>
      </c>
      <c r="BM112" s="82">
        <f t="shared" si="142"/>
        <v>79901.977249897085</v>
      </c>
      <c r="BN112" s="82">
        <f t="shared" si="142"/>
        <v>78947.751143638554</v>
      </c>
      <c r="BO112" s="82">
        <f t="shared" si="142"/>
        <v>78016.679739094616</v>
      </c>
      <c r="BP112" s="82">
        <f t="shared" si="142"/>
        <v>77104.565800922777</v>
      </c>
      <c r="BQ112" s="82">
        <f t="shared" si="142"/>
        <v>50036.007923470213</v>
      </c>
      <c r="BR112" s="82">
        <f t="shared" si="142"/>
        <v>49152.122615748885</v>
      </c>
      <c r="BS112" s="82">
        <f t="shared" si="142"/>
        <v>48278.641386163436</v>
      </c>
      <c r="BT112" s="82">
        <f t="shared" si="142"/>
        <v>47413.678295305224</v>
      </c>
      <c r="BU112" s="82">
        <f t="shared" si="142"/>
        <v>46555.68926658202</v>
      </c>
      <c r="BV112" s="82">
        <f t="shared" ref="BV112:DY112" si="143">BV80+BV72+BV68+BV59+BV50+BV76</f>
        <v>45703.410117002604</v>
      </c>
      <c r="BW112" s="82">
        <f t="shared" si="143"/>
        <v>44855.805821074573</v>
      </c>
      <c r="BX112" s="82">
        <f t="shared" si="143"/>
        <v>44012.028971597036</v>
      </c>
      <c r="BY112" s="82">
        <f t="shared" si="143"/>
        <v>43171.385770234345</v>
      </c>
      <c r="BZ112" s="82">
        <f t="shared" si="143"/>
        <v>42333.308182952525</v>
      </c>
      <c r="CA112" s="82">
        <f t="shared" si="143"/>
        <v>41497.331142819334</v>
      </c>
      <c r="CB112" s="82">
        <f t="shared" si="143"/>
        <v>40663.073885234931</v>
      </c>
      <c r="CC112" s="82">
        <f t="shared" si="143"/>
        <v>39700.224666511866</v>
      </c>
      <c r="CD112" s="82">
        <f t="shared" si="143"/>
        <v>38868.528252506127</v>
      </c>
      <c r="CE112" s="82">
        <f t="shared" si="143"/>
        <v>38037.775675174707</v>
      </c>
      <c r="CF112" s="82">
        <f t="shared" si="143"/>
        <v>37207.795845954453</v>
      </c>
      <c r="CG112" s="82">
        <f t="shared" si="143"/>
        <v>36378.448689377226</v>
      </c>
      <c r="CH112" s="82">
        <f t="shared" si="143"/>
        <v>35549.619521349436</v>
      </c>
      <c r="CI112" s="82">
        <f t="shared" si="143"/>
        <v>34721.21444647685</v>
      </c>
      <c r="CJ112" s="82">
        <f t="shared" si="143"/>
        <v>33893.156589712555</v>
      </c>
      <c r="CK112" s="82">
        <f t="shared" si="143"/>
        <v>33065.383011091573</v>
      </c>
      <c r="CL112" s="82">
        <f t="shared" si="143"/>
        <v>32237.842179728945</v>
      </c>
      <c r="CM112" s="82">
        <f t="shared" si="143"/>
        <v>31410.491905704417</v>
      </c>
      <c r="CN112" s="82">
        <f t="shared" si="143"/>
        <v>30583.297646832827</v>
      </c>
      <c r="CO112" s="82">
        <f t="shared" si="143"/>
        <v>29756.231122364887</v>
      </c>
      <c r="CP112" s="82">
        <f t="shared" si="143"/>
        <v>28929.269177981441</v>
      </c>
      <c r="CQ112" s="82">
        <f t="shared" si="143"/>
        <v>28102.392856529332</v>
      </c>
      <c r="CR112" s="82">
        <f t="shared" si="143"/>
        <v>27275.58663720428</v>
      </c>
      <c r="CS112" s="82">
        <f t="shared" si="143"/>
        <v>26448.83781264651</v>
      </c>
      <c r="CT112" s="82">
        <f t="shared" si="143"/>
        <v>25622.135978949758</v>
      </c>
      <c r="CU112" s="82">
        <f t="shared" si="143"/>
        <v>24795.472618116062</v>
      </c>
      <c r="CV112" s="82">
        <f t="shared" si="143"/>
        <v>23968.84075619849</v>
      </c>
      <c r="CW112" s="82">
        <f t="shared" si="143"/>
        <v>23142.234683412244</v>
      </c>
      <c r="CX112" s="82">
        <f t="shared" si="143"/>
        <v>22315.649724980914</v>
      </c>
      <c r="CY112" s="82">
        <f t="shared" si="143"/>
        <v>21489.082053521277</v>
      </c>
      <c r="CZ112" s="82">
        <f t="shared" si="143"/>
        <v>20662.528535436999</v>
      </c>
      <c r="DA112" s="82">
        <f t="shared" si="143"/>
        <v>19835.986605156377</v>
      </c>
      <c r="DB112" s="82">
        <f t="shared" si="143"/>
        <v>19009.454162166981</v>
      </c>
      <c r="DC112" s="82">
        <f t="shared" si="143"/>
        <v>18182.929486714671</v>
      </c>
      <c r="DD112" s="82">
        <f t="shared" si="143"/>
        <v>17356.411170783849</v>
      </c>
      <c r="DE112" s="82">
        <f t="shared" si="143"/>
        <v>16529.898061588843</v>
      </c>
      <c r="DF112" s="82">
        <f t="shared" si="143"/>
        <v>15703.389215308569</v>
      </c>
      <c r="DG112" s="82">
        <f t="shared" si="143"/>
        <v>14876.883859207694</v>
      </c>
      <c r="DH112" s="82">
        <f t="shared" si="143"/>
        <v>14050.381360624015</v>
      </c>
      <c r="DI112" s="82">
        <f t="shared" si="143"/>
        <v>13223.881201577555</v>
      </c>
      <c r="DJ112" s="82">
        <f t="shared" si="143"/>
        <v>12397.382957982152</v>
      </c>
      <c r="DK112" s="82">
        <f t="shared" si="143"/>
        <v>11570.886282625439</v>
      </c>
      <c r="DL112" s="82">
        <f t="shared" si="143"/>
        <v>10744.390891233976</v>
      </c>
      <c r="DM112" s="82">
        <f t="shared" si="143"/>
        <v>9917.8965510643375</v>
      </c>
      <c r="DN112" s="82">
        <f t="shared" si="143"/>
        <v>9091.4030715623448</v>
      </c>
      <c r="DO112" s="82">
        <f t="shared" si="143"/>
        <v>8264.9102967154195</v>
      </c>
      <c r="DP112" s="82">
        <f t="shared" si="143"/>
        <v>7438.418098791265</v>
      </c>
      <c r="DQ112" s="82">
        <f t="shared" si="143"/>
        <v>6611.9263732115296</v>
      </c>
      <c r="DR112" s="82">
        <f t="shared" si="143"/>
        <v>5785.4350343546912</v>
      </c>
      <c r="DS112" s="82">
        <f t="shared" si="143"/>
        <v>4958.9440121197858</v>
      </c>
      <c r="DT112" s="82">
        <f t="shared" si="143"/>
        <v>4132.453249112993</v>
      </c>
      <c r="DU112" s="82">
        <f t="shared" si="143"/>
        <v>3305.9626983442263</v>
      </c>
      <c r="DV112" s="82">
        <f t="shared" si="143"/>
        <v>2479.4723213412594</v>
      </c>
      <c r="DW112" s="82">
        <f t="shared" si="143"/>
        <v>1652.9820866056978</v>
      </c>
      <c r="DX112" s="82">
        <f t="shared" si="143"/>
        <v>826.49196834883492</v>
      </c>
      <c r="DY112" s="82">
        <f t="shared" si="143"/>
        <v>8.1505851700822597E-7</v>
      </c>
    </row>
    <row r="113" spans="1:129" s="60" customFormat="1" x14ac:dyDescent="0.45">
      <c r="A113" s="112" t="s">
        <v>277</v>
      </c>
      <c r="B113" s="112"/>
      <c r="C113" s="112"/>
      <c r="D113" s="112"/>
      <c r="E113" s="112"/>
      <c r="F113" s="76"/>
      <c r="G113" s="76" t="e">
        <f>G105-G64</f>
        <v>#VALUE!</v>
      </c>
      <c r="H113" s="76">
        <f t="shared" ref="H113" si="144">H105-H64</f>
        <v>60</v>
      </c>
      <c r="I113" s="76">
        <f>I112+I109-I49-I46</f>
        <v>-5.5980000004637986E-2</v>
      </c>
      <c r="J113" s="76">
        <f t="shared" ref="J113:BU113" si="145">J112+J109-J49-J46</f>
        <v>76641.374777652934</v>
      </c>
      <c r="K113" s="76">
        <f t="shared" si="145"/>
        <v>80916.707410751085</v>
      </c>
      <c r="L113" s="76">
        <f t="shared" si="145"/>
        <v>85786.08758260592</v>
      </c>
      <c r="M113" s="76">
        <f t="shared" si="145"/>
        <v>91144.265021002444</v>
      </c>
      <c r="N113" s="76">
        <f t="shared" si="145"/>
        <v>97094.094629138068</v>
      </c>
      <c r="O113" s="76">
        <f t="shared" si="145"/>
        <v>103565.03694782875</v>
      </c>
      <c r="P113" s="76">
        <f t="shared" si="145"/>
        <v>107129.28005890665</v>
      </c>
      <c r="Q113" s="76">
        <f t="shared" si="145"/>
        <v>110920.59758777273</v>
      </c>
      <c r="R113" s="76">
        <f t="shared" si="145"/>
        <v>114900.29306891843</v>
      </c>
      <c r="S113" s="76">
        <f t="shared" si="145"/>
        <v>119036.69114220316</v>
      </c>
      <c r="T113" s="76">
        <f t="shared" si="145"/>
        <v>118268.72343835418</v>
      </c>
      <c r="U113" s="76">
        <f t="shared" si="145"/>
        <v>189230.79785786037</v>
      </c>
      <c r="V113" s="76">
        <f t="shared" si="145"/>
        <v>180120.50045601782</v>
      </c>
      <c r="W113" s="76">
        <f t="shared" si="145"/>
        <v>175349.1107623796</v>
      </c>
      <c r="X113" s="76">
        <f t="shared" si="145"/>
        <v>171429.88179859705</v>
      </c>
      <c r="Y113" s="76">
        <f t="shared" si="145"/>
        <v>168208.50767321754</v>
      </c>
      <c r="Z113" s="76">
        <f t="shared" si="145"/>
        <v>165558.65407217533</v>
      </c>
      <c r="AA113" s="76">
        <f t="shared" si="145"/>
        <v>163376.88787470668</v>
      </c>
      <c r="AB113" s="76">
        <f t="shared" si="145"/>
        <v>161578.52587398016</v>
      </c>
      <c r="AC113" s="76">
        <f t="shared" si="145"/>
        <v>160094.23599702341</v>
      </c>
      <c r="AD113" s="76">
        <f t="shared" si="145"/>
        <v>158867.25461896454</v>
      </c>
      <c r="AE113" s="76">
        <f t="shared" si="145"/>
        <v>157851.10829263687</v>
      </c>
      <c r="AF113" s="76">
        <f t="shared" si="145"/>
        <v>157007.74845855345</v>
      </c>
      <c r="AG113" s="76">
        <f t="shared" si="145"/>
        <v>101524.77463808919</v>
      </c>
      <c r="AH113" s="76">
        <f t="shared" si="145"/>
        <v>92289.045495434606</v>
      </c>
      <c r="AI113" s="76">
        <f t="shared" si="145"/>
        <v>87433.192279631941</v>
      </c>
      <c r="AJ113" s="76">
        <f t="shared" si="145"/>
        <v>83456.445320570288</v>
      </c>
      <c r="AK113" s="76">
        <f t="shared" si="145"/>
        <v>80199.695234577259</v>
      </c>
      <c r="AL113" s="76">
        <f t="shared" si="145"/>
        <v>77532.675267383995</v>
      </c>
      <c r="AM113" s="76">
        <f t="shared" si="145"/>
        <v>75348.733016415863</v>
      </c>
      <c r="AN113" s="76">
        <f t="shared" si="145"/>
        <v>73560.549879061698</v>
      </c>
      <c r="AO113" s="76">
        <f t="shared" si="145"/>
        <v>72096.63643334854</v>
      </c>
      <c r="AP113" s="76">
        <f t="shared" si="145"/>
        <v>70898.463098337932</v>
      </c>
      <c r="AQ113" s="76">
        <f t="shared" si="145"/>
        <v>69918.110917568149</v>
      </c>
      <c r="AR113" s="76">
        <f t="shared" si="145"/>
        <v>69116.348183228882</v>
      </c>
      <c r="AS113" s="76">
        <f t="shared" si="145"/>
        <v>130973.62761787485</v>
      </c>
      <c r="AT113" s="76">
        <f t="shared" si="145"/>
        <v>120251.38170432956</v>
      </c>
      <c r="AU113" s="76">
        <f t="shared" si="145"/>
        <v>114761.1970966089</v>
      </c>
      <c r="AV113" s="76">
        <f t="shared" si="145"/>
        <v>110313.61403964266</v>
      </c>
      <c r="AW113" s="76">
        <f t="shared" si="145"/>
        <v>106720.43272982797</v>
      </c>
      <c r="AX113" s="76">
        <f t="shared" si="145"/>
        <v>103827.5713966417</v>
      </c>
      <c r="AY113" s="76">
        <f t="shared" si="145"/>
        <v>101508.88176538145</v>
      </c>
      <c r="AZ113" s="76">
        <f t="shared" si="145"/>
        <v>99661.085586369809</v>
      </c>
      <c r="BA113" s="76">
        <f t="shared" si="145"/>
        <v>98199.629015749131</v>
      </c>
      <c r="BB113" s="76">
        <f t="shared" si="145"/>
        <v>97055.288469600084</v>
      </c>
      <c r="BC113" s="76">
        <f t="shared" si="145"/>
        <v>96171.391732380755</v>
      </c>
      <c r="BD113" s="76">
        <f t="shared" si="145"/>
        <v>95501.542792999171</v>
      </c>
      <c r="BE113" s="76">
        <f t="shared" si="145"/>
        <v>95007.759098190974</v>
      </c>
      <c r="BF113" s="76">
        <f t="shared" si="145"/>
        <v>94658.946464627646</v>
      </c>
      <c r="BG113" s="76">
        <f t="shared" si="145"/>
        <v>94429.650442611965</v>
      </c>
      <c r="BH113" s="76">
        <f t="shared" si="145"/>
        <v>94299.034019190047</v>
      </c>
      <c r="BI113" s="76">
        <f t="shared" si="145"/>
        <v>94250.040632304168</v>
      </c>
      <c r="BJ113" s="76">
        <f t="shared" si="145"/>
        <v>94268.708904794374</v>
      </c>
      <c r="BK113" s="76">
        <f t="shared" si="145"/>
        <v>94343.611596105417</v>
      </c>
      <c r="BL113" s="76">
        <f t="shared" si="145"/>
        <v>94465.396254850755</v>
      </c>
      <c r="BM113" s="76">
        <f t="shared" si="145"/>
        <v>94626.409136994407</v>
      </c>
      <c r="BN113" s="76">
        <f t="shared" si="145"/>
        <v>94820.387296156361</v>
      </c>
      <c r="BO113" s="76">
        <f t="shared" si="145"/>
        <v>95042.206488531869</v>
      </c>
      <c r="BP113" s="76">
        <f t="shared" si="145"/>
        <v>95287.674774951287</v>
      </c>
      <c r="BQ113" s="76">
        <f t="shared" si="145"/>
        <v>57054.363536595301</v>
      </c>
      <c r="BR113" s="76">
        <f t="shared" si="145"/>
        <v>56158.609352494364</v>
      </c>
      <c r="BS113" s="76">
        <f t="shared" si="145"/>
        <v>55273.292277460154</v>
      </c>
      <c r="BT113" s="76">
        <f t="shared" si="145"/>
        <v>54396.520384592084</v>
      </c>
      <c r="BU113" s="76">
        <f t="shared" si="145"/>
        <v>53526.744695154084</v>
      </c>
      <c r="BV113" s="76">
        <f t="shared" ref="BV113:DY113" si="146">BV112+BV109-BV49-BV46</f>
        <v>52662.697012619079</v>
      </c>
      <c r="BW113" s="76">
        <f t="shared" si="146"/>
        <v>51803.339025489404</v>
      </c>
      <c r="BX113" s="76">
        <f t="shared" si="146"/>
        <v>50947.820636210592</v>
      </c>
      <c r="BY113" s="76">
        <f t="shared" si="146"/>
        <v>50095.445843771813</v>
      </c>
      <c r="BZ113" s="76">
        <f t="shared" si="146"/>
        <v>49245.644810741171</v>
      </c>
      <c r="CA113" s="76">
        <f t="shared" si="146"/>
        <v>48397.950993689075</v>
      </c>
      <c r="CB113" s="76">
        <f t="shared" si="146"/>
        <v>47551.982419161905</v>
      </c>
      <c r="CC113" s="76">
        <f t="shared" si="146"/>
        <v>40233.27535374646</v>
      </c>
      <c r="CD113" s="76">
        <f t="shared" si="146"/>
        <v>39389.875752979795</v>
      </c>
      <c r="CE113" s="76">
        <f t="shared" si="146"/>
        <v>38547.422985385907</v>
      </c>
      <c r="CF113" s="76">
        <f t="shared" si="146"/>
        <v>37705.74541922861</v>
      </c>
      <c r="CG113" s="76">
        <f t="shared" si="146"/>
        <v>36864.702534327298</v>
      </c>
      <c r="CH113" s="76">
        <f t="shared" si="146"/>
        <v>36024.179282488643</v>
      </c>
      <c r="CI113" s="76">
        <f t="shared" si="146"/>
        <v>35184.081470218734</v>
      </c>
      <c r="CJ113" s="76">
        <f t="shared" si="146"/>
        <v>34344.331978407288</v>
      </c>
      <c r="CK113" s="76">
        <f t="shared" si="146"/>
        <v>33504.867667267135</v>
      </c>
      <c r="CL113" s="76">
        <f t="shared" si="146"/>
        <v>32665.636842312768</v>
      </c>
      <c r="CM113" s="76">
        <f t="shared" si="146"/>
        <v>31826.597179679095</v>
      </c>
      <c r="CN113" s="76">
        <f t="shared" si="146"/>
        <v>30987.71402751622</v>
      </c>
      <c r="CO113" s="76">
        <f t="shared" si="146"/>
        <v>30176.959015288958</v>
      </c>
      <c r="CP113" s="76">
        <f t="shared" si="146"/>
        <v>29338.308915167687</v>
      </c>
      <c r="CQ113" s="76">
        <f t="shared" si="146"/>
        <v>28499.744709813956</v>
      </c>
      <c r="CR113" s="76">
        <f t="shared" si="146"/>
        <v>27661.250829147943</v>
      </c>
      <c r="CS113" s="76">
        <f t="shared" si="146"/>
        <v>26822.814525466471</v>
      </c>
      <c r="CT113" s="76">
        <f t="shared" si="146"/>
        <v>25984.425361832888</v>
      </c>
      <c r="CU113" s="76">
        <f t="shared" si="146"/>
        <v>25146.074793206244</v>
      </c>
      <c r="CV113" s="76">
        <f t="shared" si="146"/>
        <v>24307.755823498668</v>
      </c>
      <c r="CW113" s="76">
        <f t="shared" si="146"/>
        <v>23469.462724797919</v>
      </c>
      <c r="CX113" s="76">
        <f t="shared" si="146"/>
        <v>22631.190807486069</v>
      </c>
      <c r="CY113" s="76">
        <f t="shared" si="146"/>
        <v>21792.936232028689</v>
      </c>
      <c r="CZ113" s="76">
        <f t="shared" si="146"/>
        <v>20954.695854880894</v>
      </c>
      <c r="DA113" s="76">
        <f t="shared" si="146"/>
        <v>20116.467102325783</v>
      </c>
      <c r="DB113" s="76">
        <f t="shared" si="146"/>
        <v>19278.24786718221</v>
      </c>
      <c r="DC113" s="76">
        <f t="shared" si="146"/>
        <v>18440.036424236147</v>
      </c>
      <c r="DD113" s="76">
        <f t="shared" si="146"/>
        <v>17601.831361001819</v>
      </c>
      <c r="DE113" s="76">
        <f t="shared" si="146"/>
        <v>16763.63152103368</v>
      </c>
      <c r="DF113" s="76">
        <f t="shared" si="146"/>
        <v>15925.435957514208</v>
      </c>
      <c r="DG113" s="76">
        <f t="shared" si="146"/>
        <v>15087.243895254773</v>
      </c>
      <c r="DH113" s="76">
        <f t="shared" si="146"/>
        <v>14249.054699584602</v>
      </c>
      <c r="DI113" s="76">
        <f t="shared" si="146"/>
        <v>13410.867850879222</v>
      </c>
      <c r="DJ113" s="76">
        <f t="shared" si="146"/>
        <v>12572.682923706088</v>
      </c>
      <c r="DK113" s="76">
        <f t="shared" si="146"/>
        <v>11734.499569750495</v>
      </c>
      <c r="DL113" s="76">
        <f t="shared" si="146"/>
        <v>10896.317503836493</v>
      </c>
      <c r="DM113" s="76">
        <f t="shared" si="146"/>
        <v>10058.136492481744</v>
      </c>
      <c r="DN113" s="76">
        <f t="shared" si="146"/>
        <v>9219.9563445270906</v>
      </c>
      <c r="DO113" s="76">
        <f t="shared" si="146"/>
        <v>8381.7769034646481</v>
      </c>
      <c r="DP113" s="76">
        <f t="shared" si="146"/>
        <v>7543.5980411565952</v>
      </c>
      <c r="DQ113" s="76">
        <f t="shared" si="146"/>
        <v>6705.4196526925643</v>
      </c>
      <c r="DR113" s="76">
        <f t="shared" si="146"/>
        <v>5867.2416521791993</v>
      </c>
      <c r="DS113" s="76">
        <f t="shared" si="146"/>
        <v>5029.0639692929817</v>
      </c>
      <c r="DT113" s="76">
        <f t="shared" si="146"/>
        <v>4190.886546457873</v>
      </c>
      <c r="DU113" s="76">
        <f t="shared" si="146"/>
        <v>3352.7093365346077</v>
      </c>
      <c r="DV113" s="76">
        <f t="shared" si="146"/>
        <v>2514.5323009288145</v>
      </c>
      <c r="DW113" s="76">
        <f t="shared" si="146"/>
        <v>1676.3554080420972</v>
      </c>
      <c r="DX113" s="76">
        <f t="shared" si="146"/>
        <v>838.17863200387626</v>
      </c>
      <c r="DY113" s="76">
        <f t="shared" si="146"/>
        <v>8.1505851700822597E-7</v>
      </c>
    </row>
    <row r="114" spans="1:129" x14ac:dyDescent="0.45">
      <c r="A114" s="61"/>
      <c r="B114" s="61"/>
      <c r="C114" s="140" t="s">
        <v>278</v>
      </c>
      <c r="D114" s="61"/>
      <c r="E114" s="61"/>
      <c r="F114" s="62"/>
      <c r="I114" s="64">
        <f>I112+I110-I49-I47</f>
        <v>-5.5980000004637986E-2</v>
      </c>
      <c r="J114" s="64">
        <f t="shared" ref="J114:BU114" si="147">J112+J110-J49-J47</f>
        <v>76648.107371950638</v>
      </c>
      <c r="K114" s="64">
        <f t="shared" si="147"/>
        <v>80915.261721322502</v>
      </c>
      <c r="L114" s="64">
        <f t="shared" si="147"/>
        <v>85786.08758260592</v>
      </c>
      <c r="M114" s="64">
        <f t="shared" si="147"/>
        <v>91144.265021002444</v>
      </c>
      <c r="N114" s="64">
        <f t="shared" si="147"/>
        <v>97094.094629138068</v>
      </c>
      <c r="O114" s="64">
        <f t="shared" si="147"/>
        <v>103565.03694782875</v>
      </c>
      <c r="P114" s="64">
        <f t="shared" si="147"/>
        <v>107129.28005890665</v>
      </c>
      <c r="Q114" s="64">
        <f t="shared" si="147"/>
        <v>110920.59758777273</v>
      </c>
      <c r="R114" s="64">
        <f t="shared" si="147"/>
        <v>114900.29306891843</v>
      </c>
      <c r="S114" s="64">
        <f t="shared" si="147"/>
        <v>119036.69114220316</v>
      </c>
      <c r="T114" s="64">
        <f>T112+T110-T49-T47</f>
        <v>118268.72343835418</v>
      </c>
      <c r="U114" s="64">
        <f t="shared" si="147"/>
        <v>139961.256632</v>
      </c>
      <c r="V114" s="64">
        <f t="shared" si="147"/>
        <v>135111.07313391936</v>
      </c>
      <c r="W114" s="64">
        <f t="shared" si="147"/>
        <v>132462.53334321838</v>
      </c>
      <c r="X114" s="64">
        <f t="shared" si="147"/>
        <v>130266.43081568835</v>
      </c>
      <c r="Y114" s="64">
        <f t="shared" si="147"/>
        <v>128440.83699431336</v>
      </c>
      <c r="Z114" s="64">
        <f t="shared" si="147"/>
        <v>126918.67479064513</v>
      </c>
      <c r="AA114" s="64">
        <f t="shared" si="147"/>
        <v>125645.02647165573</v>
      </c>
      <c r="AB114" s="64">
        <f t="shared" si="147"/>
        <v>124574.92954391844</v>
      </c>
      <c r="AC114" s="64">
        <f t="shared" si="147"/>
        <v>123671.57217620897</v>
      </c>
      <c r="AD114" s="64">
        <f t="shared" si="147"/>
        <v>122904.81573649838</v>
      </c>
      <c r="AE114" s="64">
        <f t="shared" si="147"/>
        <v>122249.98514755834</v>
      </c>
      <c r="AF114" s="64">
        <f t="shared" si="147"/>
        <v>121686.87851390023</v>
      </c>
      <c r="AG114" s="64">
        <f t="shared" si="147"/>
        <v>148178.92581585672</v>
      </c>
      <c r="AH114" s="64">
        <f t="shared" si="147"/>
        <v>130511.02330913456</v>
      </c>
      <c r="AI114" s="64">
        <f t="shared" si="147"/>
        <v>121445.4250959089</v>
      </c>
      <c r="AJ114" s="64">
        <f t="shared" si="147"/>
        <v>114058.20375122598</v>
      </c>
      <c r="AK114" s="64">
        <f t="shared" si="147"/>
        <v>107999.19994775621</v>
      </c>
      <c r="AL114" s="64">
        <f t="shared" si="147"/>
        <v>103042.21142033394</v>
      </c>
      <c r="AM114" s="64">
        <f t="shared" si="147"/>
        <v>98987.712665099112</v>
      </c>
      <c r="AN114" s="64">
        <f t="shared" si="147"/>
        <v>95672.346968631347</v>
      </c>
      <c r="AO114" s="64">
        <f t="shared" si="147"/>
        <v>92962.370122390712</v>
      </c>
      <c r="AP114" s="64">
        <f t="shared" si="147"/>
        <v>90748.282590119547</v>
      </c>
      <c r="AQ114" s="64">
        <f t="shared" si="147"/>
        <v>88940.43469823277</v>
      </c>
      <c r="AR114" s="64">
        <f t="shared" si="147"/>
        <v>87465.428470052168</v>
      </c>
      <c r="AS114" s="64">
        <f t="shared" si="147"/>
        <v>148775.74360548996</v>
      </c>
      <c r="AT114" s="64">
        <f t="shared" si="147"/>
        <v>137609.91016568086</v>
      </c>
      <c r="AU114" s="64">
        <f t="shared" si="147"/>
        <v>131760.76383969694</v>
      </c>
      <c r="AV114" s="64">
        <f t="shared" si="147"/>
        <v>127023.49283263701</v>
      </c>
      <c r="AW114" s="64">
        <f t="shared" si="147"/>
        <v>123197.32810539048</v>
      </c>
      <c r="AX114" s="64">
        <f t="shared" si="147"/>
        <v>120117.89701921024</v>
      </c>
      <c r="AY114" s="64">
        <f t="shared" si="147"/>
        <v>117650.62580033585</v>
      </c>
      <c r="AZ114" s="64">
        <f t="shared" si="147"/>
        <v>115685.33793493705</v>
      </c>
      <c r="BA114" s="64">
        <f t="shared" si="147"/>
        <v>114131.8317089897</v>
      </c>
      <c r="BB114" s="64">
        <f t="shared" si="147"/>
        <v>112916.25940421967</v>
      </c>
      <c r="BC114" s="64">
        <f t="shared" si="147"/>
        <v>111978.16283452291</v>
      </c>
      <c r="BD114" s="64">
        <f t="shared" si="147"/>
        <v>111268.0462485185</v>
      </c>
      <c r="BE114" s="64">
        <f t="shared" si="147"/>
        <v>110745.38919028066</v>
      </c>
      <c r="BF114" s="64">
        <f t="shared" si="147"/>
        <v>110377.01956736151</v>
      </c>
      <c r="BG114" s="64">
        <f t="shared" si="147"/>
        <v>110135.78163160125</v>
      </c>
      <c r="BH114" s="64">
        <f t="shared" si="147"/>
        <v>109999.44541410659</v>
      </c>
      <c r="BI114" s="64">
        <f t="shared" si="147"/>
        <v>109949.81384618263</v>
      </c>
      <c r="BJ114" s="64">
        <f t="shared" si="147"/>
        <v>109971.99173183437</v>
      </c>
      <c r="BK114" s="64">
        <f t="shared" si="147"/>
        <v>110053.78723312581</v>
      </c>
      <c r="BL114" s="64">
        <f t="shared" si="147"/>
        <v>110185.22184789169</v>
      </c>
      <c r="BM114" s="64">
        <f t="shared" si="147"/>
        <v>110358.12921347369</v>
      </c>
      <c r="BN114" s="64">
        <f t="shared" si="147"/>
        <v>110565.82663505593</v>
      </c>
      <c r="BO114" s="64">
        <f t="shared" si="147"/>
        <v>110802.84615586644</v>
      </c>
      <c r="BP114" s="64">
        <f t="shared" si="147"/>
        <v>111064.71437613483</v>
      </c>
      <c r="BQ114" s="64">
        <f t="shared" si="147"/>
        <v>43077.77218415706</v>
      </c>
      <c r="BR114" s="64">
        <f t="shared" si="147"/>
        <v>42210.067248903826</v>
      </c>
      <c r="BS114" s="64">
        <f t="shared" si="147"/>
        <v>41353.496403910744</v>
      </c>
      <c r="BT114" s="64">
        <f t="shared" si="147"/>
        <v>40506.041381021118</v>
      </c>
      <c r="BU114" s="64">
        <f t="shared" si="147"/>
        <v>39666.049762027244</v>
      </c>
      <c r="BV114" s="64">
        <f t="shared" ref="BV114:DY114" si="148">BV112+BV110-BV49-BV47</f>
        <v>38832.168661325428</v>
      </c>
      <c r="BW114" s="64">
        <f t="shared" si="148"/>
        <v>38003.290429866582</v>
      </c>
      <c r="BX114" s="64">
        <f t="shared" si="148"/>
        <v>37178.508201310535</v>
      </c>
      <c r="BY114" s="64">
        <f t="shared" si="148"/>
        <v>36357.079496295788</v>
      </c>
      <c r="BZ114" s="64">
        <f t="shared" si="148"/>
        <v>35538.396424135397</v>
      </c>
      <c r="CA114" s="64">
        <f t="shared" si="148"/>
        <v>34721.961286029604</v>
      </c>
      <c r="CB114" s="64">
        <f t="shared" si="148"/>
        <v>33907.366600665133</v>
      </c>
      <c r="CC114" s="64">
        <f t="shared" si="148"/>
        <v>29520.275430559581</v>
      </c>
      <c r="CD114" s="64">
        <f t="shared" si="148"/>
        <v>28708.421272820378</v>
      </c>
      <c r="CE114" s="64">
        <f t="shared" si="148"/>
        <v>27897.577176961287</v>
      </c>
      <c r="CF114" s="64">
        <f t="shared" si="148"/>
        <v>27087.560049825966</v>
      </c>
      <c r="CG114" s="64">
        <f t="shared" si="148"/>
        <v>26278.219987416669</v>
      </c>
      <c r="CH114" s="64">
        <f t="shared" si="148"/>
        <v>25469.434258720339</v>
      </c>
      <c r="CI114" s="64">
        <f t="shared" si="148"/>
        <v>24661.102380082342</v>
      </c>
      <c r="CJ114" s="64">
        <f t="shared" si="148"/>
        <v>23853.142082444319</v>
      </c>
      <c r="CK114" s="64">
        <f t="shared" si="148"/>
        <v>23045.48600959828</v>
      </c>
      <c r="CL114" s="64">
        <f t="shared" si="148"/>
        <v>22238.079014945281</v>
      </c>
      <c r="CM114" s="64">
        <f t="shared" si="148"/>
        <v>21430.875948268833</v>
      </c>
      <c r="CN114" s="64">
        <f t="shared" si="148"/>
        <v>20623.839843698217</v>
      </c>
      <c r="CO114" s="64">
        <f t="shared" si="148"/>
        <v>29028.940436138226</v>
      </c>
      <c r="CP114" s="64">
        <f t="shared" si="148"/>
        <v>28222.152946624694</v>
      </c>
      <c r="CQ114" s="64">
        <f t="shared" si="148"/>
        <v>27415.457087857627</v>
      </c>
      <c r="CR114" s="64">
        <f t="shared" si="148"/>
        <v>26608.836250000619</v>
      </c>
      <c r="CS114" s="64">
        <f t="shared" si="148"/>
        <v>25802.276834069802</v>
      </c>
      <c r="CT114" s="64">
        <f t="shared" si="148"/>
        <v>24995.767706158855</v>
      </c>
      <c r="CU114" s="64">
        <f t="shared" si="148"/>
        <v>24189.299750596307</v>
      </c>
      <c r="CV114" s="64">
        <f t="shared" si="148"/>
        <v>23382.865504101548</v>
      </c>
      <c r="CW114" s="64">
        <f t="shared" si="148"/>
        <v>22576.458856257268</v>
      </c>
      <c r="CX114" s="64">
        <f t="shared" si="148"/>
        <v>21770.074804276872</v>
      </c>
      <c r="CY114" s="64">
        <f t="shared" si="148"/>
        <v>20963.709252225119</v>
      </c>
      <c r="CZ114" s="64">
        <f t="shared" si="148"/>
        <v>20157.358846633888</v>
      </c>
      <c r="DA114" s="64">
        <f t="shared" si="148"/>
        <v>19351.020841915677</v>
      </c>
      <c r="DB114" s="64">
        <f t="shared" si="148"/>
        <v>18544.692990173578</v>
      </c>
      <c r="DC114" s="64">
        <f t="shared" si="148"/>
        <v>17738.373450985258</v>
      </c>
      <c r="DD114" s="64">
        <f t="shared" si="148"/>
        <v>16932.060717540357</v>
      </c>
      <c r="DE114" s="64">
        <f t="shared" si="148"/>
        <v>16125.753556166883</v>
      </c>
      <c r="DF114" s="64">
        <f t="shared" si="148"/>
        <v>15319.450956819644</v>
      </c>
      <c r="DG114" s="64">
        <f t="shared" si="148"/>
        <v>14513.152092543587</v>
      </c>
      <c r="DH114" s="64">
        <f t="shared" si="148"/>
        <v>13706.856286285165</v>
      </c>
      <c r="DI114" s="64">
        <f t="shared" si="148"/>
        <v>12900.562983719836</v>
      </c>
      <c r="DJ114" s="64">
        <f t="shared" si="148"/>
        <v>12094.271731005025</v>
      </c>
      <c r="DK114" s="64">
        <f t="shared" si="148"/>
        <v>11287.982156565873</v>
      </c>
      <c r="DL114" s="64">
        <f t="shared" si="148"/>
        <v>10481.693956182626</v>
      </c>
      <c r="DM114" s="64">
        <f t="shared" si="148"/>
        <v>9675.4068807811927</v>
      </c>
      <c r="DN114" s="64">
        <f t="shared" si="148"/>
        <v>8869.120726436975</v>
      </c>
      <c r="DO114" s="64">
        <f t="shared" si="148"/>
        <v>8062.8353261906241</v>
      </c>
      <c r="DP114" s="64">
        <f t="shared" si="148"/>
        <v>7256.5505433473845</v>
      </c>
      <c r="DQ114" s="64">
        <f t="shared" si="148"/>
        <v>6450.266265991062</v>
      </c>
      <c r="DR114" s="64">
        <f t="shared" si="148"/>
        <v>5643.9824024924201</v>
      </c>
      <c r="DS114" s="64">
        <f t="shared" si="148"/>
        <v>4837.6988778317937</v>
      </c>
      <c r="DT114" s="64">
        <f t="shared" si="148"/>
        <v>4031.4156305882675</v>
      </c>
      <c r="DU114" s="64">
        <f t="shared" si="148"/>
        <v>3225.1326104746531</v>
      </c>
      <c r="DV114" s="64">
        <f t="shared" si="148"/>
        <v>2418.8497763192827</v>
      </c>
      <c r="DW114" s="64">
        <f t="shared" si="148"/>
        <v>1612.5670944136464</v>
      </c>
      <c r="DX114" s="64">
        <f t="shared" si="148"/>
        <v>806.28453715954834</v>
      </c>
      <c r="DY114" s="64">
        <f t="shared" si="148"/>
        <v>8.1505851700822597E-7</v>
      </c>
    </row>
    <row r="115" spans="1:129" x14ac:dyDescent="0.45">
      <c r="A115" s="85"/>
      <c r="B115" s="64"/>
      <c r="C115" s="141" t="s">
        <v>279</v>
      </c>
      <c r="I115" s="64">
        <f>I112+I111-I49-I48</f>
        <v>-5.5980000004637986E-2</v>
      </c>
      <c r="J115" s="64">
        <f t="shared" ref="J115:BU115" si="149">J112+J111-J49-J48</f>
        <v>76641.374777652934</v>
      </c>
      <c r="K115" s="64">
        <f t="shared" si="149"/>
        <v>80916.707410751085</v>
      </c>
      <c r="L115" s="64">
        <f t="shared" si="149"/>
        <v>85786.08758260592</v>
      </c>
      <c r="M115" s="64">
        <f t="shared" si="149"/>
        <v>91144.265021002444</v>
      </c>
      <c r="N115" s="64">
        <f t="shared" si="149"/>
        <v>97094.094629138068</v>
      </c>
      <c r="O115" s="64">
        <f t="shared" si="149"/>
        <v>103565.03694782875</v>
      </c>
      <c r="P115" s="64">
        <f t="shared" si="149"/>
        <v>107129.28005890665</v>
      </c>
      <c r="Q115" s="64">
        <f t="shared" si="149"/>
        <v>110920.59758777273</v>
      </c>
      <c r="R115" s="64">
        <f t="shared" si="149"/>
        <v>114900.29306891843</v>
      </c>
      <c r="S115" s="64">
        <f t="shared" si="149"/>
        <v>119036.69114220316</v>
      </c>
      <c r="T115" s="64">
        <f t="shared" si="149"/>
        <v>118268.72343835418</v>
      </c>
      <c r="U115" s="64">
        <f t="shared" si="149"/>
        <v>139961.256632</v>
      </c>
      <c r="V115" s="64">
        <f t="shared" si="149"/>
        <v>135111.07313391936</v>
      </c>
      <c r="W115" s="64">
        <f t="shared" si="149"/>
        <v>132462.53334321838</v>
      </c>
      <c r="X115" s="64">
        <f t="shared" si="149"/>
        <v>130266.43081568835</v>
      </c>
      <c r="Y115" s="64">
        <f t="shared" si="149"/>
        <v>128440.83699431336</v>
      </c>
      <c r="Z115" s="64">
        <f t="shared" si="149"/>
        <v>126918.67479064513</v>
      </c>
      <c r="AA115" s="64">
        <f t="shared" si="149"/>
        <v>125645.02647165573</v>
      </c>
      <c r="AB115" s="64">
        <f t="shared" si="149"/>
        <v>124574.92954391844</v>
      </c>
      <c r="AC115" s="64">
        <f t="shared" si="149"/>
        <v>123671.57217620897</v>
      </c>
      <c r="AD115" s="64">
        <f t="shared" si="149"/>
        <v>122904.81573649838</v>
      </c>
      <c r="AE115" s="64">
        <f t="shared" si="149"/>
        <v>122249.98514755834</v>
      </c>
      <c r="AF115" s="64">
        <f t="shared" si="149"/>
        <v>121686.87851390023</v>
      </c>
      <c r="AG115" s="64">
        <f t="shared" si="149"/>
        <v>83222.606636377925</v>
      </c>
      <c r="AH115" s="64">
        <f t="shared" si="149"/>
        <v>74146.190548511586</v>
      </c>
      <c r="AI115" s="64">
        <f t="shared" si="149"/>
        <v>69404.955123121312</v>
      </c>
      <c r="AJ115" s="64">
        <f t="shared" si="149"/>
        <v>65506.148693839365</v>
      </c>
      <c r="AK115" s="64">
        <f t="shared" si="149"/>
        <v>62297.226124646935</v>
      </c>
      <c r="AL115" s="64">
        <f t="shared" si="149"/>
        <v>59653.294672743934</v>
      </c>
      <c r="AM115" s="64">
        <f t="shared" si="149"/>
        <v>57472.101462684106</v>
      </c>
      <c r="AN115" s="64">
        <f t="shared" si="149"/>
        <v>55669.92957730894</v>
      </c>
      <c r="AO115" s="64">
        <f t="shared" si="149"/>
        <v>54178.238061198601</v>
      </c>
      <c r="AP115" s="64">
        <f t="shared" si="149"/>
        <v>52940.910988177238</v>
      </c>
      <c r="AQ115" s="64">
        <f t="shared" si="149"/>
        <v>51912.005188290947</v>
      </c>
      <c r="AR115" s="64">
        <f t="shared" si="149"/>
        <v>51053.906242631005</v>
      </c>
      <c r="AS115" s="64">
        <f t="shared" si="149"/>
        <v>231556.64260086778</v>
      </c>
      <c r="AT115" s="64">
        <f t="shared" si="149"/>
        <v>210635.62129393549</v>
      </c>
      <c r="AU115" s="64">
        <f t="shared" si="149"/>
        <v>200075.58790696488</v>
      </c>
      <c r="AV115" s="64">
        <f t="shared" si="149"/>
        <v>191515.97337808518</v>
      </c>
      <c r="AW115" s="64">
        <f t="shared" si="149"/>
        <v>184595.40078489718</v>
      </c>
      <c r="AX115" s="64">
        <f t="shared" si="149"/>
        <v>179018.00472325759</v>
      </c>
      <c r="AY115" s="64">
        <f t="shared" si="149"/>
        <v>174541.55610386742</v>
      </c>
      <c r="AZ115" s="64">
        <f t="shared" si="149"/>
        <v>170967.73955812069</v>
      </c>
      <c r="BA115" s="64">
        <f t="shared" si="149"/>
        <v>168134.19325135549</v>
      </c>
      <c r="BB115" s="64">
        <f t="shared" si="149"/>
        <v>165907.99163324415</v>
      </c>
      <c r="BC115" s="64">
        <f t="shared" si="149"/>
        <v>164180.30956519421</v>
      </c>
      <c r="BD115" s="64">
        <f t="shared" si="149"/>
        <v>162862.0536774405</v>
      </c>
      <c r="BE115" s="64">
        <f t="shared" si="149"/>
        <v>161880.28562683001</v>
      </c>
      <c r="BF115" s="64">
        <f t="shared" si="149"/>
        <v>161175.29370805749</v>
      </c>
      <c r="BG115" s="64">
        <f t="shared" si="149"/>
        <v>160698.19529181169</v>
      </c>
      <c r="BH115" s="64">
        <f t="shared" si="149"/>
        <v>160408.97386723643</v>
      </c>
      <c r="BI115" s="64">
        <f t="shared" si="149"/>
        <v>160274.87190831191</v>
      </c>
      <c r="BJ115" s="64">
        <f t="shared" si="149"/>
        <v>160269.0750642202</v>
      </c>
      <c r="BK115" s="64">
        <f t="shared" si="149"/>
        <v>160369.63486561904</v>
      </c>
      <c r="BL115" s="64">
        <f t="shared" si="149"/>
        <v>160558.58671122204</v>
      </c>
      <c r="BM115" s="64">
        <f t="shared" si="149"/>
        <v>160821.2277363739</v>
      </c>
      <c r="BN115" s="64">
        <f t="shared" si="149"/>
        <v>161145.52558193114</v>
      </c>
      <c r="BO115" s="64">
        <f t="shared" si="149"/>
        <v>161521.63433524891</v>
      </c>
      <c r="BP115" s="64">
        <f t="shared" si="149"/>
        <v>161941.49821626776</v>
      </c>
      <c r="BQ115" s="64">
        <f t="shared" si="149"/>
        <v>65921.527103211571</v>
      </c>
      <c r="BR115" s="64">
        <f t="shared" si="149"/>
        <v>64568.118144481421</v>
      </c>
      <c r="BS115" s="64">
        <f t="shared" si="149"/>
        <v>63234.749940128924</v>
      </c>
      <c r="BT115" s="64">
        <f t="shared" si="149"/>
        <v>61917.789717700187</v>
      </c>
      <c r="BU115" s="64">
        <f t="shared" si="149"/>
        <v>60614.263214668441</v>
      </c>
      <c r="BV115" s="64">
        <f t="shared" ref="BV115:DY115" si="150">BV112+BV111-BV49-BV48</f>
        <v>59321.735310835211</v>
      </c>
      <c r="BW115" s="64">
        <f t="shared" si="150"/>
        <v>58038.212298406594</v>
      </c>
      <c r="BX115" s="64">
        <f t="shared" si="150"/>
        <v>56762.061867499018</v>
      </c>
      <c r="BY115" s="64">
        <f t="shared" si="150"/>
        <v>55491.947595812366</v>
      </c>
      <c r="BZ115" s="64">
        <f t="shared" si="150"/>
        <v>54226.775313310281</v>
      </c>
      <c r="CA115" s="64">
        <f t="shared" si="150"/>
        <v>52965.649189335069</v>
      </c>
      <c r="CB115" s="64">
        <f t="shared" si="150"/>
        <v>51707.835779777553</v>
      </c>
      <c r="CC115" s="64">
        <f t="shared" si="150"/>
        <v>50206.178731389984</v>
      </c>
      <c r="CD115" s="64">
        <f t="shared" si="150"/>
        <v>48953.298121883461</v>
      </c>
      <c r="CE115" s="64">
        <f t="shared" si="150"/>
        <v>47702.235568596414</v>
      </c>
      <c r="CF115" s="64">
        <f t="shared" si="150"/>
        <v>46452.661513847124</v>
      </c>
      <c r="CG115" s="64">
        <f t="shared" si="150"/>
        <v>45204.306138626584</v>
      </c>
      <c r="CH115" s="64">
        <f t="shared" si="150"/>
        <v>43956.948533814386</v>
      </c>
      <c r="CI115" s="64">
        <f t="shared" si="150"/>
        <v>42710.407834320024</v>
      </c>
      <c r="CJ115" s="64">
        <f t="shared" si="150"/>
        <v>41464.535960331683</v>
      </c>
      <c r="CK115" s="64">
        <f t="shared" si="150"/>
        <v>40219.211674353603</v>
      </c>
      <c r="CL115" s="64">
        <f t="shared" si="150"/>
        <v>38974.335715519541</v>
      </c>
      <c r="CM115" s="64">
        <f t="shared" si="150"/>
        <v>37729.826815905704</v>
      </c>
      <c r="CN115" s="64">
        <f t="shared" si="150"/>
        <v>36485.618438963676</v>
      </c>
      <c r="CO115" s="64">
        <f t="shared" si="150"/>
        <v>44747.656109175048</v>
      </c>
      <c r="CP115" s="64">
        <f t="shared" si="150"/>
        <v>43503.895225757631</v>
      </c>
      <c r="CQ115" s="64">
        <f t="shared" si="150"/>
        <v>42260.299272679418</v>
      </c>
      <c r="CR115" s="64">
        <f t="shared" si="150"/>
        <v>41016.838353142019</v>
      </c>
      <c r="CS115" s="64">
        <f t="shared" si="150"/>
        <v>39773.487989717192</v>
      </c>
      <c r="CT115" s="64">
        <f t="shared" si="150"/>
        <v>38530.228141981643</v>
      </c>
      <c r="CU115" s="64">
        <f t="shared" si="150"/>
        <v>37287.042402224579</v>
      </c>
      <c r="CV115" s="64">
        <f t="shared" si="150"/>
        <v>36043.917336948522</v>
      </c>
      <c r="CW115" s="64">
        <f t="shared" si="150"/>
        <v>34800.841947736</v>
      </c>
      <c r="CX115" s="64">
        <f t="shared" si="150"/>
        <v>33557.807229844388</v>
      </c>
      <c r="CY115" s="64">
        <f t="shared" si="150"/>
        <v>32314.805810813967</v>
      </c>
      <c r="CZ115" s="64">
        <f t="shared" si="150"/>
        <v>31071.831654585254</v>
      </c>
      <c r="DA115" s="64">
        <f t="shared" si="150"/>
        <v>29828.879819250709</v>
      </c>
      <c r="DB115" s="64">
        <f t="shared" si="150"/>
        <v>28585.946258718657</v>
      </c>
      <c r="DC115" s="64">
        <f t="shared" si="150"/>
        <v>27343.027660329415</v>
      </c>
      <c r="DD115" s="64">
        <f t="shared" si="150"/>
        <v>26100.121311906623</v>
      </c>
      <c r="DE115" s="64">
        <f t="shared" si="150"/>
        <v>24857.224992908079</v>
      </c>
      <c r="DF115" s="64">
        <f t="shared" si="150"/>
        <v>23614.336885307617</v>
      </c>
      <c r="DG115" s="64">
        <f t="shared" si="150"/>
        <v>22371.45550063128</v>
      </c>
      <c r="DH115" s="64">
        <f t="shared" si="150"/>
        <v>21128.579620219673</v>
      </c>
      <c r="DI115" s="64">
        <f t="shared" si="150"/>
        <v>19885.708246318885</v>
      </c>
      <c r="DJ115" s="64">
        <f t="shared" si="150"/>
        <v>18642.840562037083</v>
      </c>
      <c r="DK115" s="64">
        <f t="shared" si="150"/>
        <v>17399.975898559816</v>
      </c>
      <c r="DL115" s="64">
        <f t="shared" si="150"/>
        <v>16157.113708308127</v>
      </c>
      <c r="DM115" s="64">
        <f t="shared" si="150"/>
        <v>14914.253542962262</v>
      </c>
      <c r="DN115" s="64">
        <f t="shared" si="150"/>
        <v>13671.395035469082</v>
      </c>
      <c r="DO115" s="64">
        <f t="shared" si="150"/>
        <v>12428.537885310874</v>
      </c>
      <c r="DP115" s="64">
        <f t="shared" si="150"/>
        <v>11185.68184644455</v>
      </c>
      <c r="DQ115" s="64">
        <f t="shared" si="150"/>
        <v>9942.8267174270677</v>
      </c>
      <c r="DR115" s="64">
        <f t="shared" si="150"/>
        <v>8699.9723333308102</v>
      </c>
      <c r="DS115" s="64">
        <f t="shared" si="150"/>
        <v>7457.1185591244703</v>
      </c>
      <c r="DT115" s="64">
        <f t="shared" si="150"/>
        <v>6214.2652842537627</v>
      </c>
      <c r="DU115" s="64">
        <f t="shared" si="150"/>
        <v>4971.4124182044907</v>
      </c>
      <c r="DV115" s="64">
        <f t="shared" si="150"/>
        <v>3728.559886869903</v>
      </c>
      <c r="DW115" s="64">
        <f t="shared" si="150"/>
        <v>2485.70762957652</v>
      </c>
      <c r="DX115" s="64">
        <f t="shared" si="150"/>
        <v>1242.8555966490987</v>
      </c>
      <c r="DY115" s="64">
        <f t="shared" si="150"/>
        <v>8.1505851700822597E-7</v>
      </c>
    </row>
    <row r="116" spans="1:129" x14ac:dyDescent="0.45">
      <c r="A116" s="71"/>
    </row>
    <row r="117" spans="1:129" x14ac:dyDescent="0.45">
      <c r="A117" s="71"/>
    </row>
    <row r="119" spans="1:129" x14ac:dyDescent="0.45">
      <c r="C119" s="11" t="s">
        <v>33</v>
      </c>
    </row>
    <row r="120" spans="1:129" x14ac:dyDescent="0.45">
      <c r="C120" s="11" t="s">
        <v>34</v>
      </c>
    </row>
  </sheetData>
  <mergeCells count="3">
    <mergeCell ref="E1:F1"/>
    <mergeCell ref="G1:H1"/>
    <mergeCell ref="A113:E1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0E61-7BD0-4A53-A213-8AE92F53E73B}">
  <dimension ref="A1:II7"/>
  <sheetViews>
    <sheetView topLeftCell="A4" workbookViewId="0">
      <selection activeCell="A30" sqref="A30:A32"/>
    </sheetView>
  </sheetViews>
  <sheetFormatPr baseColWidth="10" defaultRowHeight="14.25" x14ac:dyDescent="0.45"/>
  <cols>
    <col min="1" max="1" width="28.796875" bestFit="1" customWidth="1"/>
  </cols>
  <sheetData>
    <row r="1" spans="1:243" x14ac:dyDescent="0.45">
      <c r="A1" s="2" t="s">
        <v>56</v>
      </c>
      <c r="B1" s="2" t="s">
        <v>57</v>
      </c>
      <c r="C1" s="2" t="s">
        <v>58</v>
      </c>
      <c r="D1" s="21">
        <v>1</v>
      </c>
      <c r="E1" s="21">
        <v>2</v>
      </c>
      <c r="F1" s="21">
        <v>3</v>
      </c>
      <c r="G1" s="21">
        <v>4</v>
      </c>
      <c r="H1" s="21">
        <v>5</v>
      </c>
      <c r="I1" s="21">
        <v>6</v>
      </c>
      <c r="J1" s="21">
        <v>7</v>
      </c>
      <c r="K1" s="21">
        <v>8</v>
      </c>
      <c r="L1" s="21">
        <v>9</v>
      </c>
      <c r="M1" s="21">
        <v>10</v>
      </c>
      <c r="N1" s="21">
        <v>11</v>
      </c>
      <c r="O1" s="21">
        <v>12</v>
      </c>
      <c r="P1" s="21">
        <v>13</v>
      </c>
      <c r="Q1" s="21">
        <v>14</v>
      </c>
      <c r="R1" s="21">
        <v>15</v>
      </c>
      <c r="S1" s="21">
        <v>16</v>
      </c>
      <c r="T1" s="21">
        <v>17</v>
      </c>
      <c r="U1" s="21">
        <v>18</v>
      </c>
      <c r="V1" s="21">
        <v>19</v>
      </c>
      <c r="W1" s="21">
        <v>20</v>
      </c>
      <c r="X1" s="21">
        <v>21</v>
      </c>
      <c r="Y1" s="21">
        <v>22</v>
      </c>
      <c r="Z1" s="21">
        <v>23</v>
      </c>
      <c r="AA1" s="21">
        <v>24</v>
      </c>
      <c r="AB1" s="21">
        <v>25</v>
      </c>
      <c r="AC1" s="21">
        <v>26</v>
      </c>
      <c r="AD1" s="21">
        <v>27</v>
      </c>
      <c r="AE1" s="21">
        <v>28</v>
      </c>
      <c r="AF1" s="21">
        <v>29</v>
      </c>
      <c r="AG1" s="21">
        <v>30</v>
      </c>
      <c r="AH1" s="21">
        <v>31</v>
      </c>
      <c r="AI1" s="21">
        <v>32</v>
      </c>
      <c r="AJ1" s="21">
        <v>33</v>
      </c>
      <c r="AK1" s="21">
        <v>34</v>
      </c>
      <c r="AL1" s="21">
        <v>35</v>
      </c>
      <c r="AM1" s="21">
        <v>36</v>
      </c>
      <c r="AN1" s="21">
        <v>37</v>
      </c>
      <c r="AO1" s="21">
        <v>38</v>
      </c>
      <c r="AP1" s="21">
        <v>39</v>
      </c>
      <c r="AQ1" s="21">
        <v>40</v>
      </c>
      <c r="AR1" s="21">
        <v>41</v>
      </c>
      <c r="AS1" s="21">
        <v>42</v>
      </c>
      <c r="AT1" s="21">
        <v>43</v>
      </c>
      <c r="AU1" s="21">
        <v>44</v>
      </c>
      <c r="AV1" s="21">
        <v>45</v>
      </c>
      <c r="AW1" s="21">
        <v>46</v>
      </c>
      <c r="AX1" s="21">
        <v>47</v>
      </c>
      <c r="AY1" s="21">
        <v>48</v>
      </c>
      <c r="AZ1" s="21">
        <v>49</v>
      </c>
      <c r="BA1" s="21">
        <v>50</v>
      </c>
      <c r="BB1" s="21">
        <v>51</v>
      </c>
      <c r="BC1" s="21">
        <v>52</v>
      </c>
      <c r="BD1" s="21">
        <v>53</v>
      </c>
      <c r="BE1" s="21">
        <v>54</v>
      </c>
      <c r="BF1" s="21">
        <v>55</v>
      </c>
      <c r="BG1" s="21">
        <v>56</v>
      </c>
      <c r="BH1" s="21">
        <v>57</v>
      </c>
      <c r="BI1" s="21">
        <v>58</v>
      </c>
      <c r="BJ1" s="21">
        <v>59</v>
      </c>
      <c r="BK1" s="21">
        <v>60</v>
      </c>
      <c r="BL1" s="21">
        <v>61</v>
      </c>
      <c r="BM1" s="21">
        <v>62</v>
      </c>
      <c r="BN1" s="21">
        <v>63</v>
      </c>
      <c r="BO1" s="21">
        <v>64</v>
      </c>
      <c r="BP1" s="21">
        <v>65</v>
      </c>
      <c r="BQ1" s="21">
        <v>66</v>
      </c>
      <c r="BR1" s="21">
        <v>67</v>
      </c>
      <c r="BS1" s="21">
        <v>68</v>
      </c>
      <c r="BT1" s="21">
        <v>69</v>
      </c>
      <c r="BU1" s="21">
        <v>70</v>
      </c>
      <c r="BV1" s="21">
        <v>71</v>
      </c>
      <c r="BW1" s="21">
        <v>72</v>
      </c>
      <c r="BX1" s="21">
        <v>73</v>
      </c>
      <c r="BY1" s="21">
        <v>74</v>
      </c>
      <c r="BZ1" s="21">
        <v>75</v>
      </c>
      <c r="CA1" s="21">
        <v>76</v>
      </c>
      <c r="CB1" s="21">
        <v>77</v>
      </c>
      <c r="CC1" s="21">
        <v>78</v>
      </c>
      <c r="CD1" s="21">
        <v>79</v>
      </c>
      <c r="CE1" s="21">
        <v>80</v>
      </c>
      <c r="CF1" s="21">
        <v>81</v>
      </c>
      <c r="CG1" s="21">
        <v>82</v>
      </c>
      <c r="CH1" s="21">
        <v>83</v>
      </c>
      <c r="CI1" s="21">
        <v>84</v>
      </c>
      <c r="CJ1" s="21">
        <v>85</v>
      </c>
      <c r="CK1" s="21">
        <v>86</v>
      </c>
      <c r="CL1" s="21">
        <v>87</v>
      </c>
      <c r="CM1" s="21">
        <v>88</v>
      </c>
      <c r="CN1" s="21">
        <v>89</v>
      </c>
      <c r="CO1" s="21">
        <v>90</v>
      </c>
      <c r="CP1" s="21">
        <v>91</v>
      </c>
      <c r="CQ1" s="21">
        <v>92</v>
      </c>
      <c r="CR1" s="21">
        <v>93</v>
      </c>
      <c r="CS1" s="21">
        <v>94</v>
      </c>
      <c r="CT1" s="21">
        <v>95</v>
      </c>
      <c r="CU1" s="21">
        <v>96</v>
      </c>
      <c r="CV1" s="21">
        <v>97</v>
      </c>
      <c r="CW1" s="21">
        <v>98</v>
      </c>
      <c r="CX1" s="21">
        <v>99</v>
      </c>
      <c r="CY1" s="21">
        <v>100</v>
      </c>
      <c r="CZ1" s="21">
        <v>101</v>
      </c>
      <c r="DA1" s="21">
        <v>102</v>
      </c>
      <c r="DB1" s="21">
        <v>103</v>
      </c>
      <c r="DC1" s="21">
        <v>104</v>
      </c>
      <c r="DD1" s="21">
        <v>105</v>
      </c>
      <c r="DE1" s="21">
        <v>106</v>
      </c>
      <c r="DF1" s="21">
        <v>107</v>
      </c>
      <c r="DG1" s="21">
        <v>108</v>
      </c>
      <c r="DH1" s="21">
        <v>109</v>
      </c>
      <c r="DI1" s="21">
        <v>110</v>
      </c>
      <c r="DJ1" s="21">
        <v>111</v>
      </c>
      <c r="DK1" s="21">
        <v>112</v>
      </c>
      <c r="DL1" s="21">
        <v>113</v>
      </c>
      <c r="DM1" s="21">
        <v>114</v>
      </c>
      <c r="DN1" s="21">
        <v>115</v>
      </c>
      <c r="DO1" s="21">
        <v>116</v>
      </c>
      <c r="DP1" s="21">
        <v>117</v>
      </c>
      <c r="DQ1" s="21">
        <v>118</v>
      </c>
      <c r="DR1" s="21">
        <v>119</v>
      </c>
      <c r="DS1" s="21">
        <v>120</v>
      </c>
      <c r="DT1" s="21">
        <v>121</v>
      </c>
      <c r="DU1" s="21">
        <v>122</v>
      </c>
      <c r="DV1" s="21">
        <v>123</v>
      </c>
      <c r="DW1" s="21">
        <v>124</v>
      </c>
      <c r="DX1" s="21">
        <v>125</v>
      </c>
      <c r="DY1" s="21">
        <v>126</v>
      </c>
      <c r="DZ1" s="21">
        <v>127</v>
      </c>
      <c r="EA1" s="21">
        <v>128</v>
      </c>
      <c r="EB1" s="21">
        <v>129</v>
      </c>
      <c r="EC1" s="21">
        <v>130</v>
      </c>
      <c r="ED1" s="21">
        <v>131</v>
      </c>
      <c r="EE1" s="21">
        <v>132</v>
      </c>
      <c r="EF1" s="21">
        <v>133</v>
      </c>
      <c r="EG1" s="21">
        <v>134</v>
      </c>
      <c r="EH1" s="21">
        <v>135</v>
      </c>
      <c r="EI1" s="21">
        <v>136</v>
      </c>
      <c r="EJ1" s="21">
        <v>137</v>
      </c>
      <c r="EK1" s="21">
        <v>138</v>
      </c>
      <c r="EL1" s="21">
        <v>139</v>
      </c>
      <c r="EM1" s="21">
        <v>140</v>
      </c>
      <c r="EN1" s="21">
        <v>141</v>
      </c>
      <c r="EO1" s="21">
        <v>142</v>
      </c>
      <c r="EP1" s="21">
        <v>143</v>
      </c>
      <c r="EQ1" s="21">
        <v>144</v>
      </c>
      <c r="ER1" s="21">
        <v>145</v>
      </c>
      <c r="ES1" s="21">
        <v>146</v>
      </c>
      <c r="ET1" s="21">
        <v>147</v>
      </c>
      <c r="EU1" s="21">
        <v>148</v>
      </c>
      <c r="EV1" s="21">
        <v>149</v>
      </c>
      <c r="EW1" s="21">
        <v>150</v>
      </c>
      <c r="EX1" s="21">
        <v>151</v>
      </c>
      <c r="EY1" s="21">
        <v>152</v>
      </c>
      <c r="EZ1" s="21">
        <v>153</v>
      </c>
      <c r="FA1" s="21">
        <v>154</v>
      </c>
      <c r="FB1" s="21">
        <v>155</v>
      </c>
      <c r="FC1" s="21">
        <v>156</v>
      </c>
      <c r="FD1" s="21">
        <v>157</v>
      </c>
      <c r="FE1" s="21">
        <v>158</v>
      </c>
      <c r="FF1" s="21">
        <v>159</v>
      </c>
      <c r="FG1" s="21">
        <v>160</v>
      </c>
      <c r="FH1" s="21">
        <v>161</v>
      </c>
      <c r="FI1" s="21">
        <v>162</v>
      </c>
      <c r="FJ1" s="21">
        <v>163</v>
      </c>
      <c r="FK1" s="21">
        <v>164</v>
      </c>
      <c r="FL1" s="21">
        <v>165</v>
      </c>
      <c r="FM1" s="21">
        <v>166</v>
      </c>
      <c r="FN1" s="21">
        <v>167</v>
      </c>
      <c r="FO1" s="21">
        <v>168</v>
      </c>
      <c r="FP1" s="21">
        <v>169</v>
      </c>
      <c r="FQ1" s="21">
        <v>170</v>
      </c>
      <c r="FR1" s="21">
        <v>171</v>
      </c>
      <c r="FS1" s="21">
        <v>172</v>
      </c>
      <c r="FT1" s="21">
        <v>173</v>
      </c>
      <c r="FU1" s="21">
        <v>174</v>
      </c>
      <c r="FV1" s="21">
        <v>175</v>
      </c>
      <c r="FW1" s="21">
        <v>176</v>
      </c>
      <c r="FX1" s="21">
        <v>177</v>
      </c>
      <c r="FY1" s="21">
        <v>178</v>
      </c>
      <c r="FZ1" s="21">
        <v>179</v>
      </c>
      <c r="GA1" s="21">
        <v>180</v>
      </c>
      <c r="GB1" s="21">
        <v>181</v>
      </c>
      <c r="GC1" s="21">
        <v>182</v>
      </c>
      <c r="GD1" s="21">
        <v>183</v>
      </c>
      <c r="GE1" s="21">
        <v>184</v>
      </c>
      <c r="GF1" s="21">
        <v>185</v>
      </c>
      <c r="GG1" s="21">
        <v>186</v>
      </c>
      <c r="GH1" s="21">
        <v>187</v>
      </c>
      <c r="GI1" s="21">
        <v>188</v>
      </c>
      <c r="GJ1" s="21">
        <v>189</v>
      </c>
      <c r="GK1" s="21">
        <v>190</v>
      </c>
      <c r="GL1" s="21">
        <v>191</v>
      </c>
      <c r="GM1" s="21">
        <v>192</v>
      </c>
      <c r="GN1" s="21">
        <v>193</v>
      </c>
      <c r="GO1" s="21">
        <v>194</v>
      </c>
      <c r="GP1" s="21">
        <v>195</v>
      </c>
      <c r="GQ1" s="21">
        <v>196</v>
      </c>
      <c r="GR1" s="21">
        <v>197</v>
      </c>
      <c r="GS1" s="21">
        <v>198</v>
      </c>
      <c r="GT1" s="21">
        <v>199</v>
      </c>
      <c r="GU1" s="21">
        <v>200</v>
      </c>
      <c r="GV1" s="21">
        <v>201</v>
      </c>
      <c r="GW1" s="21">
        <v>202</v>
      </c>
      <c r="GX1" s="21">
        <v>203</v>
      </c>
      <c r="GY1" s="21">
        <v>204</v>
      </c>
      <c r="GZ1" s="21">
        <v>205</v>
      </c>
      <c r="HA1" s="21">
        <v>206</v>
      </c>
      <c r="HB1" s="21">
        <v>207</v>
      </c>
      <c r="HC1" s="21">
        <v>208</v>
      </c>
      <c r="HD1" s="21">
        <v>209</v>
      </c>
      <c r="HE1" s="21">
        <v>210</v>
      </c>
      <c r="HF1" s="21">
        <v>211</v>
      </c>
      <c r="HG1" s="21">
        <v>212</v>
      </c>
      <c r="HH1" s="21">
        <v>213</v>
      </c>
      <c r="HI1" s="21">
        <v>214</v>
      </c>
      <c r="HJ1" s="21">
        <v>215</v>
      </c>
      <c r="HK1" s="21">
        <v>216</v>
      </c>
      <c r="HL1" s="21">
        <v>217</v>
      </c>
      <c r="HM1" s="21">
        <v>218</v>
      </c>
      <c r="HN1" s="21">
        <v>219</v>
      </c>
      <c r="HO1" s="21">
        <v>220</v>
      </c>
      <c r="HP1" s="21">
        <v>221</v>
      </c>
      <c r="HQ1" s="21">
        <v>222</v>
      </c>
      <c r="HR1" s="21">
        <v>223</v>
      </c>
      <c r="HS1" s="21">
        <v>224</v>
      </c>
      <c r="HT1" s="21">
        <v>225</v>
      </c>
      <c r="HU1" s="21">
        <v>226</v>
      </c>
      <c r="HV1" s="21">
        <v>227</v>
      </c>
      <c r="HW1" s="21">
        <v>228</v>
      </c>
      <c r="HX1" s="21">
        <v>229</v>
      </c>
      <c r="HY1" s="21">
        <v>230</v>
      </c>
      <c r="HZ1" s="21">
        <v>231</v>
      </c>
      <c r="IA1" s="21">
        <v>232</v>
      </c>
      <c r="IB1" s="21">
        <v>233</v>
      </c>
      <c r="IC1" s="21">
        <v>234</v>
      </c>
      <c r="ID1" s="21">
        <v>235</v>
      </c>
      <c r="IE1" s="21">
        <v>236</v>
      </c>
      <c r="IF1" s="21">
        <v>237</v>
      </c>
      <c r="IG1" s="21">
        <v>238</v>
      </c>
      <c r="IH1" s="21">
        <v>239</v>
      </c>
      <c r="II1" s="21">
        <v>240</v>
      </c>
    </row>
    <row r="2" spans="1:243" x14ac:dyDescent="0.45">
      <c r="A2" s="2" t="s">
        <v>60</v>
      </c>
      <c r="B2" s="2" t="s">
        <v>59</v>
      </c>
      <c r="C2" s="23" t="s">
        <v>61</v>
      </c>
      <c r="D2" s="22">
        <v>0.02</v>
      </c>
      <c r="E2" s="22">
        <v>0.02</v>
      </c>
      <c r="F2" s="22">
        <v>0.02</v>
      </c>
      <c r="G2" s="22">
        <v>0.02</v>
      </c>
      <c r="H2" s="22">
        <v>0.02</v>
      </c>
      <c r="I2" s="22">
        <v>0.02</v>
      </c>
      <c r="J2" s="22">
        <v>0.02</v>
      </c>
      <c r="K2" s="22">
        <v>0.02</v>
      </c>
      <c r="L2" s="22">
        <v>0.02</v>
      </c>
      <c r="M2" s="22">
        <v>0.02</v>
      </c>
      <c r="N2" s="22">
        <v>0.02</v>
      </c>
      <c r="O2" s="22">
        <v>0.02</v>
      </c>
      <c r="P2" s="22">
        <v>0.02</v>
      </c>
      <c r="Q2" s="22">
        <v>0.02</v>
      </c>
      <c r="R2" s="22">
        <v>0.02</v>
      </c>
      <c r="S2" s="22">
        <v>0.02</v>
      </c>
      <c r="T2" s="22">
        <v>0.02</v>
      </c>
      <c r="U2" s="22">
        <v>0.02</v>
      </c>
      <c r="V2" s="22">
        <v>0.02</v>
      </c>
      <c r="W2" s="22">
        <v>0.02</v>
      </c>
      <c r="X2" s="22">
        <v>0.02</v>
      </c>
      <c r="Y2" s="22">
        <v>0.02</v>
      </c>
      <c r="Z2" s="22">
        <v>0.02</v>
      </c>
      <c r="AA2" s="22">
        <v>0.02</v>
      </c>
      <c r="AB2" s="22">
        <v>0.02</v>
      </c>
      <c r="AC2" s="22">
        <v>0.02</v>
      </c>
      <c r="AD2" s="22">
        <v>0.02</v>
      </c>
      <c r="AE2" s="22">
        <v>0.02</v>
      </c>
      <c r="AF2" s="22">
        <v>0.02</v>
      </c>
      <c r="AG2" s="22">
        <v>0.02</v>
      </c>
      <c r="AH2" s="22">
        <v>0.02</v>
      </c>
      <c r="AI2" s="22">
        <v>0.02</v>
      </c>
      <c r="AJ2" s="22">
        <v>0.02</v>
      </c>
      <c r="AK2" s="22">
        <v>0.02</v>
      </c>
      <c r="AL2" s="22">
        <v>0.02</v>
      </c>
      <c r="AM2" s="22">
        <v>0.02</v>
      </c>
      <c r="AN2" s="22">
        <v>0.02</v>
      </c>
      <c r="AO2" s="22">
        <v>0.02</v>
      </c>
      <c r="AP2" s="22">
        <v>0.02</v>
      </c>
      <c r="AQ2" s="22">
        <v>0.02</v>
      </c>
      <c r="AR2" s="22">
        <v>0.02</v>
      </c>
      <c r="AS2" s="22">
        <v>0.02</v>
      </c>
      <c r="AT2" s="22">
        <v>0.02</v>
      </c>
      <c r="AU2" s="22">
        <v>0.02</v>
      </c>
      <c r="AV2" s="22">
        <v>0.02</v>
      </c>
      <c r="AW2" s="22">
        <v>0.02</v>
      </c>
      <c r="AX2" s="22">
        <v>0.02</v>
      </c>
      <c r="AY2" s="22">
        <v>0.02</v>
      </c>
      <c r="AZ2" s="22">
        <v>0.02</v>
      </c>
      <c r="BA2" s="22">
        <v>0.02</v>
      </c>
      <c r="BB2" s="22">
        <v>0.02</v>
      </c>
      <c r="BC2" s="22">
        <v>0.02</v>
      </c>
      <c r="BD2" s="22">
        <v>0.02</v>
      </c>
      <c r="BE2" s="22">
        <v>0.02</v>
      </c>
      <c r="BF2" s="22">
        <v>0.02</v>
      </c>
      <c r="BG2" s="22">
        <v>0.02</v>
      </c>
      <c r="BH2" s="22">
        <v>0.02</v>
      </c>
      <c r="BI2" s="22">
        <v>0.02</v>
      </c>
      <c r="BJ2" s="22">
        <v>0.02</v>
      </c>
      <c r="BK2" s="22">
        <v>0.02</v>
      </c>
      <c r="BL2" s="22">
        <v>0.02</v>
      </c>
      <c r="BM2" s="22">
        <v>0.02</v>
      </c>
      <c r="BN2" s="22">
        <v>0.02</v>
      </c>
      <c r="BO2" s="22">
        <v>0.02</v>
      </c>
      <c r="BP2" s="22">
        <v>0.02</v>
      </c>
      <c r="BQ2" s="22">
        <v>0.02</v>
      </c>
      <c r="BR2" s="22">
        <v>0.02</v>
      </c>
      <c r="BS2" s="22">
        <v>0.02</v>
      </c>
      <c r="BT2" s="22">
        <v>0.02</v>
      </c>
      <c r="BU2" s="22">
        <v>0.02</v>
      </c>
      <c r="BV2" s="22">
        <v>0.02</v>
      </c>
      <c r="BW2" s="22">
        <v>0.02</v>
      </c>
      <c r="BX2" s="22">
        <v>0.02</v>
      </c>
      <c r="BY2" s="22">
        <v>0.02</v>
      </c>
      <c r="BZ2" s="22">
        <v>0.02</v>
      </c>
      <c r="CA2" s="22">
        <v>0.02</v>
      </c>
      <c r="CB2" s="22">
        <v>0.02</v>
      </c>
      <c r="CC2" s="22">
        <v>0.02</v>
      </c>
      <c r="CD2" s="22">
        <v>0.02</v>
      </c>
      <c r="CE2" s="22">
        <v>0.02</v>
      </c>
      <c r="CF2" s="22">
        <v>0.02</v>
      </c>
      <c r="CG2" s="22">
        <v>0.02</v>
      </c>
      <c r="CH2" s="22">
        <v>0.02</v>
      </c>
      <c r="CI2" s="22">
        <v>0.02</v>
      </c>
      <c r="CJ2" s="22">
        <v>0.02</v>
      </c>
      <c r="CK2" s="22">
        <v>0.02</v>
      </c>
      <c r="CL2" s="22">
        <v>0.02</v>
      </c>
      <c r="CM2" s="22">
        <v>0.02</v>
      </c>
      <c r="CN2" s="22">
        <v>0.02</v>
      </c>
      <c r="CO2" s="22">
        <v>0.02</v>
      </c>
      <c r="CP2" s="22">
        <v>0.02</v>
      </c>
      <c r="CQ2" s="22">
        <v>0.02</v>
      </c>
      <c r="CR2" s="22">
        <v>0.02</v>
      </c>
      <c r="CS2" s="22">
        <v>0.02</v>
      </c>
      <c r="CT2" s="22">
        <v>0.02</v>
      </c>
      <c r="CU2" s="22">
        <v>0.02</v>
      </c>
      <c r="CV2" s="22">
        <v>0.02</v>
      </c>
      <c r="CW2" s="22">
        <v>0.02</v>
      </c>
      <c r="CX2" s="22">
        <v>0.02</v>
      </c>
      <c r="CY2" s="22">
        <v>0.02</v>
      </c>
      <c r="CZ2" s="22">
        <v>0.02</v>
      </c>
      <c r="DA2" s="22">
        <v>0.02</v>
      </c>
      <c r="DB2" s="22">
        <v>0.02</v>
      </c>
      <c r="DC2" s="22">
        <v>0.02</v>
      </c>
      <c r="DD2" s="22">
        <v>0.02</v>
      </c>
      <c r="DE2" s="22">
        <v>0.02</v>
      </c>
      <c r="DF2" s="22">
        <v>0.02</v>
      </c>
      <c r="DG2" s="22">
        <v>0.02</v>
      </c>
      <c r="DH2" s="22">
        <v>0.02</v>
      </c>
      <c r="DI2" s="22">
        <v>0.02</v>
      </c>
      <c r="DJ2" s="22">
        <v>0.02</v>
      </c>
      <c r="DK2" s="22">
        <v>0.02</v>
      </c>
      <c r="DL2" s="22">
        <v>0.02</v>
      </c>
      <c r="DM2" s="22">
        <v>0.02</v>
      </c>
      <c r="DN2" s="22">
        <v>0.02</v>
      </c>
      <c r="DO2" s="22">
        <v>0.02</v>
      </c>
      <c r="DP2" s="22">
        <v>0.02</v>
      </c>
      <c r="DQ2" s="22">
        <v>0.02</v>
      </c>
      <c r="DR2" s="22">
        <v>0.02</v>
      </c>
      <c r="DS2" s="22">
        <v>0.02</v>
      </c>
      <c r="DT2" s="22">
        <v>0.02</v>
      </c>
      <c r="DU2" s="22">
        <v>0.02</v>
      </c>
      <c r="DV2" s="22">
        <v>0.02</v>
      </c>
      <c r="DW2" s="22">
        <v>0.02</v>
      </c>
      <c r="DX2" s="22">
        <v>0.02</v>
      </c>
      <c r="DY2" s="22">
        <v>0.02</v>
      </c>
      <c r="DZ2" s="22">
        <v>0.02</v>
      </c>
      <c r="EA2" s="22">
        <v>0.02</v>
      </c>
      <c r="EB2" s="22">
        <v>0.02</v>
      </c>
      <c r="EC2" s="22">
        <v>0.02</v>
      </c>
      <c r="ED2" s="22">
        <v>0.02</v>
      </c>
      <c r="EE2" s="22">
        <v>0.02</v>
      </c>
      <c r="EF2" s="22">
        <v>0.02</v>
      </c>
      <c r="EG2" s="22">
        <v>0.02</v>
      </c>
      <c r="EH2" s="22">
        <v>0.02</v>
      </c>
      <c r="EI2" s="22">
        <v>0.02</v>
      </c>
      <c r="EJ2" s="22">
        <v>0.02</v>
      </c>
      <c r="EK2" s="22">
        <v>0.02</v>
      </c>
      <c r="EL2" s="22">
        <v>0.02</v>
      </c>
      <c r="EM2" s="22">
        <v>0.02</v>
      </c>
      <c r="EN2" s="22">
        <v>0.02</v>
      </c>
      <c r="EO2" s="22">
        <v>0.02</v>
      </c>
      <c r="EP2" s="22">
        <v>0.02</v>
      </c>
      <c r="EQ2" s="22">
        <v>0.02</v>
      </c>
      <c r="ER2" s="22">
        <v>0.02</v>
      </c>
      <c r="ES2" s="22">
        <v>0.02</v>
      </c>
      <c r="ET2" s="22">
        <v>0.02</v>
      </c>
      <c r="EU2" s="22">
        <v>0.02</v>
      </c>
      <c r="EV2" s="22">
        <v>0.02</v>
      </c>
      <c r="EW2" s="22">
        <v>0.02</v>
      </c>
      <c r="EX2" s="22">
        <v>0.02</v>
      </c>
      <c r="EY2" s="22">
        <v>0.02</v>
      </c>
      <c r="EZ2" s="22">
        <v>0.02</v>
      </c>
      <c r="FA2" s="22">
        <v>0.02</v>
      </c>
      <c r="FB2" s="22">
        <v>0.02</v>
      </c>
      <c r="FC2" s="22">
        <v>0.02</v>
      </c>
      <c r="FD2" s="22">
        <v>0.02</v>
      </c>
      <c r="FE2" s="22">
        <v>0.02</v>
      </c>
      <c r="FF2" s="22">
        <v>0.02</v>
      </c>
      <c r="FG2" s="22">
        <v>0.02</v>
      </c>
      <c r="FH2" s="22">
        <v>0.02</v>
      </c>
      <c r="FI2" s="22">
        <v>0.02</v>
      </c>
      <c r="FJ2" s="22">
        <v>0.02</v>
      </c>
      <c r="FK2" s="22">
        <v>0.02</v>
      </c>
      <c r="FL2" s="22">
        <v>0.02</v>
      </c>
      <c r="FM2" s="22">
        <v>0.02</v>
      </c>
      <c r="FN2" s="22">
        <v>0.02</v>
      </c>
      <c r="FO2" s="22">
        <v>0.02</v>
      </c>
      <c r="FP2" s="22">
        <v>0.02</v>
      </c>
      <c r="FQ2" s="22">
        <v>0.02</v>
      </c>
      <c r="FR2" s="22">
        <v>0.02</v>
      </c>
      <c r="FS2" s="22">
        <v>0.02</v>
      </c>
      <c r="FT2" s="22">
        <v>0.02</v>
      </c>
      <c r="FU2" s="22">
        <v>0.02</v>
      </c>
      <c r="FV2" s="22">
        <v>0.02</v>
      </c>
      <c r="FW2" s="22">
        <v>0.02</v>
      </c>
      <c r="FX2" s="22">
        <v>0.02</v>
      </c>
      <c r="FY2" s="22">
        <v>0.02</v>
      </c>
      <c r="FZ2" s="22">
        <v>0.02</v>
      </c>
      <c r="GA2" s="22">
        <v>0.02</v>
      </c>
      <c r="GB2" s="22">
        <v>0.02</v>
      </c>
      <c r="GC2" s="22">
        <v>0.02</v>
      </c>
      <c r="GD2" s="22">
        <v>0.02</v>
      </c>
      <c r="GE2" s="22">
        <v>0.02</v>
      </c>
      <c r="GF2" s="22">
        <v>0.02</v>
      </c>
      <c r="GG2" s="22">
        <v>0.02</v>
      </c>
      <c r="GH2" s="22">
        <v>0.02</v>
      </c>
      <c r="GI2" s="22">
        <v>0.02</v>
      </c>
      <c r="GJ2" s="22">
        <v>0.02</v>
      </c>
      <c r="GK2" s="22">
        <v>0.02</v>
      </c>
      <c r="GL2" s="22">
        <v>0.02</v>
      </c>
      <c r="GM2" s="22">
        <v>0.02</v>
      </c>
      <c r="GN2" s="22">
        <v>0.02</v>
      </c>
      <c r="GO2" s="22">
        <v>0.02</v>
      </c>
      <c r="GP2" s="22">
        <v>0.02</v>
      </c>
      <c r="GQ2" s="22">
        <v>0.02</v>
      </c>
      <c r="GR2" s="22">
        <v>0.02</v>
      </c>
      <c r="GS2" s="22">
        <v>0.02</v>
      </c>
      <c r="GT2" s="22">
        <v>0.02</v>
      </c>
      <c r="GU2" s="22">
        <v>0.02</v>
      </c>
      <c r="GV2" s="22">
        <v>0.02</v>
      </c>
      <c r="GW2" s="22">
        <v>0.02</v>
      </c>
      <c r="GX2" s="22">
        <v>0.02</v>
      </c>
      <c r="GY2" s="22">
        <v>0.02</v>
      </c>
      <c r="GZ2" s="22">
        <v>0.02</v>
      </c>
      <c r="HA2" s="22">
        <v>0.02</v>
      </c>
      <c r="HB2" s="22">
        <v>0.02</v>
      </c>
      <c r="HC2" s="22">
        <v>0.02</v>
      </c>
      <c r="HD2" s="22">
        <v>0.02</v>
      </c>
      <c r="HE2" s="22">
        <v>0.02</v>
      </c>
      <c r="HF2" s="22">
        <v>0.02</v>
      </c>
      <c r="HG2" s="22">
        <v>0.02</v>
      </c>
      <c r="HH2" s="22">
        <v>0.02</v>
      </c>
      <c r="HI2" s="22">
        <v>0.02</v>
      </c>
      <c r="HJ2" s="22">
        <v>0.02</v>
      </c>
      <c r="HK2" s="22">
        <v>0.02</v>
      </c>
      <c r="HL2" s="22">
        <v>0.02</v>
      </c>
      <c r="HM2" s="22">
        <v>0.02</v>
      </c>
      <c r="HN2" s="22">
        <v>0.02</v>
      </c>
      <c r="HO2" s="22">
        <v>0.02</v>
      </c>
      <c r="HP2" s="22">
        <v>0.02</v>
      </c>
      <c r="HQ2" s="22">
        <v>0.02</v>
      </c>
      <c r="HR2" s="22">
        <v>0.02</v>
      </c>
      <c r="HS2" s="22">
        <v>0.02</v>
      </c>
      <c r="HT2" s="22">
        <v>0.02</v>
      </c>
      <c r="HU2" s="22">
        <v>0.02</v>
      </c>
      <c r="HV2" s="22">
        <v>0.02</v>
      </c>
      <c r="HW2" s="22">
        <v>0.02</v>
      </c>
      <c r="HX2" s="22">
        <v>0.02</v>
      </c>
      <c r="HY2" s="22">
        <v>0.02</v>
      </c>
      <c r="HZ2" s="22">
        <v>0.02</v>
      </c>
      <c r="IA2" s="22">
        <v>0.02</v>
      </c>
      <c r="IB2" s="22">
        <v>0.02</v>
      </c>
      <c r="IC2" s="22">
        <v>0.02</v>
      </c>
      <c r="ID2" s="22">
        <v>0.02</v>
      </c>
      <c r="IE2" s="22">
        <v>0.02</v>
      </c>
      <c r="IF2" s="22">
        <v>0.02</v>
      </c>
      <c r="IG2" s="22">
        <v>0.02</v>
      </c>
      <c r="IH2" s="22">
        <v>0.02</v>
      </c>
      <c r="II2" s="22">
        <v>0.02</v>
      </c>
    </row>
    <row r="3" spans="1:243" x14ac:dyDescent="0.45">
      <c r="A3" s="2" t="s">
        <v>60</v>
      </c>
      <c r="B3" s="2" t="s">
        <v>59</v>
      </c>
      <c r="C3" s="2" t="s">
        <v>62</v>
      </c>
      <c r="D3" s="22">
        <v>-0.02</v>
      </c>
      <c r="E3" s="22">
        <v>-0.02</v>
      </c>
      <c r="F3" s="22">
        <v>-0.02</v>
      </c>
      <c r="G3" s="22">
        <v>-0.02</v>
      </c>
      <c r="H3" s="22">
        <v>-0.02</v>
      </c>
      <c r="I3" s="22">
        <v>-0.02</v>
      </c>
      <c r="J3" s="22">
        <v>-0.02</v>
      </c>
      <c r="K3" s="22">
        <v>-0.02</v>
      </c>
      <c r="L3" s="22">
        <v>-0.02</v>
      </c>
      <c r="M3" s="22">
        <v>-0.02</v>
      </c>
      <c r="N3" s="22">
        <v>-0.02</v>
      </c>
      <c r="O3" s="22">
        <v>-0.02</v>
      </c>
      <c r="P3" s="22">
        <v>-0.02</v>
      </c>
      <c r="Q3" s="22">
        <v>-0.02</v>
      </c>
      <c r="R3" s="22">
        <v>-0.02</v>
      </c>
      <c r="S3" s="22">
        <v>-0.02</v>
      </c>
      <c r="T3" s="22">
        <v>-0.02</v>
      </c>
      <c r="U3" s="22">
        <v>-0.02</v>
      </c>
      <c r="V3" s="22">
        <v>-0.02</v>
      </c>
      <c r="W3" s="22">
        <v>-0.02</v>
      </c>
      <c r="X3" s="22">
        <v>-0.02</v>
      </c>
      <c r="Y3" s="22">
        <v>-0.02</v>
      </c>
      <c r="Z3" s="22">
        <v>-0.02</v>
      </c>
      <c r="AA3" s="22">
        <v>-0.02</v>
      </c>
      <c r="AB3" s="22">
        <v>-0.02</v>
      </c>
      <c r="AC3" s="22">
        <v>-0.02</v>
      </c>
      <c r="AD3" s="22">
        <v>-0.02</v>
      </c>
      <c r="AE3" s="22">
        <v>-0.02</v>
      </c>
      <c r="AF3" s="22">
        <v>-0.02</v>
      </c>
      <c r="AG3" s="22">
        <v>-0.02</v>
      </c>
      <c r="AH3" s="22">
        <v>-0.02</v>
      </c>
      <c r="AI3" s="22">
        <v>-0.02</v>
      </c>
      <c r="AJ3" s="22">
        <v>-0.02</v>
      </c>
      <c r="AK3" s="22">
        <v>-0.02</v>
      </c>
      <c r="AL3" s="22">
        <v>-0.02</v>
      </c>
      <c r="AM3" s="22">
        <v>-0.02</v>
      </c>
      <c r="AN3" s="22">
        <v>-0.02</v>
      </c>
      <c r="AO3" s="22">
        <v>-0.02</v>
      </c>
      <c r="AP3" s="22">
        <v>-0.02</v>
      </c>
      <c r="AQ3" s="22">
        <v>-0.02</v>
      </c>
      <c r="AR3" s="22">
        <v>-0.02</v>
      </c>
      <c r="AS3" s="22">
        <v>-0.02</v>
      </c>
      <c r="AT3" s="22">
        <v>-0.02</v>
      </c>
      <c r="AU3" s="22">
        <v>-0.02</v>
      </c>
      <c r="AV3" s="22">
        <v>-0.02</v>
      </c>
      <c r="AW3" s="22">
        <v>-0.02</v>
      </c>
      <c r="AX3" s="22">
        <v>-0.02</v>
      </c>
      <c r="AY3" s="22">
        <v>-0.02</v>
      </c>
      <c r="AZ3" s="22">
        <v>-0.02</v>
      </c>
      <c r="BA3" s="22">
        <v>-0.02</v>
      </c>
      <c r="BB3" s="22">
        <v>-0.02</v>
      </c>
      <c r="BC3" s="22">
        <v>-0.02</v>
      </c>
      <c r="BD3" s="22">
        <v>-0.02</v>
      </c>
      <c r="BE3" s="22">
        <v>-0.02</v>
      </c>
      <c r="BF3" s="22">
        <v>-0.02</v>
      </c>
      <c r="BG3" s="22">
        <v>-0.02</v>
      </c>
      <c r="BH3" s="22">
        <v>-0.02</v>
      </c>
      <c r="BI3" s="22">
        <v>-0.02</v>
      </c>
      <c r="BJ3" s="22">
        <v>-0.02</v>
      </c>
      <c r="BK3" s="22">
        <v>-0.02</v>
      </c>
      <c r="BL3" s="22">
        <v>-0.02</v>
      </c>
      <c r="BM3" s="22">
        <v>-0.02</v>
      </c>
      <c r="BN3" s="22">
        <v>-0.02</v>
      </c>
      <c r="BO3" s="22">
        <v>-0.02</v>
      </c>
      <c r="BP3" s="22">
        <v>-0.02</v>
      </c>
      <c r="BQ3" s="22">
        <v>-0.02</v>
      </c>
      <c r="BR3" s="22">
        <v>-0.02</v>
      </c>
      <c r="BS3" s="22">
        <v>-0.02</v>
      </c>
      <c r="BT3" s="22">
        <v>-0.02</v>
      </c>
      <c r="BU3" s="22">
        <v>-0.02</v>
      </c>
      <c r="BV3" s="22">
        <v>-0.02</v>
      </c>
      <c r="BW3" s="22">
        <v>-0.02</v>
      </c>
      <c r="BX3" s="22">
        <v>-0.02</v>
      </c>
      <c r="BY3" s="22">
        <v>-0.02</v>
      </c>
      <c r="BZ3" s="22">
        <v>-0.02</v>
      </c>
      <c r="CA3" s="22">
        <v>-0.02</v>
      </c>
      <c r="CB3" s="22">
        <v>-0.02</v>
      </c>
      <c r="CC3" s="22">
        <v>-0.02</v>
      </c>
      <c r="CD3" s="22">
        <v>-0.02</v>
      </c>
      <c r="CE3" s="22">
        <v>-0.02</v>
      </c>
      <c r="CF3" s="22">
        <v>-0.02</v>
      </c>
      <c r="CG3" s="22">
        <v>-0.02</v>
      </c>
      <c r="CH3" s="22">
        <v>-0.02</v>
      </c>
      <c r="CI3" s="22">
        <v>-0.02</v>
      </c>
      <c r="CJ3" s="22">
        <v>-0.02</v>
      </c>
      <c r="CK3" s="22">
        <v>-0.02</v>
      </c>
      <c r="CL3" s="22">
        <v>-0.02</v>
      </c>
      <c r="CM3" s="22">
        <v>-0.02</v>
      </c>
      <c r="CN3" s="22">
        <v>-0.02</v>
      </c>
      <c r="CO3" s="22">
        <v>-0.02</v>
      </c>
      <c r="CP3" s="22">
        <v>-0.02</v>
      </c>
      <c r="CQ3" s="22">
        <v>-0.02</v>
      </c>
      <c r="CR3" s="22">
        <v>-0.02</v>
      </c>
      <c r="CS3" s="22">
        <v>-0.02</v>
      </c>
      <c r="CT3" s="22">
        <v>-0.02</v>
      </c>
      <c r="CU3" s="22">
        <v>-0.02</v>
      </c>
      <c r="CV3" s="22">
        <v>-0.02</v>
      </c>
      <c r="CW3" s="22">
        <v>-0.02</v>
      </c>
      <c r="CX3" s="22">
        <v>-0.02</v>
      </c>
      <c r="CY3" s="22">
        <v>-0.02</v>
      </c>
      <c r="CZ3" s="22">
        <v>-0.02</v>
      </c>
      <c r="DA3" s="22">
        <v>-0.02</v>
      </c>
      <c r="DB3" s="22">
        <v>-0.02</v>
      </c>
      <c r="DC3" s="22">
        <v>-0.02</v>
      </c>
      <c r="DD3" s="22">
        <v>-0.02</v>
      </c>
      <c r="DE3" s="22">
        <v>-0.02</v>
      </c>
      <c r="DF3" s="22">
        <v>-0.02</v>
      </c>
      <c r="DG3" s="22">
        <v>-0.02</v>
      </c>
      <c r="DH3" s="22">
        <v>-0.02</v>
      </c>
      <c r="DI3" s="22">
        <v>-0.02</v>
      </c>
      <c r="DJ3" s="22">
        <v>-0.02</v>
      </c>
      <c r="DK3" s="22">
        <v>-0.02</v>
      </c>
      <c r="DL3" s="22">
        <v>-0.02</v>
      </c>
      <c r="DM3" s="22">
        <v>-0.02</v>
      </c>
      <c r="DN3" s="22">
        <v>-0.02</v>
      </c>
      <c r="DO3" s="22">
        <v>-0.02</v>
      </c>
      <c r="DP3" s="22">
        <v>-0.02</v>
      </c>
      <c r="DQ3" s="22">
        <v>-0.02</v>
      </c>
      <c r="DR3" s="22">
        <v>-0.02</v>
      </c>
      <c r="DS3" s="22">
        <v>-0.02</v>
      </c>
      <c r="DT3" s="22">
        <v>-0.02</v>
      </c>
      <c r="DU3" s="22">
        <v>-0.02</v>
      </c>
      <c r="DV3" s="22">
        <v>-0.02</v>
      </c>
      <c r="DW3" s="22">
        <v>-0.02</v>
      </c>
      <c r="DX3" s="22">
        <v>-0.02</v>
      </c>
      <c r="DY3" s="22">
        <v>-0.02</v>
      </c>
      <c r="DZ3" s="22">
        <v>-0.02</v>
      </c>
      <c r="EA3" s="22">
        <v>-0.02</v>
      </c>
      <c r="EB3" s="22">
        <v>-0.02</v>
      </c>
      <c r="EC3" s="22">
        <v>-0.02</v>
      </c>
      <c r="ED3" s="22">
        <v>-0.02</v>
      </c>
      <c r="EE3" s="22">
        <v>-0.02</v>
      </c>
      <c r="EF3" s="22">
        <v>-0.02</v>
      </c>
      <c r="EG3" s="22">
        <v>-0.02</v>
      </c>
      <c r="EH3" s="22">
        <v>-0.02</v>
      </c>
      <c r="EI3" s="22">
        <v>-0.02</v>
      </c>
      <c r="EJ3" s="22">
        <v>-0.02</v>
      </c>
      <c r="EK3" s="22">
        <v>-0.02</v>
      </c>
      <c r="EL3" s="22">
        <v>-0.02</v>
      </c>
      <c r="EM3" s="22">
        <v>-0.02</v>
      </c>
      <c r="EN3" s="22">
        <v>-0.02</v>
      </c>
      <c r="EO3" s="22">
        <v>-0.02</v>
      </c>
      <c r="EP3" s="22">
        <v>-0.02</v>
      </c>
      <c r="EQ3" s="22">
        <v>-0.02</v>
      </c>
      <c r="ER3" s="22">
        <v>-0.02</v>
      </c>
      <c r="ES3" s="22">
        <v>-0.02</v>
      </c>
      <c r="ET3" s="22">
        <v>-0.02</v>
      </c>
      <c r="EU3" s="22">
        <v>-0.02</v>
      </c>
      <c r="EV3" s="22">
        <v>-0.02</v>
      </c>
      <c r="EW3" s="22">
        <v>-0.02</v>
      </c>
      <c r="EX3" s="22">
        <v>-0.02</v>
      </c>
      <c r="EY3" s="22">
        <v>-0.02</v>
      </c>
      <c r="EZ3" s="22">
        <v>-0.02</v>
      </c>
      <c r="FA3" s="22">
        <v>-0.02</v>
      </c>
      <c r="FB3" s="22">
        <v>-0.02</v>
      </c>
      <c r="FC3" s="22">
        <v>-0.02</v>
      </c>
      <c r="FD3" s="22">
        <v>-0.02</v>
      </c>
      <c r="FE3" s="22">
        <v>-0.02</v>
      </c>
      <c r="FF3" s="22">
        <v>-0.02</v>
      </c>
      <c r="FG3" s="22">
        <v>-0.02</v>
      </c>
      <c r="FH3" s="22">
        <v>-0.02</v>
      </c>
      <c r="FI3" s="22">
        <v>-0.02</v>
      </c>
      <c r="FJ3" s="22">
        <v>-0.02</v>
      </c>
      <c r="FK3" s="22">
        <v>-0.02</v>
      </c>
      <c r="FL3" s="22">
        <v>-0.02</v>
      </c>
      <c r="FM3" s="22">
        <v>-0.02</v>
      </c>
      <c r="FN3" s="22">
        <v>-0.02</v>
      </c>
      <c r="FO3" s="22">
        <v>-0.02</v>
      </c>
      <c r="FP3" s="22">
        <v>-0.02</v>
      </c>
      <c r="FQ3" s="22">
        <v>-0.02</v>
      </c>
      <c r="FR3" s="22">
        <v>-0.02</v>
      </c>
      <c r="FS3" s="22">
        <v>-0.02</v>
      </c>
      <c r="FT3" s="22">
        <v>-0.02</v>
      </c>
      <c r="FU3" s="22">
        <v>-0.02</v>
      </c>
      <c r="FV3" s="22">
        <v>-0.02</v>
      </c>
      <c r="FW3" s="22">
        <v>-0.02</v>
      </c>
      <c r="FX3" s="22">
        <v>-0.02</v>
      </c>
      <c r="FY3" s="22">
        <v>-0.02</v>
      </c>
      <c r="FZ3" s="22">
        <v>-0.02</v>
      </c>
      <c r="GA3" s="22">
        <v>-0.02</v>
      </c>
      <c r="GB3" s="22">
        <v>-0.02</v>
      </c>
      <c r="GC3" s="22">
        <v>-0.02</v>
      </c>
      <c r="GD3" s="22">
        <v>-0.02</v>
      </c>
      <c r="GE3" s="22">
        <v>-0.02</v>
      </c>
      <c r="GF3" s="22">
        <v>-0.02</v>
      </c>
      <c r="GG3" s="22">
        <v>-0.02</v>
      </c>
      <c r="GH3" s="22">
        <v>-0.02</v>
      </c>
      <c r="GI3" s="22">
        <v>-0.02</v>
      </c>
      <c r="GJ3" s="22">
        <v>-0.02</v>
      </c>
      <c r="GK3" s="22">
        <v>-0.02</v>
      </c>
      <c r="GL3" s="22">
        <v>-0.02</v>
      </c>
      <c r="GM3" s="22">
        <v>-0.02</v>
      </c>
      <c r="GN3" s="22">
        <v>-0.02</v>
      </c>
      <c r="GO3" s="22">
        <v>-0.02</v>
      </c>
      <c r="GP3" s="22">
        <v>-0.02</v>
      </c>
      <c r="GQ3" s="22">
        <v>-0.02</v>
      </c>
      <c r="GR3" s="22">
        <v>-0.02</v>
      </c>
      <c r="GS3" s="22">
        <v>-0.02</v>
      </c>
      <c r="GT3" s="22">
        <v>-0.02</v>
      </c>
      <c r="GU3" s="22">
        <v>-0.02</v>
      </c>
      <c r="GV3" s="22">
        <v>-0.02</v>
      </c>
      <c r="GW3" s="22">
        <v>-0.02</v>
      </c>
      <c r="GX3" s="22">
        <v>-0.02</v>
      </c>
      <c r="GY3" s="22">
        <v>-0.02</v>
      </c>
      <c r="GZ3" s="22">
        <v>-0.02</v>
      </c>
      <c r="HA3" s="22">
        <v>-0.02</v>
      </c>
      <c r="HB3" s="22">
        <v>-0.02</v>
      </c>
      <c r="HC3" s="22">
        <v>-0.02</v>
      </c>
      <c r="HD3" s="22">
        <v>-0.02</v>
      </c>
      <c r="HE3" s="22">
        <v>-0.02</v>
      </c>
      <c r="HF3" s="22">
        <v>-0.02</v>
      </c>
      <c r="HG3" s="22">
        <v>-0.02</v>
      </c>
      <c r="HH3" s="22">
        <v>-0.02</v>
      </c>
      <c r="HI3" s="22">
        <v>-0.02</v>
      </c>
      <c r="HJ3" s="22">
        <v>-0.02</v>
      </c>
      <c r="HK3" s="22">
        <v>-0.02</v>
      </c>
      <c r="HL3" s="22">
        <v>-0.02</v>
      </c>
      <c r="HM3" s="22">
        <v>-0.02</v>
      </c>
      <c r="HN3" s="22">
        <v>-0.02</v>
      </c>
      <c r="HO3" s="22">
        <v>-0.02</v>
      </c>
      <c r="HP3" s="22">
        <v>-0.02</v>
      </c>
      <c r="HQ3" s="22">
        <v>-0.02</v>
      </c>
      <c r="HR3" s="22">
        <v>-0.02</v>
      </c>
      <c r="HS3" s="22">
        <v>-0.02</v>
      </c>
      <c r="HT3" s="22">
        <v>-0.02</v>
      </c>
      <c r="HU3" s="22">
        <v>-0.02</v>
      </c>
      <c r="HV3" s="22">
        <v>-0.02</v>
      </c>
      <c r="HW3" s="22">
        <v>-0.02</v>
      </c>
      <c r="HX3" s="22">
        <v>-0.02</v>
      </c>
      <c r="HY3" s="22">
        <v>-0.02</v>
      </c>
      <c r="HZ3" s="22">
        <v>-0.02</v>
      </c>
      <c r="IA3" s="22">
        <v>-0.02</v>
      </c>
      <c r="IB3" s="22">
        <v>-0.02</v>
      </c>
      <c r="IC3" s="22">
        <v>-0.02</v>
      </c>
      <c r="ID3" s="22">
        <v>-0.02</v>
      </c>
      <c r="IE3" s="22">
        <v>-0.02</v>
      </c>
      <c r="IF3" s="22">
        <v>-0.02</v>
      </c>
      <c r="IG3" s="22">
        <v>-0.02</v>
      </c>
      <c r="IH3" s="22">
        <v>-0.02</v>
      </c>
      <c r="II3" s="22">
        <v>-0.02</v>
      </c>
    </row>
    <row r="4" spans="1:243" x14ac:dyDescent="0.45">
      <c r="A4" s="2" t="s">
        <v>64</v>
      </c>
      <c r="B4" s="2" t="s">
        <v>63</v>
      </c>
      <c r="C4" s="2" t="s">
        <v>65</v>
      </c>
      <c r="D4" s="24">
        <f t="shared" ref="D4:BO4" si="0">EXP((-D1/12)/4)*2.5%</f>
        <v>2.4484554533281005E-2</v>
      </c>
      <c r="E4" s="24">
        <f t="shared" si="0"/>
        <v>2.3979736427728455E-2</v>
      </c>
      <c r="F4" s="24">
        <f t="shared" si="0"/>
        <v>2.3485326570336897E-2</v>
      </c>
      <c r="G4" s="24">
        <f t="shared" si="0"/>
        <v>2.3001110365733084E-2</v>
      </c>
      <c r="H4" s="24">
        <f t="shared" si="0"/>
        <v>2.2526877643032267E-2</v>
      </c>
      <c r="I4" s="24">
        <f t="shared" si="0"/>
        <v>2.2062422564614888E-2</v>
      </c>
      <c r="J4" s="24">
        <f t="shared" si="0"/>
        <v>2.16075435367841E-2</v>
      </c>
      <c r="K4" s="24">
        <f t="shared" si="0"/>
        <v>2.1162043122265356E-2</v>
      </c>
      <c r="L4" s="24">
        <f t="shared" si="0"/>
        <v>2.0725727954510012E-2</v>
      </c>
      <c r="M4" s="24">
        <f t="shared" si="0"/>
        <v>2.0298408653765875E-2</v>
      </c>
      <c r="N4" s="24">
        <f t="shared" si="0"/>
        <v>1.9879899744878145E-2</v>
      </c>
      <c r="O4" s="24">
        <f t="shared" si="0"/>
        <v>1.9470019576785125E-2</v>
      </c>
      <c r="P4" s="24">
        <f t="shared" si="0"/>
        <v>1.9068590243673765E-2</v>
      </c>
      <c r="Q4" s="24">
        <f t="shared" si="0"/>
        <v>1.8675437507760816E-2</v>
      </c>
      <c r="R4" s="24">
        <f t="shared" si="0"/>
        <v>1.8290390723666044E-2</v>
      </c>
      <c r="S4" s="24">
        <f t="shared" si="0"/>
        <v>1.7913282764344732E-2</v>
      </c>
      <c r="T4" s="24">
        <f t="shared" si="0"/>
        <v>1.7543949948547251E-2</v>
      </c>
      <c r="U4" s="24">
        <f t="shared" si="0"/>
        <v>1.7182231969774305E-2</v>
      </c>
      <c r="V4" s="24">
        <f t="shared" si="0"/>
        <v>1.682797182669693E-2</v>
      </c>
      <c r="W4" s="24">
        <f t="shared" si="0"/>
        <v>1.6481015755011093E-2</v>
      </c>
      <c r="X4" s="24">
        <f t="shared" si="0"/>
        <v>1.6141213160697301E-2</v>
      </c>
      <c r="Y4" s="24">
        <f t="shared" si="0"/>
        <v>1.5808416554656243E-2</v>
      </c>
      <c r="Z4" s="24">
        <f t="shared" si="0"/>
        <v>1.5482481488692121E-2</v>
      </c>
      <c r="AA4" s="24">
        <f t="shared" si="0"/>
        <v>1.5163266492815837E-2</v>
      </c>
      <c r="AB4" s="24">
        <f t="shared" si="0"/>
        <v>1.4850633013840875E-2</v>
      </c>
      <c r="AC4" s="24">
        <f t="shared" si="0"/>
        <v>1.454444535524521E-2</v>
      </c>
      <c r="AD4" s="24">
        <f t="shared" si="0"/>
        <v>1.4244570618273077E-2</v>
      </c>
      <c r="AE4" s="24">
        <f t="shared" si="0"/>
        <v>1.3950878644251178E-2</v>
      </c>
      <c r="AF4" s="24">
        <f t="shared" si="0"/>
        <v>1.3663241958094133E-2</v>
      </c>
      <c r="AG4" s="24">
        <f t="shared" si="0"/>
        <v>1.3381535712974757E-2</v>
      </c>
      <c r="AH4" s="24">
        <f t="shared" si="0"/>
        <v>1.310563763613511E-2</v>
      </c>
      <c r="AI4" s="24">
        <f t="shared" si="0"/>
        <v>1.28354279758148E-2</v>
      </c>
      <c r="AJ4" s="24">
        <f t="shared" si="0"/>
        <v>1.2570789449273524E-2</v>
      </c>
      <c r="AK4" s="24">
        <f t="shared" si="0"/>
        <v>1.2311607191885244E-2</v>
      </c>
      <c r="AL4" s="24">
        <f t="shared" si="0"/>
        <v>1.2057768707281955E-2</v>
      </c>
      <c r="AM4" s="24">
        <f t="shared" si="0"/>
        <v>1.1809163818525368E-2</v>
      </c>
      <c r="AN4" s="24">
        <f t="shared" si="0"/>
        <v>1.1565684620285331E-2</v>
      </c>
      <c r="AO4" s="24">
        <f t="shared" si="0"/>
        <v>1.1327225432004226E-2</v>
      </c>
      <c r="AP4" s="24">
        <f t="shared" si="0"/>
        <v>1.1093682752026997E-2</v>
      </c>
      <c r="AQ4" s="24">
        <f t="shared" si="0"/>
        <v>1.0864955212676955E-2</v>
      </c>
      <c r="AR4" s="24">
        <f t="shared" si="0"/>
        <v>1.0640943536257786E-2</v>
      </c>
      <c r="AS4" s="24">
        <f t="shared" si="0"/>
        <v>1.042155049196271E-2</v>
      </c>
      <c r="AT4" s="24">
        <f t="shared" si="0"/>
        <v>1.0206680853672099E-2</v>
      </c>
      <c r="AU4" s="24">
        <f t="shared" si="0"/>
        <v>9.9962413586211843E-3</v>
      </c>
      <c r="AV4" s="24">
        <f t="shared" si="0"/>
        <v>9.7901406669199751E-3</v>
      </c>
      <c r="AW4" s="24">
        <f t="shared" si="0"/>
        <v>9.5882893219077676E-3</v>
      </c>
      <c r="AX4" s="24">
        <f t="shared" si="0"/>
        <v>9.3905997113250678E-3</v>
      </c>
      <c r="AY4" s="24">
        <f t="shared" si="0"/>
        <v>9.1969860292860587E-3</v>
      </c>
      <c r="AZ4" s="24">
        <f t="shared" si="0"/>
        <v>9.0073642390351219E-3</v>
      </c>
      <c r="BA4" s="24">
        <f t="shared" si="0"/>
        <v>8.8216520364712229E-3</v>
      </c>
      <c r="BB4" s="24">
        <f t="shared" si="0"/>
        <v>8.6397688144243638E-3</v>
      </c>
      <c r="BC4" s="24">
        <f t="shared" si="0"/>
        <v>8.4616356276685564E-3</v>
      </c>
      <c r="BD4" s="24">
        <f t="shared" si="0"/>
        <v>8.2871751586561671E-3</v>
      </c>
      <c r="BE4" s="24">
        <f t="shared" si="0"/>
        <v>8.1163116839587431E-3</v>
      </c>
      <c r="BF4" s="24">
        <f t="shared" si="0"/>
        <v>7.9489710413997456E-3</v>
      </c>
      <c r="BG4" s="24">
        <f t="shared" si="0"/>
        <v>7.7850805978649422E-3</v>
      </c>
      <c r="BH4" s="24">
        <f t="shared" si="0"/>
        <v>7.6245692177764821E-3</v>
      </c>
      <c r="BI4" s="24">
        <f t="shared" si="0"/>
        <v>7.46736723221696E-3</v>
      </c>
      <c r="BJ4" s="24">
        <f t="shared" si="0"/>
        <v>7.3134064086900694E-3</v>
      </c>
      <c r="BK4" s="24">
        <f t="shared" si="0"/>
        <v>7.162619921504753E-3</v>
      </c>
      <c r="BL4" s="24">
        <f t="shared" si="0"/>
        <v>7.0149423227699216E-3</v>
      </c>
      <c r="BM4" s="24">
        <f t="shared" si="0"/>
        <v>6.8703095139872414E-3</v>
      </c>
      <c r="BN4" s="24">
        <f t="shared" si="0"/>
        <v>6.7286587182295967E-3</v>
      </c>
      <c r="BO4" s="24">
        <f t="shared" si="0"/>
        <v>6.5899284528931693E-3</v>
      </c>
      <c r="BP4" s="24">
        <f t="shared" ref="BP4:EA4" si="1">EXP((-BP1/12)/4)*2.5%</f>
        <v>6.4540585030113161E-3</v>
      </c>
      <c r="BQ4" s="24">
        <f t="shared" si="1"/>
        <v>6.3209898951186623E-3</v>
      </c>
      <c r="BR4" s="24">
        <f t="shared" si="1"/>
        <v>6.1906648716540426E-3</v>
      </c>
      <c r="BS4" s="24">
        <f t="shared" si="1"/>
        <v>6.0630268658912172E-3</v>
      </c>
      <c r="BT4" s="24">
        <f t="shared" si="1"/>
        <v>5.9380204773864537E-3</v>
      </c>
      <c r="BU4" s="24">
        <f t="shared" si="1"/>
        <v>5.8155914479323181E-3</v>
      </c>
      <c r="BV4" s="24">
        <f t="shared" si="1"/>
        <v>5.6956866380072574E-3</v>
      </c>
      <c r="BW4" s="24">
        <f t="shared" si="1"/>
        <v>5.5782540037107456E-3</v>
      </c>
      <c r="BX4" s="24">
        <f t="shared" si="1"/>
        <v>5.463242574173955E-3</v>
      </c>
      <c r="BY4" s="24">
        <f t="shared" si="1"/>
        <v>5.3506024294361866E-3</v>
      </c>
      <c r="BZ4" s="24">
        <f t="shared" si="1"/>
        <v>5.2402846787774453E-3</v>
      </c>
      <c r="CA4" s="24">
        <f t="shared" si="1"/>
        <v>5.1322414394977325E-3</v>
      </c>
      <c r="CB4" s="24">
        <f t="shared" si="1"/>
        <v>5.0264258161338725E-3</v>
      </c>
      <c r="CC4" s="24">
        <f t="shared" si="1"/>
        <v>4.922791880104852E-3</v>
      </c>
      <c r="CD4" s="24">
        <f t="shared" si="1"/>
        <v>4.8212946497768064E-3</v>
      </c>
      <c r="CE4" s="24">
        <f t="shared" si="1"/>
        <v>4.7218900709390457E-3</v>
      </c>
      <c r="CF4" s="24">
        <f t="shared" si="1"/>
        <v>4.6245349976826071E-3</v>
      </c>
      <c r="CG4" s="24">
        <f t="shared" si="1"/>
        <v>4.5291871736730539E-3</v>
      </c>
      <c r="CH4" s="24">
        <f t="shared" si="1"/>
        <v>4.4358052138093896E-3</v>
      </c>
      <c r="CI4" s="24">
        <f t="shared" si="1"/>
        <v>4.3443485862611287E-3</v>
      </c>
      <c r="CJ4" s="24">
        <f t="shared" si="1"/>
        <v>4.2547775948757133E-3</v>
      </c>
      <c r="CK4" s="24">
        <f t="shared" si="1"/>
        <v>4.1670533619486633E-3</v>
      </c>
      <c r="CL4" s="24">
        <f t="shared" si="1"/>
        <v>4.0811378113489605E-3</v>
      </c>
      <c r="CM4" s="24">
        <f t="shared" si="1"/>
        <v>3.996993651992348E-3</v>
      </c>
      <c r="CN4" s="24">
        <f t="shared" si="1"/>
        <v>3.9145843616553849E-3</v>
      </c>
      <c r="CO4" s="24">
        <f t="shared" si="1"/>
        <v>3.8338741711232121E-3</v>
      </c>
      <c r="CP4" s="24">
        <f t="shared" si="1"/>
        <v>3.7548280486641517E-3</v>
      </c>
      <c r="CQ4" s="24">
        <f t="shared" si="1"/>
        <v>3.67741168482442E-3</v>
      </c>
      <c r="CR4" s="24">
        <f t="shared" si="1"/>
        <v>3.601591477536332E-3</v>
      </c>
      <c r="CS4" s="24">
        <f t="shared" si="1"/>
        <v>3.5273345175335378E-3</v>
      </c>
      <c r="CT4" s="24">
        <f t="shared" si="1"/>
        <v>3.4546085740669733E-3</v>
      </c>
      <c r="CU4" s="24">
        <f t="shared" si="1"/>
        <v>3.3833820809153177E-3</v>
      </c>
      <c r="CV4" s="24">
        <f t="shared" si="1"/>
        <v>3.3136241226838733E-3</v>
      </c>
      <c r="CW4" s="24">
        <f t="shared" si="1"/>
        <v>3.2453044213859501E-3</v>
      </c>
      <c r="CX4" s="24">
        <f t="shared" si="1"/>
        <v>3.1783933233008898E-3</v>
      </c>
      <c r="CY4" s="24">
        <f t="shared" si="1"/>
        <v>3.1128617861030743E-3</v>
      </c>
      <c r="CZ4" s="24">
        <f t="shared" si="1"/>
        <v>3.0486813662562902E-3</v>
      </c>
      <c r="DA4" s="24">
        <f t="shared" si="1"/>
        <v>2.9858242066679907E-3</v>
      </c>
      <c r="DB4" s="24">
        <f t="shared" si="1"/>
        <v>2.9242630245981159E-3</v>
      </c>
      <c r="DC4" s="24">
        <f t="shared" si="1"/>
        <v>2.8639710998171935E-3</v>
      </c>
      <c r="DD4" s="24">
        <f t="shared" si="1"/>
        <v>2.8049222630085937E-3</v>
      </c>
      <c r="DE4" s="24">
        <f t="shared" si="1"/>
        <v>2.7470908844099144E-3</v>
      </c>
      <c r="DF4" s="24">
        <f t="shared" si="1"/>
        <v>2.6904518626885486E-3</v>
      </c>
      <c r="DG4" s="24">
        <f t="shared" si="1"/>
        <v>2.6349806140466086E-3</v>
      </c>
      <c r="DH4" s="24">
        <f t="shared" si="1"/>
        <v>2.5806530615504978E-3</v>
      </c>
      <c r="DI4" s="24">
        <f t="shared" si="1"/>
        <v>2.5274456246804702E-3</v>
      </c>
      <c r="DJ4" s="24">
        <f t="shared" si="1"/>
        <v>2.4753352090956578E-3</v>
      </c>
      <c r="DK4" s="24">
        <f t="shared" si="1"/>
        <v>2.4242991966101266E-3</v>
      </c>
      <c r="DL4" s="24">
        <f t="shared" si="1"/>
        <v>2.3743154353755994E-3</v>
      </c>
      <c r="DM4" s="24">
        <f t="shared" si="1"/>
        <v>2.3253622302665876E-3</v>
      </c>
      <c r="DN4" s="24">
        <f t="shared" si="1"/>
        <v>2.2774183334637677E-3</v>
      </c>
      <c r="DO4" s="24">
        <f t="shared" si="1"/>
        <v>2.2304629352315028E-3</v>
      </c>
      <c r="DP4" s="24">
        <f t="shared" si="1"/>
        <v>2.1844756548855099E-3</v>
      </c>
      <c r="DQ4" s="24">
        <f t="shared" si="1"/>
        <v>2.1394365319467594E-3</v>
      </c>
      <c r="DR4" s="24">
        <f t="shared" si="1"/>
        <v>2.0953260174777616E-3</v>
      </c>
      <c r="DS4" s="24">
        <f t="shared" si="1"/>
        <v>2.0521249655974703E-3</v>
      </c>
      <c r="DT4" s="24">
        <f t="shared" si="1"/>
        <v>2.0098146251711457E-3</v>
      </c>
      <c r="DU4" s="24">
        <f t="shared" si="1"/>
        <v>1.9683766316715466E-3</v>
      </c>
      <c r="DV4" s="24">
        <f t="shared" si="1"/>
        <v>1.927792999207918E-3</v>
      </c>
      <c r="DW4" s="24">
        <f t="shared" si="1"/>
        <v>1.8880461127193443E-3</v>
      </c>
      <c r="DX4" s="24">
        <f t="shared" si="1"/>
        <v>1.8491187203290402E-3</v>
      </c>
      <c r="DY4" s="24">
        <f t="shared" si="1"/>
        <v>1.8109939258562865E-3</v>
      </c>
      <c r="DZ4" s="24">
        <f t="shared" si="1"/>
        <v>1.773655181482756E-3</v>
      </c>
      <c r="EA4" s="24">
        <f t="shared" si="1"/>
        <v>1.7370862805700387E-3</v>
      </c>
      <c r="EB4" s="24">
        <f t="shared" ref="EB4:GM4" si="2">EXP((-EB1/12)/4)*2.5%</f>
        <v>1.701271350625255E-3</v>
      </c>
      <c r="EC4" s="24">
        <f t="shared" si="2"/>
        <v>1.6661948464117072E-3</v>
      </c>
      <c r="ED4" s="24">
        <f t="shared" si="2"/>
        <v>1.6318415432015688E-3</v>
      </c>
      <c r="EE4" s="24">
        <f t="shared" si="2"/>
        <v>1.5981965301676893E-3</v>
      </c>
      <c r="EF4" s="24">
        <f t="shared" si="2"/>
        <v>1.5652452039116506E-3</v>
      </c>
      <c r="EG4" s="24">
        <f t="shared" si="2"/>
        <v>1.5329732621252546E-3</v>
      </c>
      <c r="EH4" s="24">
        <f t="shared" si="2"/>
        <v>1.5013666973826988E-3</v>
      </c>
      <c r="EI4" s="24">
        <f t="shared" si="2"/>
        <v>1.4704117910607471E-3</v>
      </c>
      <c r="EJ4" s="24">
        <f t="shared" si="2"/>
        <v>1.4400951073842505E-3</v>
      </c>
      <c r="EK4" s="24">
        <f t="shared" si="2"/>
        <v>1.4104034875944338E-3</v>
      </c>
      <c r="EL4" s="24">
        <f t="shared" si="2"/>
        <v>1.3813240442374251E-3</v>
      </c>
      <c r="EM4" s="24">
        <f t="shared" si="2"/>
        <v>1.3528441555705404E-3</v>
      </c>
      <c r="EN4" s="24">
        <f t="shared" si="2"/>
        <v>1.324951460083895E-3</v>
      </c>
      <c r="EO4" s="24">
        <f t="shared" si="2"/>
        <v>1.2976338511349766E-3</v>
      </c>
      <c r="EP4" s="24">
        <f t="shared" si="2"/>
        <v>1.2708794716938315E-3</v>
      </c>
      <c r="EQ4" s="24">
        <f t="shared" si="2"/>
        <v>1.2446767091965987E-3</v>
      </c>
      <c r="ER4" s="24">
        <f t="shared" si="2"/>
        <v>1.2190141905051542E-3</v>
      </c>
      <c r="ES4" s="24">
        <f t="shared" si="2"/>
        <v>1.1938807769706742E-3</v>
      </c>
      <c r="ET4" s="24">
        <f t="shared" si="2"/>
        <v>1.1692655595989746E-3</v>
      </c>
      <c r="EU4" s="24">
        <f t="shared" si="2"/>
        <v>1.1451578543155369E-3</v>
      </c>
      <c r="EV4" s="24">
        <f t="shared" si="2"/>
        <v>1.1215471973281532E-3</v>
      </c>
      <c r="EW4" s="24">
        <f t="shared" si="2"/>
        <v>1.0984233405851856E-3</v>
      </c>
      <c r="EX4" s="24">
        <f t="shared" si="2"/>
        <v>1.0757762473274665E-3</v>
      </c>
      <c r="EY4" s="24">
        <f t="shared" si="2"/>
        <v>1.0535960877319102E-3</v>
      </c>
      <c r="EZ4" s="24">
        <f t="shared" si="2"/>
        <v>1.0318732346449387E-3</v>
      </c>
      <c r="FA4" s="24">
        <f t="shared" si="2"/>
        <v>1.0105982594038826E-3</v>
      </c>
      <c r="FB4" s="24">
        <f t="shared" si="2"/>
        <v>9.8976192774452923E-4</v>
      </c>
      <c r="FC4" s="24">
        <f t="shared" si="2"/>
        <v>9.6935519579305026E-4</v>
      </c>
      <c r="FD4" s="24">
        <f t="shared" si="2"/>
        <v>9.4936920614056884E-4</v>
      </c>
      <c r="FE4" s="24">
        <f t="shared" si="2"/>
        <v>9.2979528399865844E-4</v>
      </c>
      <c r="FF4" s="24">
        <f t="shared" si="2"/>
        <v>9.106249334341059E-4</v>
      </c>
      <c r="FG4" s="24">
        <f t="shared" si="2"/>
        <v>8.9184983368130986E-4</v>
      </c>
      <c r="FH4" s="24">
        <f t="shared" si="2"/>
        <v>8.7346183553070524E-4</v>
      </c>
      <c r="FI4" s="24">
        <f t="shared" si="2"/>
        <v>8.5545295779165082E-4</v>
      </c>
      <c r="FJ4" s="24">
        <f t="shared" si="2"/>
        <v>8.3781538382824827E-4</v>
      </c>
      <c r="FK4" s="24">
        <f t="shared" si="2"/>
        <v>8.2054145816658024E-4</v>
      </c>
      <c r="FL4" s="24">
        <f t="shared" si="2"/>
        <v>8.036236831719017E-4</v>
      </c>
      <c r="FM4" s="24">
        <f t="shared" si="2"/>
        <v>7.8705471579434245E-4</v>
      </c>
      <c r="FN4" s="24">
        <f t="shared" si="2"/>
        <v>7.7082736438170273E-4</v>
      </c>
      <c r="FO4" s="24">
        <f t="shared" si="2"/>
        <v>7.5493458555796254E-4</v>
      </c>
      <c r="FP4" s="24">
        <f t="shared" si="2"/>
        <v>7.3936948116615307E-4</v>
      </c>
      <c r="FQ4" s="24">
        <f t="shared" si="2"/>
        <v>7.2412529527425443E-4</v>
      </c>
      <c r="FR4" s="24">
        <f t="shared" si="2"/>
        <v>7.0919541124282758E-4</v>
      </c>
      <c r="FS4" s="24">
        <f t="shared" si="2"/>
        <v>6.9457334885310632E-4</v>
      </c>
      <c r="FT4" s="24">
        <f t="shared" si="2"/>
        <v>6.8025276149429991E-4</v>
      </c>
      <c r="FU4" s="24">
        <f t="shared" si="2"/>
        <v>6.6622743340888715E-4</v>
      </c>
      <c r="FV4" s="24">
        <f t="shared" si="2"/>
        <v>6.5249127699470945E-4</v>
      </c>
      <c r="FW4" s="24">
        <f t="shared" si="2"/>
        <v>6.3903833016268514E-4</v>
      </c>
      <c r="FX4" s="24">
        <f t="shared" si="2"/>
        <v>6.2586275374900378E-4</v>
      </c>
      <c r="FY4" s="24">
        <f t="shared" si="2"/>
        <v>6.1295882898067602E-4</v>
      </c>
      <c r="FZ4" s="24">
        <f t="shared" si="2"/>
        <v>6.0032095499333712E-4</v>
      </c>
      <c r="GA4" s="24">
        <f t="shared" si="2"/>
        <v>5.8794364640022767E-4</v>
      </c>
      <c r="GB4" s="24">
        <f t="shared" si="2"/>
        <v>5.7582153091129834E-4</v>
      </c>
      <c r="GC4" s="24">
        <f t="shared" si="2"/>
        <v>5.6394934700140168E-4</v>
      </c>
      <c r="GD4" s="24">
        <f t="shared" si="2"/>
        <v>5.5232194162656105E-4</v>
      </c>
      <c r="GE4" s="24">
        <f t="shared" si="2"/>
        <v>5.4093426798732728E-4</v>
      </c>
      <c r="GF4" s="24">
        <f t="shared" si="2"/>
        <v>5.2978138333824635E-4</v>
      </c>
      <c r="GG4" s="24">
        <f t="shared" si="2"/>
        <v>5.1885844684249353E-4</v>
      </c>
      <c r="GH4" s="24">
        <f t="shared" si="2"/>
        <v>5.081607174707406E-4</v>
      </c>
      <c r="GI4" s="24">
        <f t="shared" si="2"/>
        <v>4.9768355194334212E-4</v>
      </c>
      <c r="GJ4" s="24">
        <f t="shared" si="2"/>
        <v>4.8742240271494987E-4</v>
      </c>
      <c r="GK4" s="24">
        <f t="shared" si="2"/>
        <v>4.7737281600068173E-4</v>
      </c>
      <c r="GL4" s="24">
        <f t="shared" si="2"/>
        <v>4.6753042984298463E-4</v>
      </c>
      <c r="GM4" s="24">
        <f t="shared" si="2"/>
        <v>4.5789097221835451E-4</v>
      </c>
      <c r="GN4" s="24">
        <f t="shared" ref="GN4:II4" si="3">EXP((-GN1/12)/4)*2.5%</f>
        <v>4.4845025918309451E-4</v>
      </c>
      <c r="GO4" s="24">
        <f t="shared" si="3"/>
        <v>4.3920419305729878E-4</v>
      </c>
      <c r="GP4" s="24">
        <f t="shared" si="3"/>
        <v>4.3014876064628461E-4</v>
      </c>
      <c r="GQ4" s="24">
        <f t="shared" si="3"/>
        <v>4.2128003149868778E-4</v>
      </c>
      <c r="GR4" s="24">
        <f t="shared" si="3"/>
        <v>4.1259415620047824E-4</v>
      </c>
      <c r="GS4" s="24">
        <f t="shared" si="3"/>
        <v>4.040873647041469E-4</v>
      </c>
      <c r="GT4" s="24">
        <f t="shared" si="3"/>
        <v>3.9575596469233992E-4</v>
      </c>
      <c r="GU4" s="24">
        <f t="shared" si="3"/>
        <v>3.875963399752329E-4</v>
      </c>
      <c r="GV4" s="24">
        <f t="shared" si="3"/>
        <v>3.7960494892094867E-4</v>
      </c>
      <c r="GW4" s="24">
        <f t="shared" si="3"/>
        <v>3.7177832291833282E-4</v>
      </c>
      <c r="GX4" s="24">
        <f t="shared" si="3"/>
        <v>3.6411306487142675E-4</v>
      </c>
      <c r="GY4" s="24">
        <f t="shared" si="3"/>
        <v>3.5660584772498143E-4</v>
      </c>
      <c r="GZ4" s="24">
        <f t="shared" si="3"/>
        <v>3.4925341302036845E-4</v>
      </c>
      <c r="HA4" s="24">
        <f t="shared" si="3"/>
        <v>3.4205256948126881E-4</v>
      </c>
      <c r="HB4" s="24">
        <f t="shared" si="3"/>
        <v>3.3500019162852073E-4</v>
      </c>
      <c r="HC4" s="24">
        <f t="shared" si="3"/>
        <v>3.2809321842352423E-4</v>
      </c>
      <c r="HD4" s="24">
        <f t="shared" si="3"/>
        <v>3.2132865193961797E-4</v>
      </c>
      <c r="HE4" s="24">
        <f t="shared" si="3"/>
        <v>3.1470355606084998E-4</v>
      </c>
      <c r="HF4" s="24">
        <f t="shared" si="3"/>
        <v>3.0821505520757357E-4</v>
      </c>
      <c r="HG4" s="24">
        <f t="shared" si="3"/>
        <v>3.0186033308832183E-4</v>
      </c>
      <c r="HH4" s="24">
        <f t="shared" si="3"/>
        <v>2.9563663147741544E-4</v>
      </c>
      <c r="HI4" s="24">
        <f t="shared" si="3"/>
        <v>2.8954124901777118E-4</v>
      </c>
      <c r="HJ4" s="24">
        <f t="shared" si="3"/>
        <v>2.835715400483964E-4</v>
      </c>
      <c r="HK4" s="24">
        <f t="shared" si="3"/>
        <v>2.7772491345605767E-4</v>
      </c>
      <c r="HL4" s="24">
        <f t="shared" si="3"/>
        <v>2.7199883155062374E-4</v>
      </c>
      <c r="HM4" s="24">
        <f t="shared" si="3"/>
        <v>2.6639080896359829E-4</v>
      </c>
      <c r="HN4" s="24">
        <f t="shared" si="3"/>
        <v>2.608984115693626E-4</v>
      </c>
      <c r="HO4" s="24">
        <f t="shared" si="3"/>
        <v>2.555192554286581E-4</v>
      </c>
      <c r="HP4" s="24">
        <f t="shared" si="3"/>
        <v>2.5025100575385339E-4</v>
      </c>
      <c r="HQ4" s="24">
        <f t="shared" si="3"/>
        <v>2.4509137589554572E-4</v>
      </c>
      <c r="HR4" s="24">
        <f t="shared" si="3"/>
        <v>2.4003812635005459E-4</v>
      </c>
      <c r="HS4" s="24">
        <f t="shared" si="3"/>
        <v>2.3508906378738017E-4</v>
      </c>
      <c r="HT4" s="24">
        <f t="shared" si="3"/>
        <v>2.3024204009920352E-4</v>
      </c>
      <c r="HU4" s="24">
        <f t="shared" si="3"/>
        <v>2.2549495146651283E-4</v>
      </c>
      <c r="HV4" s="24">
        <f t="shared" si="3"/>
        <v>2.2084573744645536E-4</v>
      </c>
      <c r="HW4" s="24">
        <f t="shared" si="3"/>
        <v>2.1629238007801586E-4</v>
      </c>
      <c r="HX4" s="24">
        <f t="shared" si="3"/>
        <v>2.1183290300613294E-4</v>
      </c>
      <c r="HY4" s="24">
        <f t="shared" si="3"/>
        <v>2.0746537062387533E-4</v>
      </c>
      <c r="HZ4" s="24">
        <f t="shared" si="3"/>
        <v>2.0318788723230528E-4</v>
      </c>
      <c r="IA4" s="24">
        <f t="shared" si="3"/>
        <v>1.9899859621766124E-4</v>
      </c>
      <c r="IB4" s="24">
        <f t="shared" si="3"/>
        <v>1.9489567924550766E-4</v>
      </c>
      <c r="IC4" s="24">
        <f t="shared" si="3"/>
        <v>1.9087735547149905E-4</v>
      </c>
      <c r="ID4" s="24">
        <f t="shared" si="3"/>
        <v>1.8694188076841533E-4</v>
      </c>
      <c r="IE4" s="24">
        <f t="shared" si="3"/>
        <v>1.830875469691351E-4</v>
      </c>
      <c r="IF4" s="24">
        <f t="shared" si="3"/>
        <v>1.7931268112521747E-4</v>
      </c>
      <c r="IG4" s="24">
        <f t="shared" si="3"/>
        <v>1.7561564478076866E-4</v>
      </c>
      <c r="IH4" s="24">
        <f t="shared" si="3"/>
        <v>1.7199483326128134E-4</v>
      </c>
      <c r="II4" s="24">
        <f t="shared" si="3"/>
        <v>1.6844867497713668E-4</v>
      </c>
    </row>
    <row r="5" spans="1:243" x14ac:dyDescent="0.45">
      <c r="A5" s="2" t="s">
        <v>64</v>
      </c>
      <c r="B5" s="2" t="s">
        <v>63</v>
      </c>
      <c r="C5" s="2" t="s">
        <v>66</v>
      </c>
      <c r="D5" s="25">
        <f>-D4</f>
        <v>-2.4484554533281005E-2</v>
      </c>
      <c r="E5" s="25">
        <f t="shared" ref="E5:BP5" si="4">-E4</f>
        <v>-2.3979736427728455E-2</v>
      </c>
      <c r="F5" s="25">
        <f t="shared" si="4"/>
        <v>-2.3485326570336897E-2</v>
      </c>
      <c r="G5" s="25">
        <f t="shared" si="4"/>
        <v>-2.3001110365733084E-2</v>
      </c>
      <c r="H5" s="25">
        <f t="shared" si="4"/>
        <v>-2.2526877643032267E-2</v>
      </c>
      <c r="I5" s="25">
        <f t="shared" si="4"/>
        <v>-2.2062422564614888E-2</v>
      </c>
      <c r="J5" s="25">
        <f t="shared" si="4"/>
        <v>-2.16075435367841E-2</v>
      </c>
      <c r="K5" s="25">
        <f t="shared" si="4"/>
        <v>-2.1162043122265356E-2</v>
      </c>
      <c r="L5" s="25">
        <f t="shared" si="4"/>
        <v>-2.0725727954510012E-2</v>
      </c>
      <c r="M5" s="25">
        <f t="shared" si="4"/>
        <v>-2.0298408653765875E-2</v>
      </c>
      <c r="N5" s="25">
        <f t="shared" si="4"/>
        <v>-1.9879899744878145E-2</v>
      </c>
      <c r="O5" s="25">
        <f t="shared" si="4"/>
        <v>-1.9470019576785125E-2</v>
      </c>
      <c r="P5" s="25">
        <f t="shared" si="4"/>
        <v>-1.9068590243673765E-2</v>
      </c>
      <c r="Q5" s="25">
        <f t="shared" si="4"/>
        <v>-1.8675437507760816E-2</v>
      </c>
      <c r="R5" s="25">
        <f t="shared" si="4"/>
        <v>-1.8290390723666044E-2</v>
      </c>
      <c r="S5" s="25">
        <f t="shared" si="4"/>
        <v>-1.7913282764344732E-2</v>
      </c>
      <c r="T5" s="25">
        <f t="shared" si="4"/>
        <v>-1.7543949948547251E-2</v>
      </c>
      <c r="U5" s="25">
        <f t="shared" si="4"/>
        <v>-1.7182231969774305E-2</v>
      </c>
      <c r="V5" s="25">
        <f t="shared" si="4"/>
        <v>-1.682797182669693E-2</v>
      </c>
      <c r="W5" s="25">
        <f t="shared" si="4"/>
        <v>-1.6481015755011093E-2</v>
      </c>
      <c r="X5" s="25">
        <f t="shared" si="4"/>
        <v>-1.6141213160697301E-2</v>
      </c>
      <c r="Y5" s="25">
        <f t="shared" si="4"/>
        <v>-1.5808416554656243E-2</v>
      </c>
      <c r="Z5" s="25">
        <f t="shared" si="4"/>
        <v>-1.5482481488692121E-2</v>
      </c>
      <c r="AA5" s="25">
        <f t="shared" si="4"/>
        <v>-1.5163266492815837E-2</v>
      </c>
      <c r="AB5" s="25">
        <f t="shared" si="4"/>
        <v>-1.4850633013840875E-2</v>
      </c>
      <c r="AC5" s="25">
        <f t="shared" si="4"/>
        <v>-1.454444535524521E-2</v>
      </c>
      <c r="AD5" s="25">
        <f t="shared" si="4"/>
        <v>-1.4244570618273077E-2</v>
      </c>
      <c r="AE5" s="25">
        <f t="shared" si="4"/>
        <v>-1.3950878644251178E-2</v>
      </c>
      <c r="AF5" s="25">
        <f t="shared" si="4"/>
        <v>-1.3663241958094133E-2</v>
      </c>
      <c r="AG5" s="25">
        <f t="shared" si="4"/>
        <v>-1.3381535712974757E-2</v>
      </c>
      <c r="AH5" s="25">
        <f t="shared" si="4"/>
        <v>-1.310563763613511E-2</v>
      </c>
      <c r="AI5" s="25">
        <f t="shared" si="4"/>
        <v>-1.28354279758148E-2</v>
      </c>
      <c r="AJ5" s="25">
        <f t="shared" si="4"/>
        <v>-1.2570789449273524E-2</v>
      </c>
      <c r="AK5" s="25">
        <f t="shared" si="4"/>
        <v>-1.2311607191885244E-2</v>
      </c>
      <c r="AL5" s="25">
        <f t="shared" si="4"/>
        <v>-1.2057768707281955E-2</v>
      </c>
      <c r="AM5" s="25">
        <f t="shared" si="4"/>
        <v>-1.1809163818525368E-2</v>
      </c>
      <c r="AN5" s="25">
        <f t="shared" si="4"/>
        <v>-1.1565684620285331E-2</v>
      </c>
      <c r="AO5" s="25">
        <f t="shared" si="4"/>
        <v>-1.1327225432004226E-2</v>
      </c>
      <c r="AP5" s="25">
        <f t="shared" si="4"/>
        <v>-1.1093682752026997E-2</v>
      </c>
      <c r="AQ5" s="25">
        <f t="shared" si="4"/>
        <v>-1.0864955212676955E-2</v>
      </c>
      <c r="AR5" s="25">
        <f t="shared" si="4"/>
        <v>-1.0640943536257786E-2</v>
      </c>
      <c r="AS5" s="25">
        <f t="shared" si="4"/>
        <v>-1.042155049196271E-2</v>
      </c>
      <c r="AT5" s="25">
        <f t="shared" si="4"/>
        <v>-1.0206680853672099E-2</v>
      </c>
      <c r="AU5" s="25">
        <f t="shared" si="4"/>
        <v>-9.9962413586211843E-3</v>
      </c>
      <c r="AV5" s="25">
        <f t="shared" si="4"/>
        <v>-9.7901406669199751E-3</v>
      </c>
      <c r="AW5" s="25">
        <f t="shared" si="4"/>
        <v>-9.5882893219077676E-3</v>
      </c>
      <c r="AX5" s="25">
        <f t="shared" si="4"/>
        <v>-9.3905997113250678E-3</v>
      </c>
      <c r="AY5" s="25">
        <f t="shared" si="4"/>
        <v>-9.1969860292860587E-3</v>
      </c>
      <c r="AZ5" s="25">
        <f t="shared" si="4"/>
        <v>-9.0073642390351219E-3</v>
      </c>
      <c r="BA5" s="25">
        <f t="shared" si="4"/>
        <v>-8.8216520364712229E-3</v>
      </c>
      <c r="BB5" s="25">
        <f t="shared" si="4"/>
        <v>-8.6397688144243638E-3</v>
      </c>
      <c r="BC5" s="25">
        <f t="shared" si="4"/>
        <v>-8.4616356276685564E-3</v>
      </c>
      <c r="BD5" s="25">
        <f t="shared" si="4"/>
        <v>-8.2871751586561671E-3</v>
      </c>
      <c r="BE5" s="25">
        <f t="shared" si="4"/>
        <v>-8.1163116839587431E-3</v>
      </c>
      <c r="BF5" s="25">
        <f t="shared" si="4"/>
        <v>-7.9489710413997456E-3</v>
      </c>
      <c r="BG5" s="25">
        <f t="shared" si="4"/>
        <v>-7.7850805978649422E-3</v>
      </c>
      <c r="BH5" s="25">
        <f t="shared" si="4"/>
        <v>-7.6245692177764821E-3</v>
      </c>
      <c r="BI5" s="25">
        <f t="shared" si="4"/>
        <v>-7.46736723221696E-3</v>
      </c>
      <c r="BJ5" s="25">
        <f t="shared" si="4"/>
        <v>-7.3134064086900694E-3</v>
      </c>
      <c r="BK5" s="25">
        <f t="shared" si="4"/>
        <v>-7.162619921504753E-3</v>
      </c>
      <c r="BL5" s="25">
        <f t="shared" si="4"/>
        <v>-7.0149423227699216E-3</v>
      </c>
      <c r="BM5" s="25">
        <f t="shared" si="4"/>
        <v>-6.8703095139872414E-3</v>
      </c>
      <c r="BN5" s="25">
        <f t="shared" si="4"/>
        <v>-6.7286587182295967E-3</v>
      </c>
      <c r="BO5" s="25">
        <f t="shared" si="4"/>
        <v>-6.5899284528931693E-3</v>
      </c>
      <c r="BP5" s="25">
        <f t="shared" si="4"/>
        <v>-6.4540585030113161E-3</v>
      </c>
      <c r="BQ5" s="25">
        <f t="shared" ref="BQ5:EB5" si="5">-BQ4</f>
        <v>-6.3209898951186623E-3</v>
      </c>
      <c r="BR5" s="25">
        <f t="shared" si="5"/>
        <v>-6.1906648716540426E-3</v>
      </c>
      <c r="BS5" s="25">
        <f t="shared" si="5"/>
        <v>-6.0630268658912172E-3</v>
      </c>
      <c r="BT5" s="25">
        <f t="shared" si="5"/>
        <v>-5.9380204773864537E-3</v>
      </c>
      <c r="BU5" s="25">
        <f t="shared" si="5"/>
        <v>-5.8155914479323181E-3</v>
      </c>
      <c r="BV5" s="25">
        <f t="shared" si="5"/>
        <v>-5.6956866380072574E-3</v>
      </c>
      <c r="BW5" s="25">
        <f t="shared" si="5"/>
        <v>-5.5782540037107456E-3</v>
      </c>
      <c r="BX5" s="25">
        <f t="shared" si="5"/>
        <v>-5.463242574173955E-3</v>
      </c>
      <c r="BY5" s="25">
        <f t="shared" si="5"/>
        <v>-5.3506024294361866E-3</v>
      </c>
      <c r="BZ5" s="25">
        <f t="shared" si="5"/>
        <v>-5.2402846787774453E-3</v>
      </c>
      <c r="CA5" s="25">
        <f t="shared" si="5"/>
        <v>-5.1322414394977325E-3</v>
      </c>
      <c r="CB5" s="25">
        <f t="shared" si="5"/>
        <v>-5.0264258161338725E-3</v>
      </c>
      <c r="CC5" s="25">
        <f t="shared" si="5"/>
        <v>-4.922791880104852E-3</v>
      </c>
      <c r="CD5" s="25">
        <f t="shared" si="5"/>
        <v>-4.8212946497768064E-3</v>
      </c>
      <c r="CE5" s="25">
        <f t="shared" si="5"/>
        <v>-4.7218900709390457E-3</v>
      </c>
      <c r="CF5" s="25">
        <f t="shared" si="5"/>
        <v>-4.6245349976826071E-3</v>
      </c>
      <c r="CG5" s="25">
        <f t="shared" si="5"/>
        <v>-4.5291871736730539E-3</v>
      </c>
      <c r="CH5" s="25">
        <f t="shared" si="5"/>
        <v>-4.4358052138093896E-3</v>
      </c>
      <c r="CI5" s="25">
        <f t="shared" si="5"/>
        <v>-4.3443485862611287E-3</v>
      </c>
      <c r="CJ5" s="25">
        <f t="shared" si="5"/>
        <v>-4.2547775948757133E-3</v>
      </c>
      <c r="CK5" s="25">
        <f t="shared" si="5"/>
        <v>-4.1670533619486633E-3</v>
      </c>
      <c r="CL5" s="25">
        <f t="shared" si="5"/>
        <v>-4.0811378113489605E-3</v>
      </c>
      <c r="CM5" s="25">
        <f t="shared" si="5"/>
        <v>-3.996993651992348E-3</v>
      </c>
      <c r="CN5" s="25">
        <f t="shared" si="5"/>
        <v>-3.9145843616553849E-3</v>
      </c>
      <c r="CO5" s="25">
        <f t="shared" si="5"/>
        <v>-3.8338741711232121E-3</v>
      </c>
      <c r="CP5" s="25">
        <f t="shared" si="5"/>
        <v>-3.7548280486641517E-3</v>
      </c>
      <c r="CQ5" s="25">
        <f t="shared" si="5"/>
        <v>-3.67741168482442E-3</v>
      </c>
      <c r="CR5" s="25">
        <f t="shared" si="5"/>
        <v>-3.601591477536332E-3</v>
      </c>
      <c r="CS5" s="25">
        <f t="shared" si="5"/>
        <v>-3.5273345175335378E-3</v>
      </c>
      <c r="CT5" s="25">
        <f t="shared" si="5"/>
        <v>-3.4546085740669733E-3</v>
      </c>
      <c r="CU5" s="25">
        <f t="shared" si="5"/>
        <v>-3.3833820809153177E-3</v>
      </c>
      <c r="CV5" s="25">
        <f t="shared" si="5"/>
        <v>-3.3136241226838733E-3</v>
      </c>
      <c r="CW5" s="25">
        <f t="shared" si="5"/>
        <v>-3.2453044213859501E-3</v>
      </c>
      <c r="CX5" s="25">
        <f t="shared" si="5"/>
        <v>-3.1783933233008898E-3</v>
      </c>
      <c r="CY5" s="25">
        <f t="shared" si="5"/>
        <v>-3.1128617861030743E-3</v>
      </c>
      <c r="CZ5" s="25">
        <f t="shared" si="5"/>
        <v>-3.0486813662562902E-3</v>
      </c>
      <c r="DA5" s="25">
        <f t="shared" si="5"/>
        <v>-2.9858242066679907E-3</v>
      </c>
      <c r="DB5" s="25">
        <f t="shared" si="5"/>
        <v>-2.9242630245981159E-3</v>
      </c>
      <c r="DC5" s="25">
        <f t="shared" si="5"/>
        <v>-2.8639710998171935E-3</v>
      </c>
      <c r="DD5" s="25">
        <f t="shared" si="5"/>
        <v>-2.8049222630085937E-3</v>
      </c>
      <c r="DE5" s="25">
        <f t="shared" si="5"/>
        <v>-2.7470908844099144E-3</v>
      </c>
      <c r="DF5" s="25">
        <f t="shared" si="5"/>
        <v>-2.6904518626885486E-3</v>
      </c>
      <c r="DG5" s="25">
        <f t="shared" si="5"/>
        <v>-2.6349806140466086E-3</v>
      </c>
      <c r="DH5" s="25">
        <f t="shared" si="5"/>
        <v>-2.5806530615504978E-3</v>
      </c>
      <c r="DI5" s="25">
        <f t="shared" si="5"/>
        <v>-2.5274456246804702E-3</v>
      </c>
      <c r="DJ5" s="25">
        <f t="shared" si="5"/>
        <v>-2.4753352090956578E-3</v>
      </c>
      <c r="DK5" s="25">
        <f t="shared" si="5"/>
        <v>-2.4242991966101266E-3</v>
      </c>
      <c r="DL5" s="25">
        <f t="shared" si="5"/>
        <v>-2.3743154353755994E-3</v>
      </c>
      <c r="DM5" s="25">
        <f t="shared" si="5"/>
        <v>-2.3253622302665876E-3</v>
      </c>
      <c r="DN5" s="25">
        <f t="shared" si="5"/>
        <v>-2.2774183334637677E-3</v>
      </c>
      <c r="DO5" s="25">
        <f t="shared" si="5"/>
        <v>-2.2304629352315028E-3</v>
      </c>
      <c r="DP5" s="25">
        <f t="shared" si="5"/>
        <v>-2.1844756548855099E-3</v>
      </c>
      <c r="DQ5" s="25">
        <f t="shared" si="5"/>
        <v>-2.1394365319467594E-3</v>
      </c>
      <c r="DR5" s="25">
        <f t="shared" si="5"/>
        <v>-2.0953260174777616E-3</v>
      </c>
      <c r="DS5" s="25">
        <f t="shared" si="5"/>
        <v>-2.0521249655974703E-3</v>
      </c>
      <c r="DT5" s="25">
        <f t="shared" si="5"/>
        <v>-2.0098146251711457E-3</v>
      </c>
      <c r="DU5" s="25">
        <f t="shared" si="5"/>
        <v>-1.9683766316715466E-3</v>
      </c>
      <c r="DV5" s="25">
        <f t="shared" si="5"/>
        <v>-1.927792999207918E-3</v>
      </c>
      <c r="DW5" s="25">
        <f t="shared" si="5"/>
        <v>-1.8880461127193443E-3</v>
      </c>
      <c r="DX5" s="25">
        <f t="shared" si="5"/>
        <v>-1.8491187203290402E-3</v>
      </c>
      <c r="DY5" s="25">
        <f t="shared" si="5"/>
        <v>-1.8109939258562865E-3</v>
      </c>
      <c r="DZ5" s="25">
        <f t="shared" si="5"/>
        <v>-1.773655181482756E-3</v>
      </c>
      <c r="EA5" s="25">
        <f t="shared" si="5"/>
        <v>-1.7370862805700387E-3</v>
      </c>
      <c r="EB5" s="25">
        <f t="shared" si="5"/>
        <v>-1.701271350625255E-3</v>
      </c>
      <c r="EC5" s="25">
        <f t="shared" ref="EC5:GN5" si="6">-EC4</f>
        <v>-1.6661948464117072E-3</v>
      </c>
      <c r="ED5" s="25">
        <f t="shared" si="6"/>
        <v>-1.6318415432015688E-3</v>
      </c>
      <c r="EE5" s="25">
        <f t="shared" si="6"/>
        <v>-1.5981965301676893E-3</v>
      </c>
      <c r="EF5" s="25">
        <f t="shared" si="6"/>
        <v>-1.5652452039116506E-3</v>
      </c>
      <c r="EG5" s="25">
        <f t="shared" si="6"/>
        <v>-1.5329732621252546E-3</v>
      </c>
      <c r="EH5" s="25">
        <f t="shared" si="6"/>
        <v>-1.5013666973826988E-3</v>
      </c>
      <c r="EI5" s="25">
        <f t="shared" si="6"/>
        <v>-1.4704117910607471E-3</v>
      </c>
      <c r="EJ5" s="25">
        <f t="shared" si="6"/>
        <v>-1.4400951073842505E-3</v>
      </c>
      <c r="EK5" s="25">
        <f t="shared" si="6"/>
        <v>-1.4104034875944338E-3</v>
      </c>
      <c r="EL5" s="25">
        <f t="shared" si="6"/>
        <v>-1.3813240442374251E-3</v>
      </c>
      <c r="EM5" s="25">
        <f t="shared" si="6"/>
        <v>-1.3528441555705404E-3</v>
      </c>
      <c r="EN5" s="25">
        <f t="shared" si="6"/>
        <v>-1.324951460083895E-3</v>
      </c>
      <c r="EO5" s="25">
        <f t="shared" si="6"/>
        <v>-1.2976338511349766E-3</v>
      </c>
      <c r="EP5" s="25">
        <f t="shared" si="6"/>
        <v>-1.2708794716938315E-3</v>
      </c>
      <c r="EQ5" s="25">
        <f t="shared" si="6"/>
        <v>-1.2446767091965987E-3</v>
      </c>
      <c r="ER5" s="25">
        <f t="shared" si="6"/>
        <v>-1.2190141905051542E-3</v>
      </c>
      <c r="ES5" s="25">
        <f t="shared" si="6"/>
        <v>-1.1938807769706742E-3</v>
      </c>
      <c r="ET5" s="25">
        <f t="shared" si="6"/>
        <v>-1.1692655595989746E-3</v>
      </c>
      <c r="EU5" s="25">
        <f t="shared" si="6"/>
        <v>-1.1451578543155369E-3</v>
      </c>
      <c r="EV5" s="25">
        <f t="shared" si="6"/>
        <v>-1.1215471973281532E-3</v>
      </c>
      <c r="EW5" s="25">
        <f t="shared" si="6"/>
        <v>-1.0984233405851856E-3</v>
      </c>
      <c r="EX5" s="25">
        <f t="shared" si="6"/>
        <v>-1.0757762473274665E-3</v>
      </c>
      <c r="EY5" s="25">
        <f t="shared" si="6"/>
        <v>-1.0535960877319102E-3</v>
      </c>
      <c r="EZ5" s="25">
        <f t="shared" si="6"/>
        <v>-1.0318732346449387E-3</v>
      </c>
      <c r="FA5" s="25">
        <f t="shared" si="6"/>
        <v>-1.0105982594038826E-3</v>
      </c>
      <c r="FB5" s="25">
        <f t="shared" si="6"/>
        <v>-9.8976192774452923E-4</v>
      </c>
      <c r="FC5" s="25">
        <f t="shared" si="6"/>
        <v>-9.6935519579305026E-4</v>
      </c>
      <c r="FD5" s="25">
        <f t="shared" si="6"/>
        <v>-9.4936920614056884E-4</v>
      </c>
      <c r="FE5" s="25">
        <f t="shared" si="6"/>
        <v>-9.2979528399865844E-4</v>
      </c>
      <c r="FF5" s="25">
        <f t="shared" si="6"/>
        <v>-9.106249334341059E-4</v>
      </c>
      <c r="FG5" s="25">
        <f t="shared" si="6"/>
        <v>-8.9184983368130986E-4</v>
      </c>
      <c r="FH5" s="25">
        <f t="shared" si="6"/>
        <v>-8.7346183553070524E-4</v>
      </c>
      <c r="FI5" s="25">
        <f t="shared" si="6"/>
        <v>-8.5545295779165082E-4</v>
      </c>
      <c r="FJ5" s="25">
        <f t="shared" si="6"/>
        <v>-8.3781538382824827E-4</v>
      </c>
      <c r="FK5" s="25">
        <f t="shared" si="6"/>
        <v>-8.2054145816658024E-4</v>
      </c>
      <c r="FL5" s="25">
        <f t="shared" si="6"/>
        <v>-8.036236831719017E-4</v>
      </c>
      <c r="FM5" s="25">
        <f t="shared" si="6"/>
        <v>-7.8705471579434245E-4</v>
      </c>
      <c r="FN5" s="25">
        <f t="shared" si="6"/>
        <v>-7.7082736438170273E-4</v>
      </c>
      <c r="FO5" s="25">
        <f t="shared" si="6"/>
        <v>-7.5493458555796254E-4</v>
      </c>
      <c r="FP5" s="25">
        <f t="shared" si="6"/>
        <v>-7.3936948116615307E-4</v>
      </c>
      <c r="FQ5" s="25">
        <f t="shared" si="6"/>
        <v>-7.2412529527425443E-4</v>
      </c>
      <c r="FR5" s="25">
        <f t="shared" si="6"/>
        <v>-7.0919541124282758E-4</v>
      </c>
      <c r="FS5" s="25">
        <f t="shared" si="6"/>
        <v>-6.9457334885310632E-4</v>
      </c>
      <c r="FT5" s="25">
        <f t="shared" si="6"/>
        <v>-6.8025276149429991E-4</v>
      </c>
      <c r="FU5" s="25">
        <f t="shared" si="6"/>
        <v>-6.6622743340888715E-4</v>
      </c>
      <c r="FV5" s="25">
        <f t="shared" si="6"/>
        <v>-6.5249127699470945E-4</v>
      </c>
      <c r="FW5" s="25">
        <f t="shared" si="6"/>
        <v>-6.3903833016268514E-4</v>
      </c>
      <c r="FX5" s="25">
        <f t="shared" si="6"/>
        <v>-6.2586275374900378E-4</v>
      </c>
      <c r="FY5" s="25">
        <f t="shared" si="6"/>
        <v>-6.1295882898067602E-4</v>
      </c>
      <c r="FZ5" s="25">
        <f t="shared" si="6"/>
        <v>-6.0032095499333712E-4</v>
      </c>
      <c r="GA5" s="25">
        <f t="shared" si="6"/>
        <v>-5.8794364640022767E-4</v>
      </c>
      <c r="GB5" s="25">
        <f t="shared" si="6"/>
        <v>-5.7582153091129834E-4</v>
      </c>
      <c r="GC5" s="25">
        <f t="shared" si="6"/>
        <v>-5.6394934700140168E-4</v>
      </c>
      <c r="GD5" s="25">
        <f t="shared" si="6"/>
        <v>-5.5232194162656105E-4</v>
      </c>
      <c r="GE5" s="25">
        <f t="shared" si="6"/>
        <v>-5.4093426798732728E-4</v>
      </c>
      <c r="GF5" s="25">
        <f t="shared" si="6"/>
        <v>-5.2978138333824635E-4</v>
      </c>
      <c r="GG5" s="25">
        <f t="shared" si="6"/>
        <v>-5.1885844684249353E-4</v>
      </c>
      <c r="GH5" s="25">
        <f t="shared" si="6"/>
        <v>-5.081607174707406E-4</v>
      </c>
      <c r="GI5" s="25">
        <f t="shared" si="6"/>
        <v>-4.9768355194334212E-4</v>
      </c>
      <c r="GJ5" s="25">
        <f t="shared" si="6"/>
        <v>-4.8742240271494987E-4</v>
      </c>
      <c r="GK5" s="25">
        <f t="shared" si="6"/>
        <v>-4.7737281600068173E-4</v>
      </c>
      <c r="GL5" s="25">
        <f t="shared" si="6"/>
        <v>-4.6753042984298463E-4</v>
      </c>
      <c r="GM5" s="25">
        <f t="shared" si="6"/>
        <v>-4.5789097221835451E-4</v>
      </c>
      <c r="GN5" s="25">
        <f t="shared" si="6"/>
        <v>-4.4845025918309451E-4</v>
      </c>
      <c r="GO5" s="25">
        <f t="shared" ref="GO5:II5" si="7">-GO4</f>
        <v>-4.3920419305729878E-4</v>
      </c>
      <c r="GP5" s="25">
        <f t="shared" si="7"/>
        <v>-4.3014876064628461E-4</v>
      </c>
      <c r="GQ5" s="25">
        <f t="shared" si="7"/>
        <v>-4.2128003149868778E-4</v>
      </c>
      <c r="GR5" s="25">
        <f t="shared" si="7"/>
        <v>-4.1259415620047824E-4</v>
      </c>
      <c r="GS5" s="25">
        <f t="shared" si="7"/>
        <v>-4.040873647041469E-4</v>
      </c>
      <c r="GT5" s="25">
        <f t="shared" si="7"/>
        <v>-3.9575596469233992E-4</v>
      </c>
      <c r="GU5" s="25">
        <f t="shared" si="7"/>
        <v>-3.875963399752329E-4</v>
      </c>
      <c r="GV5" s="25">
        <f t="shared" si="7"/>
        <v>-3.7960494892094867E-4</v>
      </c>
      <c r="GW5" s="25">
        <f t="shared" si="7"/>
        <v>-3.7177832291833282E-4</v>
      </c>
      <c r="GX5" s="25">
        <f t="shared" si="7"/>
        <v>-3.6411306487142675E-4</v>
      </c>
      <c r="GY5" s="25">
        <f t="shared" si="7"/>
        <v>-3.5660584772498143E-4</v>
      </c>
      <c r="GZ5" s="25">
        <f t="shared" si="7"/>
        <v>-3.4925341302036845E-4</v>
      </c>
      <c r="HA5" s="25">
        <f t="shared" si="7"/>
        <v>-3.4205256948126881E-4</v>
      </c>
      <c r="HB5" s="25">
        <f t="shared" si="7"/>
        <v>-3.3500019162852073E-4</v>
      </c>
      <c r="HC5" s="25">
        <f t="shared" si="7"/>
        <v>-3.2809321842352423E-4</v>
      </c>
      <c r="HD5" s="25">
        <f t="shared" si="7"/>
        <v>-3.2132865193961797E-4</v>
      </c>
      <c r="HE5" s="25">
        <f t="shared" si="7"/>
        <v>-3.1470355606084998E-4</v>
      </c>
      <c r="HF5" s="25">
        <f t="shared" si="7"/>
        <v>-3.0821505520757357E-4</v>
      </c>
      <c r="HG5" s="25">
        <f t="shared" si="7"/>
        <v>-3.0186033308832183E-4</v>
      </c>
      <c r="HH5" s="25">
        <f t="shared" si="7"/>
        <v>-2.9563663147741544E-4</v>
      </c>
      <c r="HI5" s="25">
        <f t="shared" si="7"/>
        <v>-2.8954124901777118E-4</v>
      </c>
      <c r="HJ5" s="25">
        <f t="shared" si="7"/>
        <v>-2.835715400483964E-4</v>
      </c>
      <c r="HK5" s="25">
        <f t="shared" si="7"/>
        <v>-2.7772491345605767E-4</v>
      </c>
      <c r="HL5" s="25">
        <f t="shared" si="7"/>
        <v>-2.7199883155062374E-4</v>
      </c>
      <c r="HM5" s="25">
        <f t="shared" si="7"/>
        <v>-2.6639080896359829E-4</v>
      </c>
      <c r="HN5" s="25">
        <f t="shared" si="7"/>
        <v>-2.608984115693626E-4</v>
      </c>
      <c r="HO5" s="25">
        <f t="shared" si="7"/>
        <v>-2.555192554286581E-4</v>
      </c>
      <c r="HP5" s="25">
        <f t="shared" si="7"/>
        <v>-2.5025100575385339E-4</v>
      </c>
      <c r="HQ5" s="25">
        <f t="shared" si="7"/>
        <v>-2.4509137589554572E-4</v>
      </c>
      <c r="HR5" s="25">
        <f t="shared" si="7"/>
        <v>-2.4003812635005459E-4</v>
      </c>
      <c r="HS5" s="25">
        <f t="shared" si="7"/>
        <v>-2.3508906378738017E-4</v>
      </c>
      <c r="HT5" s="25">
        <f t="shared" si="7"/>
        <v>-2.3024204009920352E-4</v>
      </c>
      <c r="HU5" s="25">
        <f t="shared" si="7"/>
        <v>-2.2549495146651283E-4</v>
      </c>
      <c r="HV5" s="25">
        <f t="shared" si="7"/>
        <v>-2.2084573744645536E-4</v>
      </c>
      <c r="HW5" s="25">
        <f t="shared" si="7"/>
        <v>-2.1629238007801586E-4</v>
      </c>
      <c r="HX5" s="25">
        <f t="shared" si="7"/>
        <v>-2.1183290300613294E-4</v>
      </c>
      <c r="HY5" s="25">
        <f t="shared" si="7"/>
        <v>-2.0746537062387533E-4</v>
      </c>
      <c r="HZ5" s="25">
        <f t="shared" si="7"/>
        <v>-2.0318788723230528E-4</v>
      </c>
      <c r="IA5" s="25">
        <f t="shared" si="7"/>
        <v>-1.9899859621766124E-4</v>
      </c>
      <c r="IB5" s="25">
        <f t="shared" si="7"/>
        <v>-1.9489567924550766E-4</v>
      </c>
      <c r="IC5" s="25">
        <f t="shared" si="7"/>
        <v>-1.9087735547149905E-4</v>
      </c>
      <c r="ID5" s="25">
        <f t="shared" si="7"/>
        <v>-1.8694188076841533E-4</v>
      </c>
      <c r="IE5" s="25">
        <f t="shared" si="7"/>
        <v>-1.830875469691351E-4</v>
      </c>
      <c r="IF5" s="25">
        <f t="shared" si="7"/>
        <v>-1.7931268112521747E-4</v>
      </c>
      <c r="IG5" s="25">
        <f t="shared" si="7"/>
        <v>-1.7561564478076866E-4</v>
      </c>
      <c r="IH5" s="25">
        <f t="shared" si="7"/>
        <v>-1.7199483326128134E-4</v>
      </c>
      <c r="II5" s="25">
        <f t="shared" si="7"/>
        <v>-1.6844867497713668E-4</v>
      </c>
    </row>
    <row r="6" spans="1:243" x14ac:dyDescent="0.45">
      <c r="A6" s="2" t="s">
        <v>64</v>
      </c>
      <c r="B6" s="2" t="s">
        <v>63</v>
      </c>
      <c r="C6" s="2" t="s">
        <v>67</v>
      </c>
      <c r="D6" s="24">
        <f>-0.65*EXP((-D1/12)/4)*2.5%+0.9*(1-EXP((-D1/12)/4))*1%</f>
        <v>-1.5729400078613814E-2</v>
      </c>
      <c r="E6" s="24">
        <f t="shared" ref="E6:BP6" si="8">-0.65*EXP((-E1/12)/4)*2.5%+0.9*(1-EXP((-E1/12)/4))*1%</f>
        <v>-1.5219533792005739E-2</v>
      </c>
      <c r="F6" s="24">
        <f t="shared" si="8"/>
        <v>-1.4720179836040265E-2</v>
      </c>
      <c r="G6" s="24">
        <f t="shared" si="8"/>
        <v>-1.4231121469390415E-2</v>
      </c>
      <c r="H6" s="24">
        <f t="shared" si="8"/>
        <v>-1.3752146419462588E-2</v>
      </c>
      <c r="I6" s="24">
        <f t="shared" si="8"/>
        <v>-1.3283046790261035E-2</v>
      </c>
      <c r="J6" s="24">
        <f t="shared" si="8"/>
        <v>-1.2823618972151941E-2</v>
      </c>
      <c r="K6" s="24">
        <f t="shared" si="8"/>
        <v>-1.2373663553488007E-2</v>
      </c>
      <c r="L6" s="24">
        <f t="shared" si="8"/>
        <v>-1.193298523405511E-2</v>
      </c>
      <c r="M6" s="24">
        <f t="shared" si="8"/>
        <v>-1.1501392740303531E-2</v>
      </c>
      <c r="N6" s="24">
        <f t="shared" si="8"/>
        <v>-1.1078698742326924E-2</v>
      </c>
      <c r="O6" s="24">
        <f t="shared" si="8"/>
        <v>-1.0664719772552976E-2</v>
      </c>
      <c r="P6" s="24">
        <f t="shared" si="8"/>
        <v>-1.0259276146110502E-2</v>
      </c>
      <c r="Q6" s="24">
        <f t="shared" si="8"/>
        <v>-9.8621918828384232E-3</v>
      </c>
      <c r="R6" s="24">
        <f t="shared" si="8"/>
        <v>-9.4732946309027052E-3</v>
      </c>
      <c r="S6" s="24">
        <f t="shared" si="8"/>
        <v>-9.0924155919881802E-3</v>
      </c>
      <c r="T6" s="24">
        <f t="shared" si="8"/>
        <v>-8.719389448032723E-3</v>
      </c>
      <c r="U6" s="24">
        <f t="shared" si="8"/>
        <v>-8.3540542894720484E-3</v>
      </c>
      <c r="V6" s="24">
        <f t="shared" si="8"/>
        <v>-7.9962515449638998E-3</v>
      </c>
      <c r="W6" s="24">
        <f t="shared" si="8"/>
        <v>-7.6458259125612056E-3</v>
      </c>
      <c r="X6" s="24">
        <f t="shared" si="8"/>
        <v>-7.3026252923042755E-3</v>
      </c>
      <c r="Y6" s="24">
        <f t="shared" si="8"/>
        <v>-6.9665007202028076E-3</v>
      </c>
      <c r="Z6" s="24">
        <f t="shared" si="8"/>
        <v>-6.6373063035790429E-3</v>
      </c>
      <c r="AA6" s="24">
        <f t="shared" si="8"/>
        <v>-6.3148991577439938E-3</v>
      </c>
      <c r="AB6" s="24">
        <f t="shared" si="8"/>
        <v>-5.9991393439792848E-3</v>
      </c>
      <c r="AC6" s="24">
        <f t="shared" si="8"/>
        <v>-5.6898898087976617E-3</v>
      </c>
      <c r="AD6" s="24">
        <f t="shared" si="8"/>
        <v>-5.3870163244558074E-3</v>
      </c>
      <c r="AE6" s="24">
        <f t="shared" si="8"/>
        <v>-5.0903874306936891E-3</v>
      </c>
      <c r="AF6" s="24">
        <f t="shared" si="8"/>
        <v>-4.7998743776750744E-3</v>
      </c>
      <c r="AG6" s="24">
        <f t="shared" si="8"/>
        <v>-4.5153510701045063E-3</v>
      </c>
      <c r="AH6" s="24">
        <f t="shared" si="8"/>
        <v>-4.2366940124964605E-3</v>
      </c>
      <c r="AI6" s="24">
        <f t="shared" si="8"/>
        <v>-3.9637822555729481E-3</v>
      </c>
      <c r="AJ6" s="24">
        <f t="shared" si="8"/>
        <v>-3.6964973437662585E-3</v>
      </c>
      <c r="AK6" s="24">
        <f t="shared" si="8"/>
        <v>-3.4347232638040947E-3</v>
      </c>
      <c r="AL6" s="24">
        <f t="shared" si="8"/>
        <v>-3.178346394354774E-3</v>
      </c>
      <c r="AM6" s="24">
        <f t="shared" si="8"/>
        <v>-2.9272554567106208E-3</v>
      </c>
      <c r="AN6" s="24">
        <f t="shared" si="8"/>
        <v>-2.6813414664881852E-3</v>
      </c>
      <c r="AO6" s="24">
        <f t="shared" si="8"/>
        <v>-2.4404976863242672E-3</v>
      </c>
      <c r="AP6" s="24">
        <f>-0.65*EXP((-AP1/12)/4)*2.5%+0.9*(1-EXP((-AP1/12)/4))*1%</f>
        <v>-2.2046195795472666E-3</v>
      </c>
      <c r="AQ6" s="24">
        <f t="shared" si="8"/>
        <v>-1.9736047648037259E-3</v>
      </c>
      <c r="AR6" s="24">
        <f t="shared" si="8"/>
        <v>-1.7473529716203638E-3</v>
      </c>
      <c r="AS6" s="24">
        <f t="shared" si="8"/>
        <v>-1.5257659968823363E-3</v>
      </c>
      <c r="AT6" s="24">
        <f t="shared" si="8"/>
        <v>-1.3087476622088198E-3</v>
      </c>
      <c r="AU6" s="24">
        <f t="shared" si="8"/>
        <v>-1.0962037722073957E-3</v>
      </c>
      <c r="AV6" s="24">
        <f t="shared" si="8"/>
        <v>-8.8804207358917503E-4</v>
      </c>
      <c r="AW6" s="24">
        <f t="shared" si="8"/>
        <v>-6.8417221512684454E-4</v>
      </c>
      <c r="AX6" s="24">
        <f t="shared" si="8"/>
        <v>-4.8450570843831895E-4</v>
      </c>
      <c r="AY6" s="24">
        <f t="shared" si="8"/>
        <v>-2.889558895789188E-4</v>
      </c>
      <c r="AZ6" s="24">
        <f t="shared" si="8"/>
        <v>-9.7437881425473105E-5</v>
      </c>
      <c r="BA6" s="24">
        <f t="shared" si="8"/>
        <v>9.0131443164065579E-5</v>
      </c>
      <c r="BB6" s="24">
        <f t="shared" si="8"/>
        <v>2.7383349743139232E-4</v>
      </c>
      <c r="BC6" s="24">
        <f t="shared" si="8"/>
        <v>4.5374801605475856E-4</v>
      </c>
      <c r="BD6" s="24">
        <f t="shared" si="8"/>
        <v>6.29953089757271E-4</v>
      </c>
      <c r="BE6" s="24">
        <f t="shared" si="8"/>
        <v>8.0252519920166916E-4</v>
      </c>
      <c r="BF6" s="24">
        <f t="shared" si="8"/>
        <v>9.7153924818625757E-4</v>
      </c>
      <c r="BG6" s="24">
        <f t="shared" si="8"/>
        <v>1.1370685961564096E-3</v>
      </c>
      <c r="BH6" s="24">
        <f t="shared" si="8"/>
        <v>1.2991850900457525E-3</v>
      </c>
      <c r="BI6" s="24">
        <f t="shared" si="8"/>
        <v>1.457959095460871E-3</v>
      </c>
      <c r="BJ6" s="24">
        <f t="shared" si="8"/>
        <v>1.6134595272230294E-3</v>
      </c>
      <c r="BK6" s="24">
        <f>-0.65*EXP((-BK1/12)/4)*2.5%+0.9*(1-EXP((-BK1/12)/4))*1%</f>
        <v>1.7657538792801991E-3</v>
      </c>
      <c r="BL6" s="24">
        <f t="shared" si="8"/>
        <v>1.9149082540023798E-3</v>
      </c>
      <c r="BM6" s="24">
        <f t="shared" si="8"/>
        <v>2.0609873908728864E-3</v>
      </c>
      <c r="BN6" s="24">
        <f t="shared" si="8"/>
        <v>2.2040546945881071E-3</v>
      </c>
      <c r="BO6" s="24">
        <f t="shared" si="8"/>
        <v>2.3441722625778989E-3</v>
      </c>
      <c r="BP6" s="24">
        <f t="shared" si="8"/>
        <v>2.4814009119585702E-3</v>
      </c>
      <c r="BQ6" s="24">
        <f t="shared" ref="BQ6:CV6" si="9">-0.65*EXP((-BQ1/12)/4)*2.5%+0.9*(1-EXP((-BQ1/12)/4))*1%</f>
        <v>2.615800205930152E-3</v>
      </c>
      <c r="BR6" s="24">
        <f t="shared" si="9"/>
        <v>2.7474284796294175E-3</v>
      </c>
      <c r="BS6" s="24">
        <f t="shared" si="9"/>
        <v>2.8763428654498711E-3</v>
      </c>
      <c r="BT6" s="24">
        <f t="shared" si="9"/>
        <v>3.0025993178396829E-3</v>
      </c>
      <c r="BU6" s="24">
        <f t="shared" si="9"/>
        <v>3.1262526375883592E-3</v>
      </c>
      <c r="BV6" s="24">
        <f t="shared" si="9"/>
        <v>3.2473564956126701E-3</v>
      </c>
      <c r="BW6" s="24">
        <f t="shared" si="9"/>
        <v>3.3659634562521468E-3</v>
      </c>
      <c r="BX6" s="24">
        <f t="shared" si="9"/>
        <v>3.4821250000843067E-3</v>
      </c>
      <c r="BY6" s="24">
        <f t="shared" si="9"/>
        <v>3.5958915462694523E-3</v>
      </c>
      <c r="BZ6" s="24">
        <f t="shared" si="9"/>
        <v>3.7073124744347792E-3</v>
      </c>
      <c r="CA6" s="24">
        <f t="shared" si="9"/>
        <v>3.8164361461072915E-3</v>
      </c>
      <c r="CB6" s="24">
        <f t="shared" si="9"/>
        <v>3.9233099257047896E-3</v>
      </c>
      <c r="CC6" s="24">
        <f t="shared" si="9"/>
        <v>4.0279802010941002E-3</v>
      </c>
      <c r="CD6" s="24">
        <f t="shared" si="9"/>
        <v>4.1304924037254259E-3</v>
      </c>
      <c r="CE6" s="24">
        <f t="shared" si="9"/>
        <v>4.2308910283515647E-3</v>
      </c>
      <c r="CF6" s="24">
        <f t="shared" si="9"/>
        <v>4.3292196523405675E-3</v>
      </c>
      <c r="CG6" s="24">
        <f t="shared" si="9"/>
        <v>4.4255209545902164E-3</v>
      </c>
      <c r="CH6" s="24">
        <f t="shared" si="9"/>
        <v>4.5198367340525169E-3</v>
      </c>
      <c r="CI6" s="24">
        <f t="shared" si="9"/>
        <v>4.6122079278762594E-3</v>
      </c>
      <c r="CJ6" s="24">
        <f t="shared" si="9"/>
        <v>4.7026746291755298E-3</v>
      </c>
      <c r="CK6" s="24">
        <f t="shared" si="9"/>
        <v>4.79127610443185E-3</v>
      </c>
      <c r="CL6" s="24">
        <f t="shared" si="9"/>
        <v>4.8780508105375504E-3</v>
      </c>
      <c r="CM6" s="24">
        <f t="shared" si="9"/>
        <v>4.963036411487729E-3</v>
      </c>
      <c r="CN6" s="24">
        <f t="shared" si="9"/>
        <v>5.0462697947280611E-3</v>
      </c>
      <c r="CO6" s="24">
        <f t="shared" si="9"/>
        <v>5.1277870871655569E-3</v>
      </c>
      <c r="CP6" s="24">
        <f t="shared" si="9"/>
        <v>5.2076236708492058E-3</v>
      </c>
      <c r="CQ6" s="24">
        <f t="shared" si="9"/>
        <v>5.2858141983273361E-3</v>
      </c>
      <c r="CR6" s="24">
        <f t="shared" si="9"/>
        <v>5.3623926076883047E-3</v>
      </c>
      <c r="CS6" s="24">
        <f t="shared" si="9"/>
        <v>5.4373921372911273E-3</v>
      </c>
      <c r="CT6" s="24">
        <f t="shared" si="9"/>
        <v>5.5108453401923573E-3</v>
      </c>
      <c r="CU6" s="24">
        <f t="shared" si="9"/>
        <v>5.5827840982755304E-3</v>
      </c>
      <c r="CV6" s="24">
        <f t="shared" si="9"/>
        <v>5.653239636089288E-3</v>
      </c>
      <c r="CW6" s="24">
        <f>-0.65*EXP((-CW1/12)/4)*2.5%+0.9*(1-EXP((-CW1/12)/4))*1%</f>
        <v>5.7222425344001905E-3</v>
      </c>
      <c r="CX6" s="24">
        <f>-0.65*EXP((-CX1/12)/4)*2.5%+0.9*(1-EXP((-CX1/12)/4))*1%</f>
        <v>5.7898227434661012E-3</v>
      </c>
      <c r="CY6" s="24">
        <f t="shared" ref="CY6:FJ6" si="10">-0.65*EXP((-CY1/12)/4)*2.5%+0.9*(1-EXP((-CY1/12)/4))*1%</f>
        <v>5.8560095960358948E-3</v>
      </c>
      <c r="CZ6" s="24">
        <f t="shared" si="10"/>
        <v>5.9208318200811468E-3</v>
      </c>
      <c r="DA6" s="24">
        <f t="shared" si="10"/>
        <v>5.9843175512653288E-3</v>
      </c>
      <c r="DB6" s="24">
        <f t="shared" si="10"/>
        <v>6.0464943451559025E-3</v>
      </c>
      <c r="DC6" s="24">
        <f t="shared" si="10"/>
        <v>6.1073891891846354E-3</v>
      </c>
      <c r="DD6" s="24">
        <f t="shared" si="10"/>
        <v>6.1670285143613215E-3</v>
      </c>
      <c r="DE6" s="24">
        <f t="shared" si="10"/>
        <v>6.2254382067459873E-3</v>
      </c>
      <c r="DF6" s="24">
        <f t="shared" si="10"/>
        <v>6.2826436186845663E-3</v>
      </c>
      <c r="DG6" s="24">
        <f t="shared" si="10"/>
        <v>6.338669579812925E-3</v>
      </c>
      <c r="DH6" s="24">
        <f t="shared" si="10"/>
        <v>6.393540407833998E-3</v>
      </c>
      <c r="DI6" s="24">
        <f t="shared" si="10"/>
        <v>6.4472799190727261E-3</v>
      </c>
      <c r="DJ6" s="24">
        <f t="shared" si="10"/>
        <v>6.4999114388133864E-3</v>
      </c>
      <c r="DK6" s="24">
        <f t="shared" si="10"/>
        <v>6.551457811423772E-3</v>
      </c>
      <c r="DL6" s="24">
        <f t="shared" si="10"/>
        <v>6.6019414102706448E-3</v>
      </c>
      <c r="DM6" s="24">
        <f t="shared" si="10"/>
        <v>6.6513841474307471E-3</v>
      </c>
      <c r="DN6" s="24">
        <f t="shared" si="10"/>
        <v>6.6998074832015954E-3</v>
      </c>
      <c r="DO6" s="24">
        <f t="shared" si="10"/>
        <v>6.747232435416182E-3</v>
      </c>
      <c r="DP6" s="24">
        <f t="shared" si="10"/>
        <v>6.793679588565635E-3</v>
      </c>
      <c r="DQ6" s="24">
        <f t="shared" si="10"/>
        <v>6.8391691027337729E-3</v>
      </c>
      <c r="DR6" s="24">
        <f t="shared" si="10"/>
        <v>6.8837207223474599E-3</v>
      </c>
      <c r="DS6" s="24">
        <f t="shared" si="10"/>
        <v>6.9273537847465557E-3</v>
      </c>
      <c r="DT6" s="24">
        <f t="shared" si="10"/>
        <v>6.9700872285771431E-3</v>
      </c>
      <c r="DU6" s="24">
        <f t="shared" si="10"/>
        <v>7.0119396020117374E-3</v>
      </c>
      <c r="DV6" s="24">
        <f t="shared" si="10"/>
        <v>7.0529290708000042E-3</v>
      </c>
      <c r="DW6" s="24">
        <f t="shared" si="10"/>
        <v>7.0930734261534616E-3</v>
      </c>
      <c r="DX6" s="24">
        <f t="shared" si="10"/>
        <v>7.1323900924676687E-3</v>
      </c>
      <c r="DY6" s="24">
        <f t="shared" si="10"/>
        <v>7.170896134885152E-3</v>
      </c>
      <c r="DZ6" s="24">
        <f t="shared" si="10"/>
        <v>7.208608266702418E-3</v>
      </c>
      <c r="EA6" s="24">
        <f t="shared" si="10"/>
        <v>7.2455428566242618E-3</v>
      </c>
      <c r="EB6" s="24">
        <f t="shared" si="10"/>
        <v>7.2817159358684923E-3</v>
      </c>
      <c r="EC6" s="24">
        <f t="shared" si="10"/>
        <v>7.3171432051241762E-3</v>
      </c>
      <c r="ED6" s="24">
        <f t="shared" si="10"/>
        <v>7.3518400413664165E-3</v>
      </c>
      <c r="EE6" s="24">
        <f t="shared" si="10"/>
        <v>7.3858215045306333E-3</v>
      </c>
      <c r="EF6" s="24">
        <f t="shared" si="10"/>
        <v>7.4191023440492339E-3</v>
      </c>
      <c r="EG6" s="24">
        <f t="shared" si="10"/>
        <v>7.4516970052534931E-3</v>
      </c>
      <c r="EH6" s="24">
        <f t="shared" si="10"/>
        <v>7.483619635643474E-3</v>
      </c>
      <c r="EI6" s="24">
        <f t="shared" si="10"/>
        <v>7.5148840910286459E-3</v>
      </c>
      <c r="EJ6" s="24">
        <f>-0.65*EXP((-EJ1/12)/4)*2.5%+0.9*(1-EXP((-EJ1/12)/4))*1%</f>
        <v>7.5455039415419072E-3</v>
      </c>
      <c r="EK6" s="24">
        <f t="shared" si="10"/>
        <v>7.5754924775296231E-3</v>
      </c>
      <c r="EL6" s="24">
        <f t="shared" si="10"/>
        <v>7.6048627153202011E-3</v>
      </c>
      <c r="EM6" s="24">
        <f t="shared" si="10"/>
        <v>7.6336274028737557E-3</v>
      </c>
      <c r="EN6" s="24">
        <f t="shared" si="10"/>
        <v>7.6617990253152676E-3</v>
      </c>
      <c r="EO6" s="24">
        <f t="shared" si="10"/>
        <v>7.6893898103536744E-3</v>
      </c>
      <c r="EP6" s="24">
        <f t="shared" si="10"/>
        <v>7.7164117335892296E-3</v>
      </c>
      <c r="EQ6" s="24">
        <f t="shared" si="10"/>
        <v>7.7428765237114354E-3</v>
      </c>
      <c r="ER6" s="24">
        <f t="shared" si="10"/>
        <v>7.7687956675897953E-3</v>
      </c>
      <c r="ES6" s="24">
        <f t="shared" si="10"/>
        <v>7.7941804152596196E-3</v>
      </c>
      <c r="ET6" s="24">
        <f t="shared" si="10"/>
        <v>7.8190417848050375E-3</v>
      </c>
      <c r="EU6" s="24">
        <f t="shared" si="10"/>
        <v>7.8433905671413083E-3</v>
      </c>
      <c r="EV6" s="24">
        <f t="shared" si="10"/>
        <v>7.8672373306985649E-3</v>
      </c>
      <c r="EW6" s="24">
        <f t="shared" si="10"/>
        <v>7.8905924260089626E-3</v>
      </c>
      <c r="EX6" s="24">
        <f t="shared" si="10"/>
        <v>7.9134659901992591E-3</v>
      </c>
      <c r="EY6" s="24">
        <f t="shared" si="10"/>
        <v>7.9358679513907709E-3</v>
      </c>
      <c r="EZ6" s="24">
        <f t="shared" si="10"/>
        <v>7.95780803300861E-3</v>
      </c>
      <c r="FA6" s="24">
        <f t="shared" si="10"/>
        <v>7.9792957580020786E-3</v>
      </c>
      <c r="FB6" s="24">
        <f t="shared" si="10"/>
        <v>8.0003404529780248E-3</v>
      </c>
      <c r="FC6" s="24">
        <f t="shared" si="10"/>
        <v>8.0209512522490204E-3</v>
      </c>
      <c r="FD6" s="24">
        <f t="shared" si="10"/>
        <v>8.0411371017980252E-3</v>
      </c>
      <c r="FE6" s="24">
        <f>-0.65*EXP((-FE1/12)/4)*2.5%+0.9*(1-EXP((-FE1/12)/4))*1%</f>
        <v>8.0609067631613567E-3</v>
      </c>
      <c r="FF6" s="24">
        <f t="shared" si="10"/>
        <v>8.0802688172315531E-3</v>
      </c>
      <c r="FG6" s="24">
        <f t="shared" si="10"/>
        <v>8.0992316679818783E-3</v>
      </c>
      <c r="FH6" s="24">
        <f t="shared" si="10"/>
        <v>8.1178035461139872E-3</v>
      </c>
      <c r="FI6" s="24">
        <f t="shared" si="10"/>
        <v>8.1359925126304328E-3</v>
      </c>
      <c r="FJ6" s="24">
        <f t="shared" si="10"/>
        <v>8.1538064623334697E-3</v>
      </c>
      <c r="FK6" s="24">
        <f t="shared" ref="FK6:GN6" si="11">-0.65*EXP((-FK1/12)/4)*2.5%+0.9*(1-EXP((-FK1/12)/4))*1%</f>
        <v>8.1712531272517541E-3</v>
      </c>
      <c r="FL6" s="24">
        <f t="shared" si="11"/>
        <v>8.1883400799963781E-3</v>
      </c>
      <c r="FM6" s="24">
        <f t="shared" si="11"/>
        <v>8.2050747370477142E-3</v>
      </c>
      <c r="FN6" s="24">
        <f t="shared" si="11"/>
        <v>8.2214643619744811E-3</v>
      </c>
      <c r="FO6" s="24">
        <f t="shared" si="11"/>
        <v>8.237516068586458E-3</v>
      </c>
      <c r="FP6" s="24">
        <f t="shared" si="11"/>
        <v>8.2532368240221862E-3</v>
      </c>
      <c r="FQ6" s="24">
        <f t="shared" si="11"/>
        <v>8.2686334517730019E-3</v>
      </c>
      <c r="FR6" s="24">
        <f t="shared" si="11"/>
        <v>8.2837126346447451E-3</v>
      </c>
      <c r="FS6" s="24">
        <f t="shared" si="11"/>
        <v>8.2984809176583647E-3</v>
      </c>
      <c r="FT6" s="24">
        <f t="shared" si="11"/>
        <v>8.3129447108907586E-3</v>
      </c>
      <c r="FU6" s="24">
        <f t="shared" si="11"/>
        <v>8.3271102922570246E-3</v>
      </c>
      <c r="FV6" s="24">
        <f t="shared" si="11"/>
        <v>8.3409838102353438E-3</v>
      </c>
      <c r="FW6" s="24">
        <f t="shared" si="11"/>
        <v>8.3545712865356891E-3</v>
      </c>
      <c r="FX6" s="24">
        <f t="shared" si="11"/>
        <v>8.3678786187135062E-3</v>
      </c>
      <c r="FY6" s="24">
        <f t="shared" si="11"/>
        <v>8.3809115827295187E-3</v>
      </c>
      <c r="FZ6" s="24">
        <f t="shared" si="11"/>
        <v>8.3936758354567296E-3</v>
      </c>
      <c r="GA6" s="24">
        <f t="shared" si="11"/>
        <v>8.4061769171357697E-3</v>
      </c>
      <c r="GB6" s="24">
        <f t="shared" si="11"/>
        <v>8.4184202537795887E-3</v>
      </c>
      <c r="GC6" s="24">
        <f t="shared" si="11"/>
        <v>8.4304111595285853E-3</v>
      </c>
      <c r="GD6" s="24">
        <f t="shared" si="11"/>
        <v>8.4421548389571732E-3</v>
      </c>
      <c r="GE6" s="24">
        <f t="shared" si="11"/>
        <v>8.453656389332799E-3</v>
      </c>
      <c r="GF6" s="24">
        <f t="shared" si="11"/>
        <v>8.4649208028283723E-3</v>
      </c>
      <c r="GG6" s="24">
        <f t="shared" si="11"/>
        <v>8.4759529686890822E-3</v>
      </c>
      <c r="GH6" s="24">
        <f t="shared" si="11"/>
        <v>8.4867576753545511E-3</v>
      </c>
      <c r="GI6" s="24">
        <f t="shared" si="11"/>
        <v>8.4973396125372254E-3</v>
      </c>
      <c r="GJ6" s="24">
        <f t="shared" si="11"/>
        <v>8.5077033732579022E-3</v>
      </c>
      <c r="GK6" s="24">
        <f t="shared" si="11"/>
        <v>8.5178534558393113E-3</v>
      </c>
      <c r="GL6" s="24">
        <f t="shared" si="11"/>
        <v>8.5277942658585869E-3</v>
      </c>
      <c r="GM6" s="24">
        <f t="shared" si="11"/>
        <v>8.5375301180594613E-3</v>
      </c>
      <c r="GN6" s="24">
        <f t="shared" si="11"/>
        <v>8.5470652382250746E-3</v>
      </c>
      <c r="GO6" s="24">
        <f>-0.65*EXP((-GO1/12)/4)*2.5%+0.9*(1-EXP((-GO1/12)/4))*1%</f>
        <v>8.5564037650121272E-3</v>
      </c>
      <c r="GP6" s="24">
        <f t="shared" ref="GP6:II6" si="12">-0.65*EXP((-GP1/12)/4)*2.5%+0.9*(1-EXP((-GP1/12)/4))*1%</f>
        <v>8.5655497517472517E-3</v>
      </c>
      <c r="GQ6" s="24">
        <f t="shared" si="12"/>
        <v>8.5745071681863263E-3</v>
      </c>
      <c r="GR6" s="24">
        <f t="shared" si="12"/>
        <v>8.5832799022375166E-3</v>
      </c>
      <c r="GS6" s="24">
        <f t="shared" si="12"/>
        <v>8.5918717616488127E-3</v>
      </c>
      <c r="GT6" s="24">
        <f t="shared" si="12"/>
        <v>8.6002864756607369E-3</v>
      </c>
      <c r="GU6" s="24">
        <f t="shared" si="12"/>
        <v>8.6085276966250141E-3</v>
      </c>
      <c r="GV6" s="24">
        <f t="shared" si="12"/>
        <v>8.6165990015898437E-3</v>
      </c>
      <c r="GW6" s="24">
        <f t="shared" si="12"/>
        <v>8.624503893852482E-3</v>
      </c>
      <c r="GX6" s="24">
        <f t="shared" si="12"/>
        <v>8.6322458044798597E-3</v>
      </c>
      <c r="GY6" s="24">
        <f t="shared" si="12"/>
        <v>8.6398280937977686E-3</v>
      </c>
      <c r="GZ6" s="24">
        <f t="shared" si="12"/>
        <v>8.647254052849428E-3</v>
      </c>
      <c r="HA6" s="24">
        <f t="shared" si="12"/>
        <v>8.6545269048239198E-3</v>
      </c>
      <c r="HB6" s="24">
        <f t="shared" si="12"/>
        <v>8.6616498064551947E-3</v>
      </c>
      <c r="HC6" s="24">
        <f t="shared" si="12"/>
        <v>8.6686258493922398E-3</v>
      </c>
      <c r="HD6" s="24">
        <f t="shared" si="12"/>
        <v>8.6754580615409863E-3</v>
      </c>
      <c r="HE6" s="24">
        <f t="shared" si="12"/>
        <v>8.6821494083785412E-3</v>
      </c>
      <c r="HF6" s="24">
        <f t="shared" si="12"/>
        <v>8.6887027942403518E-3</v>
      </c>
      <c r="HG6" s="24">
        <f t="shared" si="12"/>
        <v>8.6951210635807952E-3</v>
      </c>
      <c r="HH6" s="24">
        <f t="shared" si="12"/>
        <v>8.7014070022078099E-3</v>
      </c>
      <c r="HI6" s="24">
        <f t="shared" si="12"/>
        <v>8.7075633384920519E-3</v>
      </c>
      <c r="HJ6" s="24">
        <f t="shared" si="12"/>
        <v>8.7135927445511213E-3</v>
      </c>
      <c r="HK6" s="24">
        <f t="shared" si="12"/>
        <v>8.7194978374093846E-3</v>
      </c>
      <c r="HL6" s="24">
        <f t="shared" si="12"/>
        <v>8.725281180133871E-3</v>
      </c>
      <c r="HM6" s="24">
        <f t="shared" si="12"/>
        <v>8.7309452829467653E-3</v>
      </c>
      <c r="HN6" s="24">
        <f t="shared" si="12"/>
        <v>8.7364926043149438E-3</v>
      </c>
      <c r="HO6" s="24">
        <f t="shared" si="12"/>
        <v>8.7419255520170564E-3</v>
      </c>
      <c r="HP6" s="24">
        <f t="shared" si="12"/>
        <v>8.7472464841886078E-3</v>
      </c>
      <c r="HQ6" s="24">
        <f t="shared" si="12"/>
        <v>8.7524577103454994E-3</v>
      </c>
      <c r="HR6" s="24">
        <f t="shared" si="12"/>
        <v>8.7575614923864446E-3</v>
      </c>
      <c r="HS6" s="24">
        <f t="shared" si="12"/>
        <v>8.7625600455747479E-3</v>
      </c>
      <c r="HT6" s="24">
        <f t="shared" si="12"/>
        <v>8.7674555394998046E-3</v>
      </c>
      <c r="HU6" s="24">
        <f t="shared" si="12"/>
        <v>8.7722500990188232E-3</v>
      </c>
      <c r="HV6" s="24">
        <f t="shared" si="12"/>
        <v>8.7769458051790809E-3</v>
      </c>
      <c r="HW6" s="24">
        <f t="shared" si="12"/>
        <v>8.7815446961212046E-3</v>
      </c>
      <c r="HX6" s="24">
        <f t="shared" si="12"/>
        <v>8.7860487679638066E-3</v>
      </c>
      <c r="HY6" s="24">
        <f t="shared" si="12"/>
        <v>8.7904599756698874E-3</v>
      </c>
      <c r="HZ6" s="24">
        <f t="shared" si="12"/>
        <v>8.7947802338953704E-3</v>
      </c>
      <c r="IA6" s="24">
        <f>-0.65*EXP((-IA1/12)/4)*2.5%+0.9*(1-EXP((-IA1/12)/4))*1%</f>
        <v>8.7990114178201628E-3</v>
      </c>
      <c r="IB6" s="24">
        <f t="shared" si="12"/>
        <v>8.8031553639620376E-3</v>
      </c>
      <c r="IC6" s="24">
        <f t="shared" si="12"/>
        <v>8.8072138709737856E-3</v>
      </c>
      <c r="ID6" s="24">
        <f t="shared" si="12"/>
        <v>8.8111887004239022E-3</v>
      </c>
      <c r="IE6" s="24">
        <f t="shared" si="12"/>
        <v>8.8150815775611749E-3</v>
      </c>
      <c r="IF6" s="24">
        <f t="shared" si="12"/>
        <v>8.8188941920635307E-3</v>
      </c>
      <c r="IG6" s="24">
        <f t="shared" si="12"/>
        <v>8.8226281987714254E-3</v>
      </c>
      <c r="IH6" s="24">
        <f t="shared" si="12"/>
        <v>8.8262852184061054E-3</v>
      </c>
      <c r="II6" s="24">
        <f t="shared" si="12"/>
        <v>8.829866838273092E-3</v>
      </c>
    </row>
    <row r="7" spans="1:243" x14ac:dyDescent="0.45">
      <c r="A7" s="2" t="s">
        <v>64</v>
      </c>
      <c r="B7" s="2" t="s">
        <v>63</v>
      </c>
      <c r="C7" s="2" t="s">
        <v>68</v>
      </c>
      <c r="D7" s="24">
        <f>0.8*EXP((-D1/12)/4)*2.5%-0.6*(1-EXP((-D1/12)/4))*1%</f>
        <v>1.9463936714612246E-2</v>
      </c>
      <c r="E7" s="24">
        <f t="shared" ref="E7:BP7" si="13">0.8*EXP((-E1/12)/4)*2.5%-0.6*(1-EXP((-E1/12)/4))*1%</f>
        <v>1.8938925884837594E-2</v>
      </c>
      <c r="F7" s="24">
        <f t="shared" si="13"/>
        <v>1.8424739633150375E-2</v>
      </c>
      <c r="G7" s="24">
        <f t="shared" si="13"/>
        <v>1.7921154780362408E-2</v>
      </c>
      <c r="H7" s="24">
        <f t="shared" si="13"/>
        <v>1.7427952748753559E-2</v>
      </c>
      <c r="I7" s="24">
        <f t="shared" si="13"/>
        <v>1.6944919467199483E-2</v>
      </c>
      <c r="J7" s="24">
        <f t="shared" si="13"/>
        <v>1.6471845278255463E-2</v>
      </c>
      <c r="K7" s="24">
        <f t="shared" si="13"/>
        <v>1.600852484715597E-2</v>
      </c>
      <c r="L7" s="24">
        <f t="shared" si="13"/>
        <v>1.5554757072690413E-2</v>
      </c>
      <c r="M7" s="24">
        <f t="shared" si="13"/>
        <v>1.5110344999916508E-2</v>
      </c>
      <c r="N7" s="24">
        <f t="shared" si="13"/>
        <v>1.4675095734673271E-2</v>
      </c>
      <c r="O7" s="24">
        <f t="shared" si="13"/>
        <v>1.4248820359856529E-2</v>
      </c>
      <c r="P7" s="24">
        <f t="shared" si="13"/>
        <v>1.3831333853420716E-2</v>
      </c>
      <c r="Q7" s="24">
        <f t="shared" si="13"/>
        <v>1.3422455008071248E-2</v>
      </c>
      <c r="R7" s="24">
        <f t="shared" si="13"/>
        <v>1.3022006352612686E-2</v>
      </c>
      <c r="S7" s="24">
        <f t="shared" si="13"/>
        <v>1.2629814074918522E-2</v>
      </c>
      <c r="T7" s="24">
        <f t="shared" si="13"/>
        <v>1.224570794648914E-2</v>
      </c>
      <c r="U7" s="24">
        <f t="shared" si="13"/>
        <v>1.1869521248565277E-2</v>
      </c>
      <c r="V7" s="24">
        <f t="shared" si="13"/>
        <v>1.1501090699764809E-2</v>
      </c>
      <c r="W7" s="24">
        <f t="shared" si="13"/>
        <v>1.1140256385211537E-2</v>
      </c>
      <c r="X7" s="24">
        <f t="shared" si="13"/>
        <v>1.0786861687125194E-2</v>
      </c>
      <c r="Y7" s="24">
        <f t="shared" si="13"/>
        <v>1.0440753216842494E-2</v>
      </c>
      <c r="Z7" s="24">
        <f t="shared" si="13"/>
        <v>1.0101780748239806E-2</v>
      </c>
      <c r="AA7" s="24">
        <f t="shared" si="13"/>
        <v>9.7697971525284692E-3</v>
      </c>
      <c r="AB7" s="24">
        <f t="shared" si="13"/>
        <v>9.4446583343945102E-3</v>
      </c>
      <c r="AC7" s="24">
        <f t="shared" si="13"/>
        <v>9.1262231694550187E-3</v>
      </c>
      <c r="AD7" s="24">
        <f t="shared" si="13"/>
        <v>8.8143534430039985E-3</v>
      </c>
      <c r="AE7" s="24">
        <f t="shared" si="13"/>
        <v>8.5089137900212271E-3</v>
      </c>
      <c r="AF7" s="24">
        <f t="shared" si="13"/>
        <v>8.2097716364178987E-3</v>
      </c>
      <c r="AG7" s="24">
        <f t="shared" si="13"/>
        <v>7.916797141493747E-3</v>
      </c>
      <c r="AH7" s="24">
        <f t="shared" si="13"/>
        <v>7.6298631415805144E-3</v>
      </c>
      <c r="AI7" s="24">
        <f t="shared" si="13"/>
        <v>7.3488450948473935E-3</v>
      </c>
      <c r="AJ7" s="24">
        <f t="shared" si="13"/>
        <v>7.0736210272444658E-3</v>
      </c>
      <c r="AK7" s="24">
        <f t="shared" si="13"/>
        <v>6.8040714795606552E-3</v>
      </c>
      <c r="AL7" s="24">
        <f t="shared" si="13"/>
        <v>6.5400794555732344E-3</v>
      </c>
      <c r="AM7" s="24">
        <f t="shared" si="13"/>
        <v>6.2815303712663844E-3</v>
      </c>
      <c r="AN7" s="24">
        <f t="shared" si="13"/>
        <v>6.0283120050967452E-3</v>
      </c>
      <c r="AO7" s="24">
        <f t="shared" si="13"/>
        <v>5.7803144492843943E-3</v>
      </c>
      <c r="AP7" s="24">
        <f t="shared" si="13"/>
        <v>5.5374300621080768E-3</v>
      </c>
      <c r="AQ7" s="24">
        <f t="shared" si="13"/>
        <v>5.2995534211840332E-3</v>
      </c>
      <c r="AR7" s="24">
        <f t="shared" si="13"/>
        <v>5.0665812777080984E-3</v>
      </c>
      <c r="AS7" s="24">
        <f t="shared" si="13"/>
        <v>4.8384125116412192E-3</v>
      </c>
      <c r="AT7" s="24">
        <f t="shared" si="13"/>
        <v>4.6149480878189836E-3</v>
      </c>
      <c r="AU7" s="24">
        <f t="shared" si="13"/>
        <v>4.3960910129660306E-3</v>
      </c>
      <c r="AV7" s="24">
        <f t="shared" si="13"/>
        <v>4.1817462935967737E-3</v>
      </c>
      <c r="AW7" s="24">
        <f t="shared" si="13"/>
        <v>3.9718208947840793E-3</v>
      </c>
      <c r="AX7" s="24">
        <f t="shared" si="13"/>
        <v>3.7662236997780705E-3</v>
      </c>
      <c r="AY7" s="24">
        <f t="shared" si="13"/>
        <v>3.5648654704575015E-3</v>
      </c>
      <c r="AZ7" s="24">
        <f t="shared" si="13"/>
        <v>3.3676588085965265E-3</v>
      </c>
      <c r="BA7" s="24">
        <f t="shared" si="13"/>
        <v>3.1745181179300718E-3</v>
      </c>
      <c r="BB7" s="24">
        <f t="shared" si="13"/>
        <v>2.985359567001339E-3</v>
      </c>
      <c r="BC7" s="24">
        <f t="shared" si="13"/>
        <v>2.800101052775299E-3</v>
      </c>
      <c r="BD7" s="24">
        <f t="shared" si="13"/>
        <v>2.6186621650024144E-3</v>
      </c>
      <c r="BE7" s="24">
        <f t="shared" si="13"/>
        <v>2.4409641513170929E-3</v>
      </c>
      <c r="BF7" s="24">
        <f t="shared" si="13"/>
        <v>2.2669298830557353E-3</v>
      </c>
      <c r="BG7" s="24">
        <f t="shared" si="13"/>
        <v>2.0964838217795399E-3</v>
      </c>
      <c r="BH7" s="24">
        <f t="shared" si="13"/>
        <v>1.9295519864875417E-3</v>
      </c>
      <c r="BI7" s="24">
        <f t="shared" si="13"/>
        <v>1.7660619215056393E-3</v>
      </c>
      <c r="BJ7" s="24">
        <f t="shared" si="13"/>
        <v>1.6059426650376725E-3</v>
      </c>
      <c r="BK7" s="24">
        <f t="shared" si="13"/>
        <v>1.4491247183649435E-3</v>
      </c>
      <c r="BL7" s="24">
        <f t="shared" si="13"/>
        <v>1.2955400156807184E-3</v>
      </c>
      <c r="BM7" s="24">
        <f t="shared" si="13"/>
        <v>1.1451218945467308E-3</v>
      </c>
      <c r="BN7" s="24">
        <f t="shared" si="13"/>
        <v>9.9780506695878058E-4</v>
      </c>
      <c r="BO7" s="24">
        <f t="shared" si="13"/>
        <v>8.5352559100889628E-4</v>
      </c>
      <c r="BP7" s="24">
        <f t="shared" si="13"/>
        <v>7.1222084313176878E-4</v>
      </c>
      <c r="BQ7" s="24">
        <f t="shared" ref="BQ7:EB7" si="14">0.8*EXP((-BQ1/12)/4)*2.5%-0.6*(1-EXP((-BQ1/12)/4))*1%</f>
        <v>5.7382949092340922E-4</v>
      </c>
      <c r="BR7" s="24">
        <f t="shared" si="14"/>
        <v>4.3829146652020479E-4</v>
      </c>
      <c r="BS7" s="24">
        <f t="shared" si="14"/>
        <v>3.0554794052686622E-4</v>
      </c>
      <c r="BT7" s="24">
        <f t="shared" si="14"/>
        <v>1.7554129648191235E-4</v>
      </c>
      <c r="BU7" s="24">
        <f t="shared" si="14"/>
        <v>4.8215105849610217E-5</v>
      </c>
      <c r="BV7" s="24">
        <f t="shared" si="14"/>
        <v>-7.6485896472451229E-5</v>
      </c>
      <c r="BW7" s="24">
        <f t="shared" si="14"/>
        <v>-1.9861583614082419E-4</v>
      </c>
      <c r="BX7" s="24">
        <f t="shared" si="14"/>
        <v>-3.1822772285908674E-4</v>
      </c>
      <c r="BY7" s="24">
        <f t="shared" si="14"/>
        <v>-4.3537347338636588E-4</v>
      </c>
      <c r="BZ7" s="24">
        <f t="shared" si="14"/>
        <v>-5.5010393407145617E-4</v>
      </c>
      <c r="CA7" s="24">
        <f t="shared" si="14"/>
        <v>-6.6246890292235867E-4</v>
      </c>
      <c r="CB7" s="24">
        <f t="shared" si="14"/>
        <v>-7.7251715122077236E-4</v>
      </c>
      <c r="CC7" s="24">
        <f t="shared" si="14"/>
        <v>-8.8029644469095423E-4</v>
      </c>
      <c r="CD7" s="24">
        <f t="shared" si="14"/>
        <v>-9.8585356423212117E-4</v>
      </c>
      <c r="CE7" s="24">
        <f t="shared" si="14"/>
        <v>-1.0892343262233926E-3</v>
      </c>
      <c r="CF7" s="24">
        <f t="shared" si="14"/>
        <v>-1.1904836024100893E-3</v>
      </c>
      <c r="CG7" s="24">
        <f t="shared" si="14"/>
        <v>-1.2896453393800239E-3</v>
      </c>
      <c r="CH7" s="24">
        <f t="shared" si="14"/>
        <v>-1.3867625776382343E-3</v>
      </c>
      <c r="CI7" s="24">
        <f t="shared" si="14"/>
        <v>-1.4818774702884253E-3</v>
      </c>
      <c r="CJ7" s="24">
        <f t="shared" si="14"/>
        <v>-1.5750313013292573E-3</v>
      </c>
      <c r="CK7" s="24">
        <f t="shared" si="14"/>
        <v>-1.6662645035733898E-3</v>
      </c>
      <c r="CL7" s="24">
        <f t="shared" si="14"/>
        <v>-1.7556166761970803E-3</v>
      </c>
      <c r="CM7" s="24">
        <f t="shared" si="14"/>
        <v>-1.8431266019279572E-3</v>
      </c>
      <c r="CN7" s="24">
        <f t="shared" si="14"/>
        <v>-1.9288322638783993E-3</v>
      </c>
      <c r="CO7" s="24">
        <f t="shared" si="14"/>
        <v>-2.0127708620318596E-3</v>
      </c>
      <c r="CP7" s="24">
        <f t="shared" si="14"/>
        <v>-2.094978829389282E-3</v>
      </c>
      <c r="CQ7" s="24">
        <f t="shared" si="14"/>
        <v>-2.1754918477826031E-3</v>
      </c>
      <c r="CR7" s="24">
        <f t="shared" si="14"/>
        <v>-2.2543448633622152E-3</v>
      </c>
      <c r="CS7" s="24">
        <f t="shared" si="14"/>
        <v>-2.3315721017651207E-3</v>
      </c>
      <c r="CT7" s="24">
        <f t="shared" si="14"/>
        <v>-2.4072070829703478E-3</v>
      </c>
      <c r="CU7" s="24">
        <f t="shared" si="14"/>
        <v>-2.4812826358480695E-3</v>
      </c>
      <c r="CV7" s="24">
        <f t="shared" si="14"/>
        <v>-2.5538309124087709E-3</v>
      </c>
      <c r="CW7" s="24">
        <f t="shared" si="14"/>
        <v>-2.6248834017586122E-3</v>
      </c>
      <c r="CX7" s="24">
        <f t="shared" si="14"/>
        <v>-2.6944709437670741E-3</v>
      </c>
      <c r="CY7" s="24">
        <f t="shared" si="14"/>
        <v>-2.762623742452802E-3</v>
      </c>
      <c r="CZ7" s="24">
        <f t="shared" si="14"/>
        <v>-2.8293713790934578E-3</v>
      </c>
      <c r="DA7" s="24">
        <f t="shared" si="14"/>
        <v>-2.8947428250652892E-3</v>
      </c>
      <c r="DB7" s="24">
        <f t="shared" si="14"/>
        <v>-2.9587664544179593E-3</v>
      </c>
      <c r="DC7" s="24">
        <f t="shared" si="14"/>
        <v>-3.0214700561901186E-3</v>
      </c>
      <c r="DD7" s="24">
        <f t="shared" si="14"/>
        <v>-3.0828808464710622E-3</v>
      </c>
      <c r="DE7" s="24">
        <f t="shared" si="14"/>
        <v>-3.1430254802136889E-3</v>
      </c>
      <c r="DF7" s="24">
        <f t="shared" si="14"/>
        <v>-3.2019300628039096E-3</v>
      </c>
      <c r="DG7" s="24">
        <f t="shared" si="14"/>
        <v>-3.2596201613915268E-3</v>
      </c>
      <c r="DH7" s="24">
        <f t="shared" si="14"/>
        <v>-3.3161208159874821E-3</v>
      </c>
      <c r="DI7" s="24">
        <f t="shared" si="14"/>
        <v>-3.3714565503323111E-3</v>
      </c>
      <c r="DJ7" s="24">
        <f t="shared" si="14"/>
        <v>-3.4256513825405158E-3</v>
      </c>
      <c r="DK7" s="24">
        <f t="shared" si="14"/>
        <v>-3.4787288355254686E-3</v>
      </c>
      <c r="DL7" s="24">
        <f t="shared" si="14"/>
        <v>-3.5307119472093767E-3</v>
      </c>
      <c r="DM7" s="24">
        <f t="shared" si="14"/>
        <v>-3.5816232805227491E-3</v>
      </c>
      <c r="DN7" s="24">
        <f t="shared" si="14"/>
        <v>-3.6314849331976814E-3</v>
      </c>
      <c r="DO7" s="24">
        <f t="shared" si="14"/>
        <v>-3.6803185473592371E-3</v>
      </c>
      <c r="DP7" s="24">
        <f t="shared" si="14"/>
        <v>-3.7281453189190695E-3</v>
      </c>
      <c r="DQ7" s="24">
        <f t="shared" si="14"/>
        <v>-3.7749860067753703E-3</v>
      </c>
      <c r="DR7" s="24">
        <f t="shared" si="14"/>
        <v>-3.8208609418231279E-3</v>
      </c>
      <c r="DS7" s="24">
        <f t="shared" si="14"/>
        <v>-3.8657900357786301E-3</v>
      </c>
      <c r="DT7" s="24">
        <f t="shared" si="14"/>
        <v>-3.9097927898220086E-3</v>
      </c>
      <c r="DU7" s="24">
        <f t="shared" si="14"/>
        <v>-3.9528883030615913E-3</v>
      </c>
      <c r="DV7" s="24">
        <f t="shared" si="14"/>
        <v>-3.995095280823765E-3</v>
      </c>
      <c r="DW7" s="24">
        <f t="shared" si="14"/>
        <v>-4.0364320427718819E-3</v>
      </c>
      <c r="DX7" s="24">
        <f t="shared" si="14"/>
        <v>-4.0769165308577977E-3</v>
      </c>
      <c r="DY7" s="24">
        <f t="shared" si="14"/>
        <v>-4.1165663171094623E-3</v>
      </c>
      <c r="DZ7" s="24">
        <f t="shared" si="14"/>
        <v>-4.1553986112579343E-3</v>
      </c>
      <c r="EA7" s="24">
        <f t="shared" si="14"/>
        <v>-4.1934302682071593E-3</v>
      </c>
      <c r="EB7" s="24">
        <f t="shared" si="14"/>
        <v>-4.2306777953497344E-3</v>
      </c>
      <c r="EC7" s="24">
        <f t="shared" ref="EC7:GN7" si="15">0.8*EXP((-EC1/12)/4)*2.5%-0.6*(1-EXP((-EC1/12)/4))*1%</f>
        <v>-4.2671573597318248E-3</v>
      </c>
      <c r="ED7" s="24">
        <f t="shared" si="15"/>
        <v>-4.3028847950703688E-3</v>
      </c>
      <c r="EE7" s="24">
        <f t="shared" si="15"/>
        <v>-4.3378756086256028E-3</v>
      </c>
      <c r="EF7" s="24">
        <f t="shared" si="15"/>
        <v>-4.3721449879318836E-3</v>
      </c>
      <c r="EG7" s="24">
        <f t="shared" si="15"/>
        <v>-4.405707807389735E-3</v>
      </c>
      <c r="EH7" s="24">
        <f t="shared" si="15"/>
        <v>-4.4385786347219923E-3</v>
      </c>
      <c r="EI7" s="24">
        <f t="shared" si="15"/>
        <v>-4.4707717372968235E-3</v>
      </c>
      <c r="EJ7" s="24">
        <f t="shared" si="15"/>
        <v>-4.502301088320379E-3</v>
      </c>
      <c r="EK7" s="24">
        <f t="shared" si="15"/>
        <v>-4.5331803729017897E-3</v>
      </c>
      <c r="EL7" s="24">
        <f t="shared" si="15"/>
        <v>-4.5634229939930772E-3</v>
      </c>
      <c r="EM7" s="24">
        <f t="shared" si="15"/>
        <v>-4.5930420782066377E-3</v>
      </c>
      <c r="EN7" s="24">
        <f t="shared" si="15"/>
        <v>-4.6220504815127489E-3</v>
      </c>
      <c r="EO7" s="24">
        <f t="shared" si="15"/>
        <v>-4.6504607948196237E-3</v>
      </c>
      <c r="EP7" s="24">
        <f t="shared" si="15"/>
        <v>-4.6782853494384147E-3</v>
      </c>
      <c r="EQ7" s="24">
        <f t="shared" si="15"/>
        <v>-4.7055362224355368E-3</v>
      </c>
      <c r="ER7" s="24">
        <f t="shared" si="15"/>
        <v>-4.7322252418746397E-3</v>
      </c>
      <c r="ES7" s="24">
        <f t="shared" si="15"/>
        <v>-4.758363991950499E-3</v>
      </c>
      <c r="ET7" s="24">
        <f t="shared" si="15"/>
        <v>-4.783963818017066E-3</v>
      </c>
      <c r="EU7" s="24">
        <f t="shared" si="15"/>
        <v>-4.8090358315118409E-3</v>
      </c>
      <c r="EV7" s="24">
        <f t="shared" si="15"/>
        <v>-4.8335909147787202E-3</v>
      </c>
      <c r="EW7" s="24">
        <f t="shared" si="15"/>
        <v>-4.8576397257914065E-3</v>
      </c>
      <c r="EX7" s="24">
        <f t="shared" si="15"/>
        <v>-4.8811927027794339E-3</v>
      </c>
      <c r="EY7" s="24">
        <f t="shared" si="15"/>
        <v>-4.9042600687588134E-3</v>
      </c>
      <c r="EZ7" s="24">
        <f t="shared" si="15"/>
        <v>-4.9268518359692638E-3</v>
      </c>
      <c r="FA7" s="24">
        <f t="shared" si="15"/>
        <v>-4.9489778102199617E-3</v>
      </c>
      <c r="FB7" s="24">
        <f t="shared" si="15"/>
        <v>-4.9706475951456887E-3</v>
      </c>
      <c r="FC7" s="24">
        <f t="shared" si="15"/>
        <v>-4.9918705963752277E-3</v>
      </c>
      <c r="FD7" s="24">
        <f t="shared" si="15"/>
        <v>-5.0126560256138087E-3</v>
      </c>
      <c r="FE7" s="24">
        <f t="shared" si="15"/>
        <v>-5.0330129046413947E-3</v>
      </c>
      <c r="FF7" s="24">
        <f t="shared" si="15"/>
        <v>-5.0529500692285297E-3</v>
      </c>
      <c r="FG7" s="24">
        <f t="shared" si="15"/>
        <v>-5.0724761729714378E-3</v>
      </c>
      <c r="FH7" s="24">
        <f t="shared" si="15"/>
        <v>-5.0915996910480665E-3</v>
      </c>
      <c r="FI7" s="24">
        <f t="shared" si="15"/>
        <v>-5.1103289238966839E-3</v>
      </c>
      <c r="FJ7" s="24">
        <f t="shared" si="15"/>
        <v>-5.1286720008186211E-3</v>
      </c>
      <c r="FK7" s="24">
        <f t="shared" si="15"/>
        <v>-5.1466368835067569E-3</v>
      </c>
      <c r="FL7" s="24">
        <f t="shared" si="15"/>
        <v>-5.1642313695012222E-3</v>
      </c>
      <c r="FM7" s="24">
        <f t="shared" si="15"/>
        <v>-5.1814630955738846E-3</v>
      </c>
      <c r="FN7" s="24">
        <f t="shared" si="15"/>
        <v>-5.1983395410430296E-3</v>
      </c>
      <c r="FO7" s="24">
        <f t="shared" si="15"/>
        <v>-5.214868031019719E-3</v>
      </c>
      <c r="FP7" s="24">
        <f t="shared" si="15"/>
        <v>-5.2310557395872006E-3</v>
      </c>
      <c r="FQ7" s="24">
        <f t="shared" si="15"/>
        <v>-5.2469096929147743E-3</v>
      </c>
      <c r="FR7" s="24">
        <f t="shared" si="15"/>
        <v>-5.262436772307459E-3</v>
      </c>
      <c r="FS7" s="24">
        <f t="shared" si="15"/>
        <v>-5.277643717192769E-3</v>
      </c>
      <c r="FT7" s="24">
        <f t="shared" si="15"/>
        <v>-5.292537128045928E-3</v>
      </c>
      <c r="FU7" s="24">
        <f t="shared" si="15"/>
        <v>-5.307123469254757E-3</v>
      </c>
      <c r="FV7" s="24">
        <f t="shared" si="15"/>
        <v>-5.321409071925502E-3</v>
      </c>
      <c r="FW7" s="24">
        <f t="shared" si="15"/>
        <v>-5.3354001366308071E-3</v>
      </c>
      <c r="FX7" s="24">
        <f t="shared" si="15"/>
        <v>-5.3491027361010357E-3</v>
      </c>
      <c r="FY7" s="24">
        <f t="shared" si="15"/>
        <v>-5.3625228178600963E-3</v>
      </c>
      <c r="FZ7" s="24">
        <f t="shared" si="15"/>
        <v>-5.3756662068069295E-3</v>
      </c>
      <c r="GA7" s="24">
        <f t="shared" si="15"/>
        <v>-5.3885386077437633E-3</v>
      </c>
      <c r="GB7" s="24">
        <f t="shared" si="15"/>
        <v>-5.401145607852249E-3</v>
      </c>
      <c r="GC7" s="24">
        <f t="shared" si="15"/>
        <v>-5.4134926791185416E-3</v>
      </c>
      <c r="GD7" s="24">
        <f t="shared" si="15"/>
        <v>-5.4255851807083772E-3</v>
      </c>
      <c r="GE7" s="24">
        <f t="shared" si="15"/>
        <v>-5.4374283612931796E-3</v>
      </c>
      <c r="GF7" s="24">
        <f t="shared" si="15"/>
        <v>-5.4490273613282238E-3</v>
      </c>
      <c r="GG7" s="24">
        <f t="shared" si="15"/>
        <v>-5.460387215283807E-3</v>
      </c>
      <c r="GH7" s="24">
        <f t="shared" si="15"/>
        <v>-5.4715128538304304E-3</v>
      </c>
      <c r="GI7" s="24">
        <f t="shared" si="15"/>
        <v>-5.4824091059789241E-3</v>
      </c>
      <c r="GJ7" s="24">
        <f t="shared" si="15"/>
        <v>-5.4930807011764511E-3</v>
      </c>
      <c r="GK7" s="24">
        <f t="shared" si="15"/>
        <v>-5.5035322713592903E-3</v>
      </c>
      <c r="GL7" s="24">
        <f t="shared" si="15"/>
        <v>-5.5137683529632962E-3</v>
      </c>
      <c r="GM7" s="24">
        <f t="shared" si="15"/>
        <v>-5.5237933888929109E-3</v>
      </c>
      <c r="GN7" s="24">
        <f t="shared" si="15"/>
        <v>-5.5336117304495818E-3</v>
      </c>
      <c r="GO7" s="24">
        <f t="shared" ref="GO7:II7" si="16">0.8*EXP((-GO1/12)/4)*2.5%-0.6*(1-EXP((-GO1/12)/4))*1%</f>
        <v>-5.5432276392204088E-3</v>
      </c>
      <c r="GP7" s="24">
        <f t="shared" si="16"/>
        <v>-5.5526452889278644E-3</v>
      </c>
      <c r="GQ7" s="24">
        <f t="shared" si="16"/>
        <v>-5.5618687672413644E-3</v>
      </c>
      <c r="GR7" s="24">
        <f t="shared" si="16"/>
        <v>-5.5709020775515034E-3</v>
      </c>
      <c r="GS7" s="24">
        <f t="shared" si="16"/>
        <v>-5.5797491407076861E-3</v>
      </c>
      <c r="GT7" s="24">
        <f t="shared" si="16"/>
        <v>-5.5884137967199665E-3</v>
      </c>
      <c r="GU7" s="24">
        <f t="shared" si="16"/>
        <v>-5.5968998064257576E-3</v>
      </c>
      <c r="GV7" s="24">
        <f t="shared" si="16"/>
        <v>-5.6052108531222137E-3</v>
      </c>
      <c r="GW7" s="24">
        <f t="shared" si="16"/>
        <v>-5.6133505441649332E-3</v>
      </c>
      <c r="GX7" s="24">
        <f t="shared" si="16"/>
        <v>-5.6213224125337162E-3</v>
      </c>
      <c r="GY7" s="24">
        <f t="shared" si="16"/>
        <v>-5.6291299183660196E-3</v>
      </c>
      <c r="GZ7" s="24">
        <f t="shared" si="16"/>
        <v>-5.6367764504588174E-3</v>
      </c>
      <c r="HA7" s="24">
        <f t="shared" si="16"/>
        <v>-5.6442653277394804E-3</v>
      </c>
      <c r="HB7" s="24">
        <f t="shared" si="16"/>
        <v>-5.6515998007063382E-3</v>
      </c>
      <c r="HC7" s="24">
        <f t="shared" si="16"/>
        <v>-5.6587830528395345E-3</v>
      </c>
      <c r="HD7" s="24">
        <f t="shared" si="16"/>
        <v>-5.6658182019827972E-3</v>
      </c>
      <c r="HE7" s="24">
        <f t="shared" si="16"/>
        <v>-5.6727083016967165E-3</v>
      </c>
      <c r="HF7" s="24">
        <f t="shared" si="16"/>
        <v>-5.6794563425841237E-3</v>
      </c>
      <c r="HG7" s="24">
        <f t="shared" si="16"/>
        <v>-5.686065253588145E-3</v>
      </c>
      <c r="HH7" s="24">
        <f t="shared" si="16"/>
        <v>-5.6925379032634876E-3</v>
      </c>
      <c r="HI7" s="24">
        <f t="shared" si="16"/>
        <v>-5.6988771010215173E-3</v>
      </c>
      <c r="HJ7" s="24">
        <f t="shared" si="16"/>
        <v>-5.7050855983496679E-3</v>
      </c>
      <c r="HK7" s="24">
        <f t="shared" si="16"/>
        <v>-5.7111660900056992E-3</v>
      </c>
      <c r="HL7" s="24">
        <f t="shared" si="16"/>
        <v>-5.7171212151873509E-3</v>
      </c>
      <c r="HM7" s="24">
        <f t="shared" si="16"/>
        <v>-5.7229535586778568E-3</v>
      </c>
      <c r="HN7" s="24">
        <f t="shared" si="16"/>
        <v>-5.7286656519678625E-3</v>
      </c>
      <c r="HO7" s="24">
        <f t="shared" si="16"/>
        <v>-5.7342599743541956E-3</v>
      </c>
      <c r="HP7" s="24">
        <f t="shared" si="16"/>
        <v>-5.7397389540159924E-3</v>
      </c>
      <c r="HQ7" s="24">
        <f t="shared" si="16"/>
        <v>-5.7451049690686326E-3</v>
      </c>
      <c r="HR7" s="24">
        <f t="shared" si="16"/>
        <v>-5.7503603485959433E-3</v>
      </c>
      <c r="HS7" s="24">
        <f t="shared" si="16"/>
        <v>-5.7555073736611246E-3</v>
      </c>
      <c r="HT7" s="24">
        <f t="shared" si="16"/>
        <v>-5.7605482782968282E-3</v>
      </c>
      <c r="HU7" s="24">
        <f t="shared" si="16"/>
        <v>-5.7654852504748265E-3</v>
      </c>
      <c r="HV7" s="24">
        <f t="shared" si="16"/>
        <v>-5.7703204330556857E-3</v>
      </c>
      <c r="HW7" s="24">
        <f t="shared" si="16"/>
        <v>-5.7750559247188634E-3</v>
      </c>
      <c r="HX7" s="24">
        <f t="shared" si="16"/>
        <v>-5.7796937808736217E-3</v>
      </c>
      <c r="HY7" s="24">
        <f t="shared" si="16"/>
        <v>-5.7842360145511701E-3</v>
      </c>
      <c r="HZ7" s="24">
        <f t="shared" si="16"/>
        <v>-5.7886845972784026E-3</v>
      </c>
      <c r="IA7" s="24">
        <f t="shared" si="16"/>
        <v>-5.7930414599336325E-3</v>
      </c>
      <c r="IB7" s="24">
        <f t="shared" si="16"/>
        <v>-5.7973084935846724E-3</v>
      </c>
      <c r="IC7" s="24">
        <f t="shared" si="16"/>
        <v>-5.8014875503096409E-3</v>
      </c>
      <c r="ID7" s="24">
        <f t="shared" si="16"/>
        <v>-5.8055804440008477E-3</v>
      </c>
      <c r="IE7" s="24">
        <f t="shared" si="16"/>
        <v>-5.809588951152099E-3</v>
      </c>
      <c r="IF7" s="24">
        <f t="shared" si="16"/>
        <v>-5.8135148116297735E-3</v>
      </c>
      <c r="IG7" s="24">
        <f t="shared" si="16"/>
        <v>-5.8173597294280009E-3</v>
      </c>
      <c r="IH7" s="24">
        <f t="shared" si="16"/>
        <v>-5.8211253734082669E-3</v>
      </c>
      <c r="II7" s="24">
        <f t="shared" si="16"/>
        <v>-5.8248133780237779E-3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Instruction pour le projet</vt:lpstr>
      <vt:lpstr>Bilan au 31_12_2025_BAUL</vt:lpstr>
      <vt:lpstr>Bilan au 31_12_2025_BAU T</vt:lpstr>
      <vt:lpstr>BAU_Liquidité_Dynamique</vt:lpstr>
      <vt:lpstr>Loi d'écoulement </vt:lpstr>
      <vt:lpstr>Plan Moyen Terme (PMT)</vt:lpstr>
      <vt:lpstr>Courbe des taux</vt:lpstr>
      <vt:lpstr>Stress test de liquidité</vt:lpstr>
      <vt:lpstr>Dynamique stressé</vt:lpstr>
      <vt:lpstr>stress test de taux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Yves Jocelin KASSI</dc:creator>
  <cp:lastModifiedBy>Mahsa Rajabi</cp:lastModifiedBy>
  <dcterms:created xsi:type="dcterms:W3CDTF">2026-01-26T09:49:31Z</dcterms:created>
  <dcterms:modified xsi:type="dcterms:W3CDTF">2026-02-12T19:34:00Z</dcterms:modified>
</cp:coreProperties>
</file>